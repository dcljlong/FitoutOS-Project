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David\Dropbox\Jobs\2. Jobs won and in progress\4009 2 Devonport Road\Davy\Data folder\"/>
    </mc:Choice>
  </mc:AlternateContent>
  <xr:revisionPtr revIDLastSave="0" documentId="8_{D818DB06-9729-4520-862F-D2FB3D56EC58}" xr6:coauthVersionLast="47" xr6:coauthVersionMax="47" xr10:uidLastSave="{00000000-0000-0000-0000-000000000000}"/>
  <bookViews>
    <workbookView xWindow="-120" yWindow="-120" windowWidth="29040" windowHeight="15720" tabRatio="895" firstSheet="13" activeTab="14" xr2:uid="{3E7340CF-2366-4E13-9784-DC6B82C5FC91}"/>
  </bookViews>
  <sheets>
    <sheet name="Summary" sheetId="11" r:id="rId1"/>
    <sheet name="Suspended Ceilings" sheetId="132" r:id="rId2"/>
    <sheet name="WORKINGS_Ceilngs" sheetId="146" r:id="rId3"/>
    <sheet name="Partitions" sheetId="133" r:id="rId4"/>
    <sheet name="Partitions SPEC Rates" sheetId="154" r:id="rId5"/>
    <sheet name="WORKINGS_Partitions SPEC Rates" sheetId="153" r:id="rId6"/>
    <sheet name="WORKINGS_Partitions" sheetId="140" r:id="rId7"/>
    <sheet name="Insulation" sheetId="141" r:id="rId8"/>
    <sheet name="Gib Linings" sheetId="134" r:id="rId9"/>
    <sheet name="Stopping" sheetId="135" r:id="rId10"/>
    <sheet name="Potters Rigitone Matrix" sheetId="136" r:id="rId11"/>
    <sheet name="Ambitec" sheetId="151" r:id="rId12"/>
    <sheet name="Featurecraft" sheetId="152" r:id="rId13"/>
    <sheet name="WORKINGS_Potters Rigitone" sheetId="147" r:id="rId14"/>
    <sheet name="Potters Aluminium and Glazing" sheetId="137" r:id="rId15"/>
    <sheet name="WORKINGS_Ali L4 (2)" sheetId="148" r:id="rId16"/>
    <sheet name="WORKINGS_Ali L4" sheetId="142" r:id="rId17"/>
    <sheet name="WORKINGS_Ali L5 (2)" sheetId="149" r:id="rId18"/>
    <sheet name="WORKINGS_Ali L5" sheetId="143" r:id="rId19"/>
    <sheet name="WORKINGS_Ali L6 (2)" sheetId="150" r:id="rId20"/>
    <sheet name="WORKINGS_Ali L6" sheetId="144" r:id="rId21"/>
    <sheet name="Asona Quicklock" sheetId="139" r:id="rId22"/>
  </sheets>
  <definedNames>
    <definedName name="_xlnm.Print_Area" localSheetId="11">Ambitec!$A$1:$D$13</definedName>
    <definedName name="_xlnm.Print_Area" localSheetId="21">'Asona Quicklock'!$A$1:$D$13</definedName>
    <definedName name="_xlnm.Print_Area" localSheetId="12">Featurecraft!$A$1:$D$13</definedName>
    <definedName name="_xlnm.Print_Area" localSheetId="8">'Gib Linings'!$A$1:$D$13</definedName>
    <definedName name="_xlnm.Print_Area" localSheetId="7">Insulation!$A$1:$D$13</definedName>
    <definedName name="_xlnm.Print_Area" localSheetId="3">Partitions!$A$1:$D$13</definedName>
    <definedName name="_xlnm.Print_Area" localSheetId="4">'Partitions SPEC Rates'!$A$1:$D$13</definedName>
    <definedName name="_xlnm.Print_Area" localSheetId="14">'Potters Aluminium and Glazing'!$A$1:$D$13</definedName>
    <definedName name="_xlnm.Print_Area" localSheetId="10">'Potters Rigitone Matrix'!$A$1:$D$13</definedName>
    <definedName name="_xlnm.Print_Area" localSheetId="9">Stopping!$A$1:$D$13</definedName>
    <definedName name="_xlnm.Print_Area" localSheetId="0">Summary!$A$1:$C$141</definedName>
    <definedName name="_xlnm.Print_Area" localSheetId="1">'Suspended Ceilings'!$A$1:$D$13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6" i="137" l="1"/>
  <c r="H456" i="137"/>
  <c r="J456" i="137"/>
  <c r="J455" i="137"/>
  <c r="J454" i="137"/>
  <c r="J453" i="137"/>
  <c r="N154" i="11"/>
  <c r="B1" i="139"/>
  <c r="B2" i="139"/>
  <c r="B3" i="139"/>
  <c r="B6" i="139"/>
  <c r="B9" i="139"/>
  <c r="P34" i="139"/>
  <c r="F36" i="139"/>
  <c r="G36" i="139"/>
  <c r="H36" i="139"/>
  <c r="J36" i="139"/>
  <c r="K36" i="139"/>
  <c r="L36" i="139"/>
  <c r="M36" i="139"/>
  <c r="O36" i="139"/>
  <c r="F38" i="139"/>
  <c r="G38" i="139"/>
  <c r="H38" i="139"/>
  <c r="J38" i="139"/>
  <c r="K38" i="139"/>
  <c r="L38" i="139"/>
  <c r="M38" i="139"/>
  <c r="O38" i="139"/>
  <c r="P59" i="139"/>
  <c r="F61" i="139"/>
  <c r="G61" i="139"/>
  <c r="H61" i="139"/>
  <c r="J61" i="139"/>
  <c r="K61" i="139"/>
  <c r="L61" i="139"/>
  <c r="M61" i="139"/>
  <c r="O61" i="139"/>
  <c r="F63" i="139"/>
  <c r="G63" i="139"/>
  <c r="H63" i="139"/>
  <c r="J63" i="139"/>
  <c r="K63" i="139"/>
  <c r="L63" i="139"/>
  <c r="M63" i="139"/>
  <c r="O63" i="139"/>
  <c r="P93" i="139"/>
  <c r="F95" i="139"/>
  <c r="G95" i="139"/>
  <c r="H95" i="139"/>
  <c r="J95" i="139"/>
  <c r="K95" i="139"/>
  <c r="L95" i="139"/>
  <c r="M95" i="139"/>
  <c r="O95" i="139"/>
  <c r="F97" i="139"/>
  <c r="G97" i="139"/>
  <c r="H97" i="139"/>
  <c r="J97" i="139"/>
  <c r="K97" i="139"/>
  <c r="L97" i="139"/>
  <c r="M97" i="139"/>
  <c r="O97" i="139"/>
  <c r="R97" i="139"/>
  <c r="F100" i="139"/>
  <c r="H100" i="139"/>
  <c r="J100" i="139"/>
  <c r="M101" i="139"/>
  <c r="O101" i="139"/>
  <c r="M104" i="139"/>
  <c r="O104" i="139"/>
  <c r="P104" i="139"/>
  <c r="P105" i="139"/>
  <c r="M106" i="139"/>
  <c r="O106" i="139"/>
  <c r="P106" i="139"/>
  <c r="M108" i="139"/>
  <c r="O108" i="139"/>
  <c r="L110" i="139"/>
  <c r="M110" i="139"/>
  <c r="O112" i="139"/>
  <c r="M114" i="139"/>
  <c r="O114" i="139"/>
  <c r="M116" i="139"/>
  <c r="O116" i="139"/>
  <c r="M118" i="139"/>
  <c r="N118" i="139"/>
  <c r="O118" i="139"/>
  <c r="N119" i="139"/>
  <c r="P119" i="139"/>
  <c r="M120" i="139"/>
  <c r="N120" i="139"/>
  <c r="O120" i="139"/>
  <c r="P120" i="139"/>
  <c r="Q120" i="139"/>
  <c r="G122" i="139"/>
  <c r="M122" i="139"/>
  <c r="N122" i="139"/>
  <c r="O122" i="139"/>
  <c r="P122" i="139"/>
  <c r="Q122" i="139"/>
  <c r="G123" i="139"/>
  <c r="I123" i="139"/>
  <c r="M124" i="139"/>
  <c r="N124" i="139"/>
  <c r="O124" i="139"/>
  <c r="P124" i="139"/>
  <c r="Q124" i="139"/>
  <c r="M126" i="139"/>
  <c r="Q126" i="139"/>
  <c r="D131" i="139"/>
  <c r="E131" i="139"/>
  <c r="K131" i="139"/>
  <c r="L131" i="139"/>
  <c r="E133" i="139"/>
  <c r="L133" i="139"/>
  <c r="E134" i="139"/>
  <c r="L134" i="139"/>
  <c r="E135" i="139"/>
  <c r="L135" i="139"/>
  <c r="D137" i="139"/>
  <c r="E137" i="139"/>
  <c r="K137" i="139"/>
  <c r="L137" i="139"/>
  <c r="E138" i="139"/>
  <c r="L138" i="139"/>
  <c r="E142" i="139"/>
  <c r="F142" i="139"/>
  <c r="AS2" i="144"/>
  <c r="AS3" i="144"/>
  <c r="AS7" i="144"/>
  <c r="AU7" i="144"/>
  <c r="AV7" i="144"/>
  <c r="AW7" i="144"/>
  <c r="AZ7" i="144"/>
  <c r="AS8" i="144"/>
  <c r="AU8" i="144"/>
  <c r="AV8" i="144"/>
  <c r="AW8" i="144"/>
  <c r="AZ8" i="144"/>
  <c r="AS10" i="144"/>
  <c r="AU10" i="144"/>
  <c r="AV10" i="144"/>
  <c r="AW10" i="144"/>
  <c r="AZ10" i="144"/>
  <c r="AS11" i="144"/>
  <c r="AU11" i="144"/>
  <c r="AV11" i="144"/>
  <c r="AW11" i="144"/>
  <c r="AZ11" i="144"/>
  <c r="AZ12" i="144"/>
  <c r="AS13" i="144"/>
  <c r="AU13" i="144"/>
  <c r="AV13" i="144"/>
  <c r="AW13" i="144"/>
  <c r="AZ13" i="144"/>
  <c r="AS14" i="144"/>
  <c r="AU14" i="144"/>
  <c r="AV14" i="144"/>
  <c r="AW14" i="144"/>
  <c r="AZ14" i="144"/>
  <c r="AS15" i="144"/>
  <c r="AU15" i="144"/>
  <c r="AV15" i="144"/>
  <c r="AW15" i="144"/>
  <c r="AZ15" i="144"/>
  <c r="AS16" i="144"/>
  <c r="AU16" i="144"/>
  <c r="AV16" i="144"/>
  <c r="AW16" i="144"/>
  <c r="AZ16" i="144"/>
  <c r="AS17" i="144"/>
  <c r="AU17" i="144"/>
  <c r="AV17" i="144"/>
  <c r="AW17" i="144"/>
  <c r="AZ17" i="144"/>
  <c r="AS19" i="144"/>
  <c r="AU19" i="144"/>
  <c r="AV19" i="144"/>
  <c r="AW19" i="144"/>
  <c r="AZ19" i="144"/>
  <c r="AS20" i="144"/>
  <c r="AU20" i="144"/>
  <c r="AV20" i="144"/>
  <c r="AW20" i="144"/>
  <c r="AZ20" i="144"/>
  <c r="AS21" i="144"/>
  <c r="AU21" i="144"/>
  <c r="AV21" i="144"/>
  <c r="AW21" i="144"/>
  <c r="AZ21" i="144"/>
  <c r="AS22" i="144"/>
  <c r="AU22" i="144"/>
  <c r="AV22" i="144"/>
  <c r="AW22" i="144"/>
  <c r="AZ22" i="144"/>
  <c r="AS24" i="144"/>
  <c r="AU24" i="144"/>
  <c r="AV24" i="144"/>
  <c r="AW24" i="144"/>
  <c r="AZ24" i="144"/>
  <c r="AS25" i="144"/>
  <c r="AU25" i="144"/>
  <c r="AV25" i="144"/>
  <c r="AW25" i="144"/>
  <c r="AZ25" i="144"/>
  <c r="AS26" i="144"/>
  <c r="AU26" i="144"/>
  <c r="AV26" i="144"/>
  <c r="AW26" i="144"/>
  <c r="AZ26" i="144"/>
  <c r="AS31" i="144"/>
  <c r="AU31" i="144"/>
  <c r="AV31" i="144"/>
  <c r="AW31" i="144"/>
  <c r="AZ31" i="144"/>
  <c r="AS32" i="144"/>
  <c r="AU32" i="144"/>
  <c r="AV32" i="144"/>
  <c r="AW32" i="144"/>
  <c r="AZ32" i="144"/>
  <c r="AS33" i="144"/>
  <c r="AU33" i="144"/>
  <c r="AV33" i="144"/>
  <c r="AW33" i="144"/>
  <c r="AZ33" i="144"/>
  <c r="AS34" i="144"/>
  <c r="AU34" i="144"/>
  <c r="AV34" i="144"/>
  <c r="AW34" i="144"/>
  <c r="AZ34" i="144"/>
  <c r="AS35" i="144"/>
  <c r="AU35" i="144"/>
  <c r="AV35" i="144"/>
  <c r="AW35" i="144"/>
  <c r="AZ35" i="144"/>
  <c r="AS36" i="144"/>
  <c r="AU36" i="144"/>
  <c r="AV36" i="144"/>
  <c r="AW36" i="144"/>
  <c r="AZ36" i="144"/>
  <c r="AS37" i="144"/>
  <c r="AU37" i="144"/>
  <c r="AV37" i="144"/>
  <c r="AW37" i="144"/>
  <c r="AZ37" i="144"/>
  <c r="AS38" i="144"/>
  <c r="AU38" i="144"/>
  <c r="AV38" i="144"/>
  <c r="AW38" i="144"/>
  <c r="AZ38" i="144"/>
  <c r="AS39" i="144"/>
  <c r="AU39" i="144"/>
  <c r="AV39" i="144"/>
  <c r="AW39" i="144"/>
  <c r="AZ39" i="144"/>
  <c r="AS44" i="144"/>
  <c r="AV44" i="144"/>
  <c r="AW44" i="144"/>
  <c r="AS46" i="144"/>
  <c r="AV46" i="144"/>
  <c r="AW46" i="144"/>
  <c r="AS48" i="144"/>
  <c r="AV48" i="144"/>
  <c r="AS50" i="144"/>
  <c r="AV50" i="144"/>
  <c r="AS52" i="144"/>
  <c r="AW52" i="144"/>
  <c r="AS54" i="144"/>
  <c r="AV54" i="144"/>
  <c r="AS56" i="144"/>
  <c r="AV56" i="144"/>
  <c r="B61" i="144"/>
  <c r="AV62" i="144"/>
  <c r="AW62" i="144"/>
  <c r="AX62" i="144"/>
  <c r="AX64" i="144"/>
  <c r="AX66" i="144"/>
  <c r="AX69" i="144"/>
  <c r="AX71" i="144"/>
  <c r="AX74" i="144"/>
  <c r="AS2" i="150"/>
  <c r="AS3" i="150"/>
  <c r="AS7" i="150"/>
  <c r="AU7" i="150"/>
  <c r="AV7" i="150"/>
  <c r="AW7" i="150"/>
  <c r="AX7" i="150"/>
  <c r="AZ7" i="150"/>
  <c r="AS8" i="150"/>
  <c r="AU8" i="150"/>
  <c r="AV8" i="150"/>
  <c r="AW8" i="150"/>
  <c r="AX8" i="150"/>
  <c r="AZ8" i="150"/>
  <c r="AX9" i="150"/>
  <c r="AS10" i="150"/>
  <c r="AU10" i="150"/>
  <c r="AV10" i="150"/>
  <c r="AW10" i="150"/>
  <c r="AX10" i="150"/>
  <c r="AZ10" i="150"/>
  <c r="AS11" i="150"/>
  <c r="AU11" i="150"/>
  <c r="AV11" i="150"/>
  <c r="AW11" i="150"/>
  <c r="AX11" i="150"/>
  <c r="AZ11" i="150"/>
  <c r="AS13" i="150"/>
  <c r="AU13" i="150"/>
  <c r="AV13" i="150"/>
  <c r="AW13" i="150"/>
  <c r="AX13" i="150"/>
  <c r="AZ13" i="150"/>
  <c r="AS14" i="150"/>
  <c r="AU14" i="150"/>
  <c r="AV14" i="150"/>
  <c r="AW14" i="150"/>
  <c r="AX14" i="150"/>
  <c r="AZ14" i="150"/>
  <c r="AS15" i="150"/>
  <c r="AU15" i="150"/>
  <c r="AV15" i="150"/>
  <c r="AW15" i="150"/>
  <c r="AX15" i="150"/>
  <c r="AZ15" i="150"/>
  <c r="AS16" i="150"/>
  <c r="AU16" i="150"/>
  <c r="AV16" i="150"/>
  <c r="AW16" i="150"/>
  <c r="AX16" i="150"/>
  <c r="AZ16" i="150"/>
  <c r="AS21" i="150"/>
  <c r="AU21" i="150"/>
  <c r="AV21" i="150"/>
  <c r="AW21" i="150"/>
  <c r="AX21" i="150"/>
  <c r="AZ21" i="150"/>
  <c r="AS22" i="150"/>
  <c r="AU22" i="150"/>
  <c r="AV22" i="150"/>
  <c r="AW22" i="150"/>
  <c r="AX22" i="150"/>
  <c r="AZ22" i="150"/>
  <c r="AS23" i="150"/>
  <c r="AU23" i="150"/>
  <c r="AV23" i="150"/>
  <c r="AW23" i="150"/>
  <c r="AX23" i="150"/>
  <c r="AZ23" i="150"/>
  <c r="AS24" i="150"/>
  <c r="AU24" i="150"/>
  <c r="AV24" i="150"/>
  <c r="AW24" i="150"/>
  <c r="AX24" i="150"/>
  <c r="AZ24" i="150"/>
  <c r="AS25" i="150"/>
  <c r="AU25" i="150"/>
  <c r="AV25" i="150"/>
  <c r="AW25" i="150"/>
  <c r="AX25" i="150"/>
  <c r="AZ25" i="150"/>
  <c r="AS27" i="150"/>
  <c r="AU27" i="150"/>
  <c r="AV27" i="150"/>
  <c r="AW27" i="150"/>
  <c r="AX27" i="150"/>
  <c r="AZ27" i="150"/>
  <c r="AS28" i="150"/>
  <c r="AU28" i="150"/>
  <c r="AV28" i="150"/>
  <c r="AW28" i="150"/>
  <c r="AX28" i="150"/>
  <c r="AZ28" i="150"/>
  <c r="AS29" i="150"/>
  <c r="AU29" i="150"/>
  <c r="AV29" i="150"/>
  <c r="AW29" i="150"/>
  <c r="AX29" i="150"/>
  <c r="AZ29" i="150"/>
  <c r="AS30" i="150"/>
  <c r="AU30" i="150"/>
  <c r="AV30" i="150"/>
  <c r="AW30" i="150"/>
  <c r="AX30" i="150"/>
  <c r="AZ30" i="150"/>
  <c r="AS32" i="150"/>
  <c r="AU32" i="150"/>
  <c r="AV32" i="150"/>
  <c r="AW32" i="150"/>
  <c r="AX32" i="150"/>
  <c r="AZ32" i="150"/>
  <c r="AS33" i="150"/>
  <c r="AU33" i="150"/>
  <c r="AV33" i="150"/>
  <c r="AW33" i="150"/>
  <c r="AX33" i="150"/>
  <c r="AZ33" i="150"/>
  <c r="AS34" i="150"/>
  <c r="AU34" i="150"/>
  <c r="AV34" i="150"/>
  <c r="AW34" i="150"/>
  <c r="AX34" i="150"/>
  <c r="AZ34" i="150"/>
  <c r="AS39" i="150"/>
  <c r="AU39" i="150"/>
  <c r="AV39" i="150"/>
  <c r="AW39" i="150"/>
  <c r="AX39" i="150"/>
  <c r="AZ39" i="150"/>
  <c r="AS40" i="150"/>
  <c r="AU40" i="150"/>
  <c r="AV40" i="150"/>
  <c r="AW40" i="150"/>
  <c r="AX40" i="150"/>
  <c r="AZ40" i="150"/>
  <c r="AS41" i="150"/>
  <c r="AU41" i="150"/>
  <c r="AV41" i="150"/>
  <c r="AW41" i="150"/>
  <c r="AX41" i="150"/>
  <c r="AZ41" i="150"/>
  <c r="AS42" i="150"/>
  <c r="AU42" i="150"/>
  <c r="AV42" i="150"/>
  <c r="AW42" i="150"/>
  <c r="AX42" i="150"/>
  <c r="AZ42" i="150"/>
  <c r="AS43" i="150"/>
  <c r="AU43" i="150"/>
  <c r="AV43" i="150"/>
  <c r="AW43" i="150"/>
  <c r="AX43" i="150"/>
  <c r="AZ43" i="150"/>
  <c r="AS44" i="150"/>
  <c r="AU44" i="150"/>
  <c r="AV44" i="150"/>
  <c r="AW44" i="150"/>
  <c r="AX44" i="150"/>
  <c r="AZ44" i="150"/>
  <c r="AS45" i="150"/>
  <c r="AU45" i="150"/>
  <c r="AV45" i="150"/>
  <c r="AW45" i="150"/>
  <c r="AX45" i="150"/>
  <c r="AZ45" i="150"/>
  <c r="AS46" i="150"/>
  <c r="AU46" i="150"/>
  <c r="AV46" i="150"/>
  <c r="AW46" i="150"/>
  <c r="AX46" i="150"/>
  <c r="AZ46" i="150"/>
  <c r="AS47" i="150"/>
  <c r="AU47" i="150"/>
  <c r="AV47" i="150"/>
  <c r="AW47" i="150"/>
  <c r="AX47" i="150"/>
  <c r="AZ47" i="150"/>
  <c r="AS49" i="150"/>
  <c r="AV49" i="150"/>
  <c r="AS53" i="150"/>
  <c r="AV53" i="150"/>
  <c r="AW53" i="150"/>
  <c r="AS55" i="150"/>
  <c r="AV55" i="150"/>
  <c r="AW55" i="150"/>
  <c r="AS57" i="150"/>
  <c r="AV57" i="150"/>
  <c r="AS59" i="150"/>
  <c r="AV59" i="150"/>
  <c r="AS61" i="150"/>
  <c r="AW61" i="150"/>
  <c r="AS63" i="150"/>
  <c r="AV63" i="150"/>
  <c r="AS65" i="150"/>
  <c r="AV65" i="150"/>
  <c r="B70" i="150"/>
  <c r="AV71" i="150"/>
  <c r="AW71" i="150"/>
  <c r="AX71" i="150"/>
  <c r="AX73" i="150"/>
  <c r="AX75" i="150"/>
  <c r="AX78" i="150"/>
  <c r="AX80" i="150"/>
  <c r="AX83" i="150"/>
  <c r="AK2" i="143"/>
  <c r="AK3" i="143"/>
  <c r="AK7" i="143"/>
  <c r="AM7" i="143"/>
  <c r="AN7" i="143"/>
  <c r="AO7" i="143"/>
  <c r="AR7" i="143"/>
  <c r="AK8" i="143"/>
  <c r="AM8" i="143"/>
  <c r="AN8" i="143"/>
  <c r="AO8" i="143"/>
  <c r="AR8" i="143"/>
  <c r="AK10" i="143"/>
  <c r="AM10" i="143"/>
  <c r="AN10" i="143"/>
  <c r="AO10" i="143"/>
  <c r="AR10" i="143"/>
  <c r="AK11" i="143"/>
  <c r="AM11" i="143"/>
  <c r="AN11" i="143"/>
  <c r="AO11" i="143"/>
  <c r="AR11" i="143"/>
  <c r="AK13" i="143"/>
  <c r="AM13" i="143"/>
  <c r="AN13" i="143"/>
  <c r="AO13" i="143"/>
  <c r="AR13" i="143"/>
  <c r="AK14" i="143"/>
  <c r="AM14" i="143"/>
  <c r="AN14" i="143"/>
  <c r="AO14" i="143"/>
  <c r="AR14" i="143"/>
  <c r="AK18" i="143"/>
  <c r="AN18" i="143"/>
  <c r="AO18" i="143"/>
  <c r="AN20" i="143"/>
  <c r="AO20" i="143"/>
  <c r="AK22" i="143"/>
  <c r="AN22" i="143"/>
  <c r="AK24" i="143"/>
  <c r="AN24" i="143"/>
  <c r="AK26" i="143"/>
  <c r="AO26" i="143"/>
  <c r="AK28" i="143"/>
  <c r="AN28" i="143"/>
  <c r="AK30" i="143"/>
  <c r="AN30" i="143"/>
  <c r="B35" i="143"/>
  <c r="AN36" i="143"/>
  <c r="AO36" i="143"/>
  <c r="AP36" i="143"/>
  <c r="AP38" i="143"/>
  <c r="AP40" i="143"/>
  <c r="AP43" i="143"/>
  <c r="AP45" i="143"/>
  <c r="AP48" i="143"/>
  <c r="AK2" i="149"/>
  <c r="AK3" i="149"/>
  <c r="AK7" i="149"/>
  <c r="AM7" i="149"/>
  <c r="AN7" i="149"/>
  <c r="AO7" i="149"/>
  <c r="AP7" i="149"/>
  <c r="AR7" i="149"/>
  <c r="AK8" i="149"/>
  <c r="AM8" i="149"/>
  <c r="AN8" i="149"/>
  <c r="AO8" i="149"/>
  <c r="AP8" i="149"/>
  <c r="AR8" i="149"/>
  <c r="AK10" i="149"/>
  <c r="AM10" i="149"/>
  <c r="AN10" i="149"/>
  <c r="AO10" i="149"/>
  <c r="AP10" i="149"/>
  <c r="AR10" i="149"/>
  <c r="AK11" i="149"/>
  <c r="AM11" i="149"/>
  <c r="AN11" i="149"/>
  <c r="AO11" i="149"/>
  <c r="AP11" i="149"/>
  <c r="AR11" i="149"/>
  <c r="AK13" i="149"/>
  <c r="AM13" i="149"/>
  <c r="AN13" i="149"/>
  <c r="AO13" i="149"/>
  <c r="AP13" i="149"/>
  <c r="AR13" i="149"/>
  <c r="AK14" i="149"/>
  <c r="AM14" i="149"/>
  <c r="AN14" i="149"/>
  <c r="AO14" i="149"/>
  <c r="AP14" i="149"/>
  <c r="AR14" i="149"/>
  <c r="AK16" i="149"/>
  <c r="AM16" i="149"/>
  <c r="AN16" i="149"/>
  <c r="AO16" i="149"/>
  <c r="AP16" i="149"/>
  <c r="AR16" i="149"/>
  <c r="AK17" i="149"/>
  <c r="AM17" i="149"/>
  <c r="AN17" i="149"/>
  <c r="AO17" i="149"/>
  <c r="AP17" i="149"/>
  <c r="AR17" i="149"/>
  <c r="AK18" i="149"/>
  <c r="AM18" i="149"/>
  <c r="AN18" i="149"/>
  <c r="AO18" i="149"/>
  <c r="AP18" i="149"/>
  <c r="AR18" i="149"/>
  <c r="AK20" i="149"/>
  <c r="AN20" i="149"/>
  <c r="AK25" i="149"/>
  <c r="AN25" i="149"/>
  <c r="AO25" i="149"/>
  <c r="AN27" i="149"/>
  <c r="AO27" i="149"/>
  <c r="AK29" i="149"/>
  <c r="AN29" i="149"/>
  <c r="AK31" i="149"/>
  <c r="AN31" i="149"/>
  <c r="AK33" i="149"/>
  <c r="AO33" i="149"/>
  <c r="AK35" i="149"/>
  <c r="AN35" i="149"/>
  <c r="AK37" i="149"/>
  <c r="AN37" i="149"/>
  <c r="B42" i="149"/>
  <c r="AN43" i="149"/>
  <c r="AO43" i="149"/>
  <c r="AP43" i="149"/>
  <c r="AP45" i="149"/>
  <c r="AP47" i="149"/>
  <c r="AP50" i="149"/>
  <c r="AP52" i="149"/>
  <c r="AP55" i="149"/>
  <c r="AQ2" i="142"/>
  <c r="AQ3" i="142"/>
  <c r="AQ7" i="142"/>
  <c r="AS7" i="142"/>
  <c r="AT7" i="142"/>
  <c r="AU7" i="142"/>
  <c r="AX7" i="142"/>
  <c r="AQ8" i="142"/>
  <c r="AS8" i="142"/>
  <c r="AT8" i="142"/>
  <c r="AU8" i="142"/>
  <c r="AX8" i="142"/>
  <c r="AQ10" i="142"/>
  <c r="AS10" i="142"/>
  <c r="AT10" i="142"/>
  <c r="AU10" i="142"/>
  <c r="AX10" i="142"/>
  <c r="AQ11" i="142"/>
  <c r="AS11" i="142"/>
  <c r="AT11" i="142"/>
  <c r="AU11" i="142"/>
  <c r="AX11" i="142"/>
  <c r="AQ13" i="142"/>
  <c r="AS13" i="142"/>
  <c r="AT13" i="142"/>
  <c r="AU13" i="142"/>
  <c r="AX13" i="142"/>
  <c r="AQ14" i="142"/>
  <c r="AS14" i="142"/>
  <c r="AT14" i="142"/>
  <c r="AU14" i="142"/>
  <c r="AX14" i="142"/>
  <c r="AQ18" i="142"/>
  <c r="AT18" i="142"/>
  <c r="AU18" i="142"/>
  <c r="AT20" i="142"/>
  <c r="AU20" i="142"/>
  <c r="AQ22" i="142"/>
  <c r="AT22" i="142"/>
  <c r="AQ24" i="142"/>
  <c r="AT24" i="142"/>
  <c r="AQ26" i="142"/>
  <c r="AU26" i="142"/>
  <c r="AQ28" i="142"/>
  <c r="AT28" i="142"/>
  <c r="AQ30" i="142"/>
  <c r="AT30" i="142"/>
  <c r="B35" i="142"/>
  <c r="AT36" i="142"/>
  <c r="AU36" i="142"/>
  <c r="AV36" i="142"/>
  <c r="AV38" i="142"/>
  <c r="AV40" i="142"/>
  <c r="AV43" i="142"/>
  <c r="AV45" i="142"/>
  <c r="AV48" i="142"/>
  <c r="AQ2" i="148"/>
  <c r="AQ3" i="148"/>
  <c r="AQ7" i="148"/>
  <c r="AS7" i="148"/>
  <c r="AT7" i="148"/>
  <c r="AU7" i="148"/>
  <c r="AV7" i="148"/>
  <c r="AX7" i="148"/>
  <c r="AQ8" i="148"/>
  <c r="AS8" i="148"/>
  <c r="AT8" i="148"/>
  <c r="AU8" i="148"/>
  <c r="AV8" i="148"/>
  <c r="AX8" i="148"/>
  <c r="AQ10" i="148"/>
  <c r="AS10" i="148"/>
  <c r="AT10" i="148"/>
  <c r="AU10" i="148"/>
  <c r="AV10" i="148"/>
  <c r="AX10" i="148"/>
  <c r="AQ11" i="148"/>
  <c r="AS11" i="148"/>
  <c r="AT11" i="148"/>
  <c r="AU11" i="148"/>
  <c r="AV11" i="148"/>
  <c r="AX11" i="148"/>
  <c r="AQ13" i="148"/>
  <c r="AS13" i="148"/>
  <c r="AT13" i="148"/>
  <c r="AU13" i="148"/>
  <c r="AV13" i="148"/>
  <c r="AX13" i="148"/>
  <c r="AQ14" i="148"/>
  <c r="AS14" i="148"/>
  <c r="AT14" i="148"/>
  <c r="AU14" i="148"/>
  <c r="AV14" i="148"/>
  <c r="AX14" i="148"/>
  <c r="AQ16" i="148"/>
  <c r="AS16" i="148"/>
  <c r="AT16" i="148"/>
  <c r="AU16" i="148"/>
  <c r="AV16" i="148"/>
  <c r="AX16" i="148"/>
  <c r="AQ17" i="148"/>
  <c r="AS17" i="148"/>
  <c r="AT17" i="148"/>
  <c r="AU17" i="148"/>
  <c r="AV17" i="148"/>
  <c r="AX17" i="148"/>
  <c r="AQ18" i="148"/>
  <c r="AS18" i="148"/>
  <c r="AT18" i="148"/>
  <c r="AU18" i="148"/>
  <c r="AV18" i="148"/>
  <c r="AX18" i="148"/>
  <c r="AQ20" i="148"/>
  <c r="AT20" i="148"/>
  <c r="AQ25" i="148"/>
  <c r="AT25" i="148"/>
  <c r="AU25" i="148"/>
  <c r="AT27" i="148"/>
  <c r="AU27" i="148"/>
  <c r="AQ29" i="148"/>
  <c r="AT29" i="148"/>
  <c r="AQ31" i="148"/>
  <c r="AT31" i="148"/>
  <c r="AQ33" i="148"/>
  <c r="AU33" i="148"/>
  <c r="AQ35" i="148"/>
  <c r="AT35" i="148"/>
  <c r="AQ37" i="148"/>
  <c r="AT37" i="148"/>
  <c r="B42" i="148"/>
  <c r="AT43" i="148"/>
  <c r="AU43" i="148"/>
  <c r="AV43" i="148"/>
  <c r="AV45" i="148"/>
  <c r="AV47" i="148"/>
  <c r="AV50" i="148"/>
  <c r="AV52" i="148"/>
  <c r="AV55" i="148"/>
  <c r="B1" i="137"/>
  <c r="B2" i="137"/>
  <c r="B3" i="137"/>
  <c r="B6" i="137"/>
  <c r="R8" i="137"/>
  <c r="S8" i="137"/>
  <c r="B9" i="137"/>
  <c r="R9" i="137"/>
  <c r="S9" i="137"/>
  <c r="R10" i="137"/>
  <c r="S10" i="137"/>
  <c r="R11" i="137"/>
  <c r="S11" i="137"/>
  <c r="V16" i="137"/>
  <c r="V19" i="137"/>
  <c r="F22" i="137"/>
  <c r="G22" i="137"/>
  <c r="H22" i="137"/>
  <c r="I22" i="137"/>
  <c r="J22" i="137"/>
  <c r="U22" i="137"/>
  <c r="V22" i="137"/>
  <c r="F25" i="137"/>
  <c r="G25" i="137"/>
  <c r="H25" i="137"/>
  <c r="I25" i="137"/>
  <c r="J25" i="137"/>
  <c r="K25" i="137"/>
  <c r="L25" i="137"/>
  <c r="M25" i="137"/>
  <c r="O25" i="137"/>
  <c r="V25" i="137"/>
  <c r="F28" i="137"/>
  <c r="H28" i="137"/>
  <c r="G28" i="137"/>
  <c r="U28" i="137"/>
  <c r="V28" i="137"/>
  <c r="I28" i="137"/>
  <c r="J28" i="137"/>
  <c r="F35" i="137"/>
  <c r="H35" i="137"/>
  <c r="K35" i="137"/>
  <c r="L35" i="137"/>
  <c r="M35" i="137"/>
  <c r="O35" i="137"/>
  <c r="G35" i="137"/>
  <c r="U35" i="137"/>
  <c r="V35" i="137"/>
  <c r="I35" i="137"/>
  <c r="J35" i="137"/>
  <c r="F37" i="137"/>
  <c r="G37" i="137"/>
  <c r="H37" i="137"/>
  <c r="K37" i="137"/>
  <c r="L37" i="137"/>
  <c r="M37" i="137"/>
  <c r="O37" i="137"/>
  <c r="J37" i="137"/>
  <c r="F42" i="137"/>
  <c r="G42" i="137"/>
  <c r="H42" i="137"/>
  <c r="U42" i="137"/>
  <c r="V42" i="137"/>
  <c r="I42" i="137"/>
  <c r="J42" i="137"/>
  <c r="K42" i="137"/>
  <c r="L42" i="137"/>
  <c r="M42" i="137"/>
  <c r="O42" i="137"/>
  <c r="F44" i="137"/>
  <c r="H44" i="137"/>
  <c r="K44" i="137"/>
  <c r="L44" i="137"/>
  <c r="M44" i="137"/>
  <c r="O44" i="137"/>
  <c r="G44" i="137"/>
  <c r="J44" i="137"/>
  <c r="F49" i="137"/>
  <c r="G49" i="137"/>
  <c r="H49" i="137"/>
  <c r="I49" i="137"/>
  <c r="J49" i="137"/>
  <c r="V49" i="137"/>
  <c r="F52" i="137"/>
  <c r="G52" i="137"/>
  <c r="H52" i="137"/>
  <c r="J52" i="137"/>
  <c r="K52" i="137"/>
  <c r="L52" i="137"/>
  <c r="M52" i="137"/>
  <c r="O52" i="137"/>
  <c r="F57" i="137"/>
  <c r="H57" i="137"/>
  <c r="G57" i="137"/>
  <c r="V57" i="137"/>
  <c r="I57" i="137"/>
  <c r="J57" i="137"/>
  <c r="F60" i="137"/>
  <c r="G60" i="137"/>
  <c r="H60" i="137"/>
  <c r="J60" i="137"/>
  <c r="F65" i="137"/>
  <c r="G65" i="137"/>
  <c r="H65" i="137"/>
  <c r="U65" i="137"/>
  <c r="V65" i="137"/>
  <c r="I65" i="137"/>
  <c r="J65" i="137"/>
  <c r="K65" i="137"/>
  <c r="L65" i="137"/>
  <c r="M65" i="137"/>
  <c r="O65" i="137"/>
  <c r="F68" i="137"/>
  <c r="H68" i="137"/>
  <c r="K68" i="137"/>
  <c r="L68" i="137"/>
  <c r="M68" i="137"/>
  <c r="O68" i="137"/>
  <c r="G68" i="137"/>
  <c r="J68" i="137"/>
  <c r="F70" i="137"/>
  <c r="G70" i="137"/>
  <c r="H70" i="137"/>
  <c r="U70" i="137"/>
  <c r="V70" i="137"/>
  <c r="I70" i="137"/>
  <c r="J70" i="137"/>
  <c r="F72" i="137"/>
  <c r="G72" i="137"/>
  <c r="H72" i="137"/>
  <c r="J72" i="137"/>
  <c r="K72" i="137"/>
  <c r="L72" i="137"/>
  <c r="M72" i="137"/>
  <c r="O72" i="137"/>
  <c r="F77" i="137"/>
  <c r="H77" i="137"/>
  <c r="G77" i="137"/>
  <c r="U77" i="137"/>
  <c r="V77" i="137"/>
  <c r="I77" i="137"/>
  <c r="J77" i="137"/>
  <c r="F79" i="137"/>
  <c r="G79" i="137"/>
  <c r="H79" i="137"/>
  <c r="K79" i="137"/>
  <c r="L79" i="137"/>
  <c r="M79" i="137"/>
  <c r="O79" i="137"/>
  <c r="J79" i="137"/>
  <c r="F84" i="137"/>
  <c r="G84" i="137"/>
  <c r="H84" i="137"/>
  <c r="U84" i="137"/>
  <c r="V84" i="137"/>
  <c r="I84" i="137"/>
  <c r="J84" i="137"/>
  <c r="K84" i="137"/>
  <c r="L84" i="137"/>
  <c r="M84" i="137"/>
  <c r="O84" i="137"/>
  <c r="F86" i="137"/>
  <c r="H86" i="137"/>
  <c r="K86" i="137"/>
  <c r="L86" i="137"/>
  <c r="M86" i="137"/>
  <c r="O86" i="137"/>
  <c r="G86" i="137"/>
  <c r="J86" i="137"/>
  <c r="F91" i="137"/>
  <c r="G91" i="137"/>
  <c r="H91" i="137"/>
  <c r="I91" i="137"/>
  <c r="J91" i="137"/>
  <c r="V91" i="137"/>
  <c r="F94" i="137"/>
  <c r="G94" i="137"/>
  <c r="H94" i="137"/>
  <c r="J94" i="137"/>
  <c r="K94" i="137"/>
  <c r="L94" i="137"/>
  <c r="M94" i="137"/>
  <c r="O94" i="137"/>
  <c r="F99" i="137"/>
  <c r="H99" i="137"/>
  <c r="G99" i="137"/>
  <c r="U99" i="137"/>
  <c r="V99" i="137"/>
  <c r="I99" i="137"/>
  <c r="J99" i="137"/>
  <c r="F101" i="137"/>
  <c r="G101" i="137"/>
  <c r="H101" i="137"/>
  <c r="K101" i="137"/>
  <c r="L101" i="137"/>
  <c r="M101" i="137"/>
  <c r="O101" i="137"/>
  <c r="J101" i="137"/>
  <c r="F109" i="137"/>
  <c r="G109" i="137"/>
  <c r="H109" i="137"/>
  <c r="L109" i="137"/>
  <c r="M109" i="137"/>
  <c r="O109" i="137"/>
  <c r="U109" i="137"/>
  <c r="V109" i="137"/>
  <c r="I109" i="137"/>
  <c r="J109" i="137"/>
  <c r="K109" i="137"/>
  <c r="F111" i="137"/>
  <c r="H111" i="137"/>
  <c r="K111" i="137"/>
  <c r="L111" i="137"/>
  <c r="M111" i="137"/>
  <c r="O111" i="137"/>
  <c r="G111" i="137"/>
  <c r="J111" i="137"/>
  <c r="F119" i="137"/>
  <c r="G119" i="137"/>
  <c r="H119" i="137"/>
  <c r="K119" i="137"/>
  <c r="L119" i="137"/>
  <c r="M119" i="137"/>
  <c r="O119" i="137"/>
  <c r="I119" i="137"/>
  <c r="J119" i="137"/>
  <c r="U119" i="137"/>
  <c r="V119" i="137"/>
  <c r="F122" i="137"/>
  <c r="G122" i="137"/>
  <c r="H122" i="137"/>
  <c r="U122" i="137"/>
  <c r="V122" i="137"/>
  <c r="I122" i="137"/>
  <c r="J122" i="137"/>
  <c r="K122" i="137"/>
  <c r="L122" i="137"/>
  <c r="M122" i="137"/>
  <c r="O122" i="137"/>
  <c r="F124" i="137"/>
  <c r="H124" i="137"/>
  <c r="K124" i="137"/>
  <c r="L124" i="137"/>
  <c r="M124" i="137"/>
  <c r="O124" i="137"/>
  <c r="G124" i="137"/>
  <c r="J124" i="137"/>
  <c r="F129" i="137"/>
  <c r="H129" i="137"/>
  <c r="G129" i="137"/>
  <c r="U129" i="137"/>
  <c r="V129" i="137"/>
  <c r="I129" i="137"/>
  <c r="J129" i="137"/>
  <c r="F133" i="137"/>
  <c r="G133" i="137"/>
  <c r="H133" i="137"/>
  <c r="K133" i="137"/>
  <c r="L133" i="137"/>
  <c r="M133" i="137"/>
  <c r="O133" i="137"/>
  <c r="J133" i="137"/>
  <c r="F134" i="137"/>
  <c r="H134" i="137"/>
  <c r="K134" i="137"/>
  <c r="L134" i="137"/>
  <c r="M134" i="137"/>
  <c r="O134" i="137"/>
  <c r="G134" i="137"/>
  <c r="J134" i="137"/>
  <c r="F135" i="137"/>
  <c r="G135" i="137"/>
  <c r="H135" i="137"/>
  <c r="K135" i="137"/>
  <c r="L135" i="137"/>
  <c r="M135" i="137"/>
  <c r="O135" i="137"/>
  <c r="J135" i="137"/>
  <c r="C137" i="137"/>
  <c r="F137" i="137"/>
  <c r="G137" i="137"/>
  <c r="H137" i="137"/>
  <c r="J137" i="137"/>
  <c r="K137" i="137"/>
  <c r="L137" i="137"/>
  <c r="M137" i="137"/>
  <c r="O137" i="137"/>
  <c r="F139" i="137"/>
  <c r="H139" i="137"/>
  <c r="K139" i="137"/>
  <c r="L139" i="137"/>
  <c r="M139" i="137"/>
  <c r="O139" i="137"/>
  <c r="G139" i="137"/>
  <c r="J139" i="137"/>
  <c r="F142" i="137"/>
  <c r="G142" i="137"/>
  <c r="H142" i="137"/>
  <c r="I142" i="137"/>
  <c r="J142" i="137"/>
  <c r="K142" i="137"/>
  <c r="L142" i="137"/>
  <c r="M142" i="137"/>
  <c r="O142" i="137"/>
  <c r="F143" i="137"/>
  <c r="H143" i="137"/>
  <c r="K143" i="137"/>
  <c r="L143" i="137"/>
  <c r="M143" i="137"/>
  <c r="O143" i="137"/>
  <c r="G143" i="137"/>
  <c r="J143" i="137"/>
  <c r="F145" i="137"/>
  <c r="G145" i="137"/>
  <c r="H145" i="137"/>
  <c r="J145" i="137"/>
  <c r="V145" i="137"/>
  <c r="F150" i="137"/>
  <c r="H150" i="137"/>
  <c r="K150" i="137"/>
  <c r="L150" i="137"/>
  <c r="G150" i="137"/>
  <c r="I150" i="137"/>
  <c r="J150" i="137"/>
  <c r="M150" i="137"/>
  <c r="U150" i="137"/>
  <c r="V150" i="137"/>
  <c r="F152" i="137"/>
  <c r="H152" i="137"/>
  <c r="K152" i="137"/>
  <c r="L152" i="137"/>
  <c r="M152" i="137"/>
  <c r="O152" i="137"/>
  <c r="G152" i="137"/>
  <c r="J152" i="137"/>
  <c r="F157" i="137"/>
  <c r="G157" i="137"/>
  <c r="H157" i="137"/>
  <c r="U157" i="137"/>
  <c r="V157" i="137"/>
  <c r="I157" i="137"/>
  <c r="J157" i="137"/>
  <c r="F159" i="137"/>
  <c r="G159" i="137"/>
  <c r="H159" i="137"/>
  <c r="J159" i="137"/>
  <c r="K159" i="137"/>
  <c r="L159" i="137"/>
  <c r="M159" i="137"/>
  <c r="O159" i="137"/>
  <c r="F164" i="137"/>
  <c r="H164" i="137"/>
  <c r="G164" i="137"/>
  <c r="U164" i="137"/>
  <c r="V164" i="137"/>
  <c r="I164" i="137"/>
  <c r="J164" i="137"/>
  <c r="F166" i="137"/>
  <c r="H166" i="137"/>
  <c r="K166" i="137"/>
  <c r="L166" i="137"/>
  <c r="M166" i="137"/>
  <c r="O166" i="137"/>
  <c r="G166" i="137"/>
  <c r="J166" i="137"/>
  <c r="F171" i="137"/>
  <c r="G171" i="137"/>
  <c r="H171" i="137"/>
  <c r="U171" i="137"/>
  <c r="V171" i="137"/>
  <c r="I171" i="137"/>
  <c r="J171" i="137"/>
  <c r="K171" i="137"/>
  <c r="L171" i="137"/>
  <c r="M171" i="137"/>
  <c r="O171" i="137"/>
  <c r="F173" i="137"/>
  <c r="G173" i="137"/>
  <c r="H173" i="137"/>
  <c r="J173" i="137"/>
  <c r="K173" i="137"/>
  <c r="L173" i="137"/>
  <c r="M173" i="137"/>
  <c r="O173" i="137"/>
  <c r="F178" i="137"/>
  <c r="G178" i="137"/>
  <c r="H178" i="137"/>
  <c r="U178" i="137"/>
  <c r="V178" i="137"/>
  <c r="I178" i="137"/>
  <c r="J178" i="137"/>
  <c r="F180" i="137"/>
  <c r="G180" i="137"/>
  <c r="H180" i="137"/>
  <c r="J180" i="137"/>
  <c r="K180" i="137"/>
  <c r="L180" i="137"/>
  <c r="M180" i="137"/>
  <c r="O180" i="137"/>
  <c r="F185" i="137"/>
  <c r="H185" i="137"/>
  <c r="G185" i="137"/>
  <c r="U185" i="137"/>
  <c r="V185" i="137"/>
  <c r="I185" i="137"/>
  <c r="J185" i="137"/>
  <c r="F187" i="137"/>
  <c r="H187" i="137"/>
  <c r="K187" i="137"/>
  <c r="L187" i="137"/>
  <c r="M187" i="137"/>
  <c r="O187" i="137"/>
  <c r="G187" i="137"/>
  <c r="J187" i="137"/>
  <c r="F192" i="137"/>
  <c r="G192" i="137"/>
  <c r="H192" i="137"/>
  <c r="I192" i="137"/>
  <c r="J192" i="137"/>
  <c r="K192" i="137"/>
  <c r="L192" i="137"/>
  <c r="M192" i="137"/>
  <c r="O192" i="137"/>
  <c r="V192" i="137"/>
  <c r="F195" i="137"/>
  <c r="G195" i="137"/>
  <c r="H195" i="137"/>
  <c r="V195" i="137"/>
  <c r="I195" i="137"/>
  <c r="J195" i="137"/>
  <c r="K195" i="137"/>
  <c r="L195" i="137"/>
  <c r="M195" i="137"/>
  <c r="O195" i="137"/>
  <c r="F198" i="137"/>
  <c r="H198" i="137"/>
  <c r="G198" i="137"/>
  <c r="V198" i="137"/>
  <c r="I198" i="137"/>
  <c r="J198" i="137"/>
  <c r="F204" i="137"/>
  <c r="G204" i="137"/>
  <c r="H204" i="137"/>
  <c r="I204" i="137"/>
  <c r="J204" i="137"/>
  <c r="V204" i="137"/>
  <c r="F206" i="137"/>
  <c r="G206" i="137"/>
  <c r="H206" i="137"/>
  <c r="J206" i="137"/>
  <c r="K206" i="137"/>
  <c r="L206" i="137"/>
  <c r="M206" i="137"/>
  <c r="O206" i="137"/>
  <c r="F208" i="137"/>
  <c r="H208" i="137"/>
  <c r="G208" i="137"/>
  <c r="V208" i="137"/>
  <c r="I208" i="137"/>
  <c r="J208" i="137"/>
  <c r="F210" i="137"/>
  <c r="G210" i="137"/>
  <c r="H210" i="137"/>
  <c r="J210" i="137"/>
  <c r="F218" i="137"/>
  <c r="G218" i="137"/>
  <c r="H218" i="137"/>
  <c r="V218" i="137"/>
  <c r="I218" i="137"/>
  <c r="J218" i="137"/>
  <c r="K218" i="137"/>
  <c r="L218" i="137"/>
  <c r="M218" i="137"/>
  <c r="O218" i="137"/>
  <c r="F220" i="137"/>
  <c r="H220" i="137"/>
  <c r="K220" i="137"/>
  <c r="L220" i="137"/>
  <c r="M220" i="137"/>
  <c r="O220" i="137"/>
  <c r="G220" i="137"/>
  <c r="J220" i="137"/>
  <c r="F225" i="137"/>
  <c r="G225" i="137"/>
  <c r="H225" i="137"/>
  <c r="I225" i="137"/>
  <c r="J225" i="137"/>
  <c r="K225" i="137"/>
  <c r="L225" i="137"/>
  <c r="M225" i="137"/>
  <c r="O225" i="137"/>
  <c r="V225" i="137"/>
  <c r="F227" i="137"/>
  <c r="G227" i="137"/>
  <c r="H227" i="137"/>
  <c r="J227" i="137"/>
  <c r="K227" i="137"/>
  <c r="L227" i="137"/>
  <c r="M227" i="137"/>
  <c r="O227" i="137"/>
  <c r="F232" i="137"/>
  <c r="G232" i="137"/>
  <c r="H232" i="137"/>
  <c r="K232" i="137"/>
  <c r="L232" i="137"/>
  <c r="M232" i="137"/>
  <c r="O232" i="137"/>
  <c r="I232" i="137"/>
  <c r="J232" i="137"/>
  <c r="V232" i="137"/>
  <c r="F234" i="137"/>
  <c r="G234" i="137"/>
  <c r="H234" i="137"/>
  <c r="J234" i="137"/>
  <c r="K234" i="137"/>
  <c r="L234" i="137"/>
  <c r="M234" i="137"/>
  <c r="O234" i="137"/>
  <c r="F239" i="137"/>
  <c r="H239" i="137"/>
  <c r="K239" i="137"/>
  <c r="L239" i="137"/>
  <c r="M239" i="137"/>
  <c r="O239" i="137"/>
  <c r="G239" i="137"/>
  <c r="V239" i="137"/>
  <c r="I239" i="137"/>
  <c r="J239" i="137"/>
  <c r="C242" i="137"/>
  <c r="F242" i="137"/>
  <c r="H242" i="137"/>
  <c r="K242" i="137"/>
  <c r="L242" i="137"/>
  <c r="M242" i="137"/>
  <c r="O242" i="137"/>
  <c r="G242" i="137"/>
  <c r="J242" i="137"/>
  <c r="F244" i="137"/>
  <c r="G244" i="137"/>
  <c r="H244" i="137"/>
  <c r="J244" i="137"/>
  <c r="K244" i="137"/>
  <c r="L244" i="137"/>
  <c r="M244" i="137"/>
  <c r="O244" i="137"/>
  <c r="F245" i="137"/>
  <c r="H245" i="137"/>
  <c r="K245" i="137"/>
  <c r="L245" i="137"/>
  <c r="M245" i="137"/>
  <c r="O245" i="137"/>
  <c r="G245" i="137"/>
  <c r="J245" i="137"/>
  <c r="F246" i="137"/>
  <c r="G246" i="137"/>
  <c r="H246" i="137"/>
  <c r="J246" i="137"/>
  <c r="K246" i="137"/>
  <c r="L246" i="137"/>
  <c r="M246" i="137"/>
  <c r="O246" i="137"/>
  <c r="F248" i="137"/>
  <c r="H248" i="137"/>
  <c r="K248" i="137"/>
  <c r="L248" i="137"/>
  <c r="M248" i="137"/>
  <c r="O248" i="137"/>
  <c r="G248" i="137"/>
  <c r="J248" i="137"/>
  <c r="F250" i="137"/>
  <c r="G250" i="137"/>
  <c r="H250" i="137"/>
  <c r="K250" i="137"/>
  <c r="L250" i="137"/>
  <c r="M250" i="137"/>
  <c r="O250" i="137"/>
  <c r="I250" i="137"/>
  <c r="J250" i="137"/>
  <c r="F251" i="137"/>
  <c r="G251" i="137"/>
  <c r="H251" i="137"/>
  <c r="J251" i="137"/>
  <c r="K251" i="137"/>
  <c r="L251" i="137"/>
  <c r="M251" i="137"/>
  <c r="O251" i="137"/>
  <c r="F253" i="137"/>
  <c r="H253" i="137"/>
  <c r="K253" i="137"/>
  <c r="L253" i="137"/>
  <c r="M253" i="137"/>
  <c r="O253" i="137"/>
  <c r="G253" i="137"/>
  <c r="J253" i="137"/>
  <c r="V253" i="137"/>
  <c r="F265" i="137"/>
  <c r="G265" i="137"/>
  <c r="H265" i="137"/>
  <c r="I265" i="137"/>
  <c r="J265" i="137"/>
  <c r="V265" i="137"/>
  <c r="F267" i="137"/>
  <c r="G267" i="137"/>
  <c r="H267" i="137"/>
  <c r="J267" i="137"/>
  <c r="K267" i="137"/>
  <c r="L267" i="137"/>
  <c r="M267" i="137"/>
  <c r="O267" i="137"/>
  <c r="V272" i="137"/>
  <c r="V275" i="137"/>
  <c r="F278" i="137"/>
  <c r="H278" i="137"/>
  <c r="G278" i="137"/>
  <c r="V278" i="137"/>
  <c r="I278" i="137"/>
  <c r="J278" i="137"/>
  <c r="F283" i="137"/>
  <c r="G283" i="137"/>
  <c r="H283" i="137"/>
  <c r="K283" i="137"/>
  <c r="L283" i="137"/>
  <c r="M283" i="137"/>
  <c r="O283" i="137"/>
  <c r="I283" i="137"/>
  <c r="J283" i="137"/>
  <c r="V283" i="137"/>
  <c r="F288" i="137"/>
  <c r="G288" i="137"/>
  <c r="H288" i="137"/>
  <c r="I288" i="137"/>
  <c r="J288" i="137"/>
  <c r="K288" i="137"/>
  <c r="L288" i="137"/>
  <c r="M288" i="137"/>
  <c r="O288" i="137"/>
  <c r="V288" i="137"/>
  <c r="F291" i="137"/>
  <c r="H291" i="137"/>
  <c r="G291" i="137"/>
  <c r="V291" i="137"/>
  <c r="I291" i="137"/>
  <c r="J291" i="137"/>
  <c r="F293" i="137"/>
  <c r="H293" i="137"/>
  <c r="K293" i="137"/>
  <c r="L293" i="137"/>
  <c r="M293" i="137"/>
  <c r="O293" i="137"/>
  <c r="G293" i="137"/>
  <c r="J293" i="137"/>
  <c r="F298" i="137"/>
  <c r="G298" i="137"/>
  <c r="H298" i="137"/>
  <c r="I298" i="137"/>
  <c r="J298" i="137"/>
  <c r="K298" i="137"/>
  <c r="L298" i="137"/>
  <c r="M298" i="137"/>
  <c r="O298" i="137"/>
  <c r="V298" i="137"/>
  <c r="F300" i="137"/>
  <c r="H300" i="137"/>
  <c r="K300" i="137"/>
  <c r="L300" i="137"/>
  <c r="M300" i="137"/>
  <c r="O300" i="137"/>
  <c r="G300" i="137"/>
  <c r="J300" i="137"/>
  <c r="F305" i="137"/>
  <c r="G305" i="137"/>
  <c r="H305" i="137"/>
  <c r="K305" i="137"/>
  <c r="L305" i="137"/>
  <c r="M305" i="137"/>
  <c r="O305" i="137"/>
  <c r="I305" i="137"/>
  <c r="J305" i="137"/>
  <c r="V305" i="137"/>
  <c r="F307" i="137"/>
  <c r="G307" i="137"/>
  <c r="H307" i="137"/>
  <c r="J307" i="137"/>
  <c r="K307" i="137"/>
  <c r="L307" i="137"/>
  <c r="M307" i="137"/>
  <c r="O307" i="137"/>
  <c r="F312" i="137"/>
  <c r="H312" i="137"/>
  <c r="G312" i="137"/>
  <c r="V312" i="137"/>
  <c r="I312" i="137"/>
  <c r="J312" i="137"/>
  <c r="F314" i="137"/>
  <c r="G314" i="137"/>
  <c r="H314" i="137"/>
  <c r="K314" i="137"/>
  <c r="L314" i="137"/>
  <c r="M314" i="137"/>
  <c r="O314" i="137"/>
  <c r="J314" i="137"/>
  <c r="F319" i="137"/>
  <c r="G319" i="137"/>
  <c r="H319" i="137"/>
  <c r="V319" i="137"/>
  <c r="I319" i="137"/>
  <c r="J319" i="137"/>
  <c r="K319" i="137"/>
  <c r="L319" i="137"/>
  <c r="M319" i="137"/>
  <c r="O319" i="137"/>
  <c r="F321" i="137"/>
  <c r="H321" i="137"/>
  <c r="K321" i="137"/>
  <c r="L321" i="137"/>
  <c r="M321" i="137"/>
  <c r="O321" i="137"/>
  <c r="G321" i="137"/>
  <c r="J321" i="137"/>
  <c r="F326" i="137"/>
  <c r="G326" i="137"/>
  <c r="H326" i="137"/>
  <c r="K326" i="137"/>
  <c r="L326" i="137"/>
  <c r="M326" i="137"/>
  <c r="O326" i="137"/>
  <c r="I326" i="137"/>
  <c r="J326" i="137"/>
  <c r="V326" i="137"/>
  <c r="F329" i="137"/>
  <c r="G329" i="137"/>
  <c r="H329" i="137"/>
  <c r="V329" i="137"/>
  <c r="I329" i="137"/>
  <c r="J329" i="137"/>
  <c r="K329" i="137"/>
  <c r="L329" i="137"/>
  <c r="M329" i="137"/>
  <c r="O329" i="137"/>
  <c r="F332" i="137"/>
  <c r="H332" i="137"/>
  <c r="G332" i="137"/>
  <c r="V332" i="137"/>
  <c r="I332" i="137"/>
  <c r="J332" i="137"/>
  <c r="F335" i="137"/>
  <c r="G335" i="137"/>
  <c r="H335" i="137"/>
  <c r="I335" i="137"/>
  <c r="J335" i="137"/>
  <c r="V335" i="137"/>
  <c r="F339" i="137"/>
  <c r="G339" i="137"/>
  <c r="H339" i="137"/>
  <c r="I339" i="137"/>
  <c r="J339" i="137"/>
  <c r="K339" i="137"/>
  <c r="L339" i="137"/>
  <c r="M339" i="137"/>
  <c r="O339" i="137"/>
  <c r="V339" i="137"/>
  <c r="F341" i="137"/>
  <c r="H341" i="137"/>
  <c r="K341" i="137"/>
  <c r="L341" i="137"/>
  <c r="M341" i="137"/>
  <c r="O341" i="137"/>
  <c r="G341" i="137"/>
  <c r="J341" i="137"/>
  <c r="F346" i="137"/>
  <c r="G346" i="137"/>
  <c r="H346" i="137"/>
  <c r="I346" i="137"/>
  <c r="J346" i="137"/>
  <c r="V346" i="137"/>
  <c r="F348" i="137"/>
  <c r="G348" i="137"/>
  <c r="H348" i="137"/>
  <c r="J348" i="137"/>
  <c r="K348" i="137"/>
  <c r="L348" i="137"/>
  <c r="M348" i="137"/>
  <c r="O348" i="137"/>
  <c r="F353" i="137"/>
  <c r="H353" i="137"/>
  <c r="G353" i="137"/>
  <c r="V353" i="137"/>
  <c r="I353" i="137"/>
  <c r="J353" i="137"/>
  <c r="F355" i="137"/>
  <c r="G355" i="137"/>
  <c r="H355" i="137"/>
  <c r="K355" i="137"/>
  <c r="L355" i="137"/>
  <c r="M355" i="137"/>
  <c r="O355" i="137"/>
  <c r="J355" i="137"/>
  <c r="F363" i="137"/>
  <c r="G363" i="137"/>
  <c r="H363" i="137"/>
  <c r="V363" i="137"/>
  <c r="I363" i="137"/>
  <c r="J363" i="137"/>
  <c r="K363" i="137"/>
  <c r="L363" i="137"/>
  <c r="M363" i="137"/>
  <c r="O363" i="137"/>
  <c r="F365" i="137"/>
  <c r="H365" i="137"/>
  <c r="K365" i="137"/>
  <c r="L365" i="137"/>
  <c r="M365" i="137"/>
  <c r="O365" i="137"/>
  <c r="G365" i="137"/>
  <c r="J365" i="137"/>
  <c r="F370" i="137"/>
  <c r="G370" i="137"/>
  <c r="H370" i="137"/>
  <c r="I370" i="137"/>
  <c r="J370" i="137"/>
  <c r="V370" i="137"/>
  <c r="F372" i="137"/>
  <c r="G372" i="137"/>
  <c r="H372" i="137"/>
  <c r="J372" i="137"/>
  <c r="K372" i="137"/>
  <c r="L372" i="137"/>
  <c r="M372" i="137"/>
  <c r="O372" i="137"/>
  <c r="F377" i="137"/>
  <c r="H377" i="137"/>
  <c r="G377" i="137"/>
  <c r="I377" i="137"/>
  <c r="J377" i="137"/>
  <c r="V377" i="137"/>
  <c r="F379" i="137"/>
  <c r="G379" i="137"/>
  <c r="H379" i="137"/>
  <c r="J379" i="137"/>
  <c r="K379" i="137"/>
  <c r="L379" i="137"/>
  <c r="M379" i="137"/>
  <c r="O379" i="137"/>
  <c r="F384" i="137"/>
  <c r="H384" i="137"/>
  <c r="K384" i="137"/>
  <c r="L384" i="137"/>
  <c r="M384" i="137"/>
  <c r="O384" i="137"/>
  <c r="G384" i="137"/>
  <c r="V384" i="137"/>
  <c r="I384" i="137"/>
  <c r="J384" i="137"/>
  <c r="F386" i="137"/>
  <c r="H386" i="137"/>
  <c r="K386" i="137"/>
  <c r="L386" i="137"/>
  <c r="M386" i="137"/>
  <c r="O386" i="137"/>
  <c r="G386" i="137"/>
  <c r="J386" i="137"/>
  <c r="C394" i="137"/>
  <c r="F394" i="137"/>
  <c r="G394" i="137"/>
  <c r="H394" i="137"/>
  <c r="J394" i="137"/>
  <c r="K394" i="137"/>
  <c r="L394" i="137"/>
  <c r="M394" i="137"/>
  <c r="O394" i="137"/>
  <c r="F396" i="137"/>
  <c r="H396" i="137"/>
  <c r="K396" i="137"/>
  <c r="L396" i="137"/>
  <c r="M396" i="137"/>
  <c r="O396" i="137"/>
  <c r="G396" i="137"/>
  <c r="J396" i="137"/>
  <c r="F397" i="137"/>
  <c r="G397" i="137"/>
  <c r="H397" i="137"/>
  <c r="J397" i="137"/>
  <c r="K397" i="137"/>
  <c r="L397" i="137"/>
  <c r="M397" i="137"/>
  <c r="O397" i="137"/>
  <c r="F398" i="137"/>
  <c r="H398" i="137"/>
  <c r="K398" i="137"/>
  <c r="L398" i="137"/>
  <c r="M398" i="137"/>
  <c r="O398" i="137"/>
  <c r="G398" i="137"/>
  <c r="J398" i="137"/>
  <c r="F400" i="137"/>
  <c r="H400" i="137"/>
  <c r="K400" i="137"/>
  <c r="L400" i="137"/>
  <c r="M400" i="137"/>
  <c r="O400" i="137"/>
  <c r="G400" i="137"/>
  <c r="J400" i="137"/>
  <c r="F402" i="137"/>
  <c r="G402" i="137"/>
  <c r="H402" i="137"/>
  <c r="I402" i="137"/>
  <c r="J402" i="137"/>
  <c r="K402" i="137"/>
  <c r="L402" i="137"/>
  <c r="M402" i="137"/>
  <c r="O402" i="137"/>
  <c r="F403" i="137"/>
  <c r="H403" i="137"/>
  <c r="K403" i="137"/>
  <c r="L403" i="137"/>
  <c r="M403" i="137"/>
  <c r="O403" i="137"/>
  <c r="G403" i="137"/>
  <c r="J403" i="137"/>
  <c r="F405" i="137"/>
  <c r="G405" i="137"/>
  <c r="H405" i="137"/>
  <c r="J405" i="137"/>
  <c r="K405" i="137"/>
  <c r="L405" i="137"/>
  <c r="M405" i="137"/>
  <c r="O405" i="137"/>
  <c r="V405" i="137"/>
  <c r="R417" i="137"/>
  <c r="S417" i="137"/>
  <c r="R418" i="137"/>
  <c r="S418" i="137"/>
  <c r="R419" i="137"/>
  <c r="S419" i="137"/>
  <c r="O420" i="137"/>
  <c r="R420" i="137"/>
  <c r="S420" i="137"/>
  <c r="P427" i="137"/>
  <c r="C429" i="137"/>
  <c r="D429" i="137"/>
  <c r="E429" i="137"/>
  <c r="K429" i="137"/>
  <c r="C430" i="137"/>
  <c r="D430" i="137"/>
  <c r="E430" i="137"/>
  <c r="C431" i="137"/>
  <c r="D431" i="137"/>
  <c r="E431" i="137"/>
  <c r="K431" i="137"/>
  <c r="K433" i="137"/>
  <c r="L434" i="137"/>
  <c r="D438" i="137"/>
  <c r="E438" i="137"/>
  <c r="K438" i="137"/>
  <c r="L438" i="137"/>
  <c r="E440" i="137"/>
  <c r="L440" i="137"/>
  <c r="E441" i="137"/>
  <c r="L441" i="137"/>
  <c r="E442" i="137"/>
  <c r="L442" i="137"/>
  <c r="D444" i="137"/>
  <c r="E444" i="137"/>
  <c r="K444" i="137"/>
  <c r="L444" i="137"/>
  <c r="E445" i="137"/>
  <c r="L445" i="137"/>
  <c r="G7" i="147"/>
  <c r="G9" i="147"/>
  <c r="D15" i="147"/>
  <c r="D16" i="147"/>
  <c r="D17" i="147"/>
  <c r="L18" i="147"/>
  <c r="D19" i="147"/>
  <c r="D20" i="147"/>
  <c r="L21" i="147"/>
  <c r="L22" i="147"/>
  <c r="M22" i="147"/>
  <c r="D23" i="147"/>
  <c r="D24" i="147"/>
  <c r="L24" i="147"/>
  <c r="M24" i="147"/>
  <c r="D25" i="147"/>
  <c r="L25" i="147"/>
  <c r="D26" i="147"/>
  <c r="L26" i="147"/>
  <c r="D27" i="147"/>
  <c r="L27" i="147"/>
  <c r="L29" i="147"/>
  <c r="K36" i="147"/>
  <c r="K38" i="147"/>
  <c r="F39" i="147"/>
  <c r="K39" i="147"/>
  <c r="D40" i="147"/>
  <c r="D43" i="147"/>
  <c r="D44" i="147"/>
  <c r="D46" i="147"/>
  <c r="D47" i="147"/>
  <c r="B1" i="152"/>
  <c r="B2" i="152"/>
  <c r="B3" i="152"/>
  <c r="W4" i="152"/>
  <c r="X4" i="152"/>
  <c r="B6" i="152"/>
  <c r="W6" i="152"/>
  <c r="X6" i="152"/>
  <c r="B9" i="152"/>
  <c r="X10" i="152"/>
  <c r="X12" i="152"/>
  <c r="C18" i="152"/>
  <c r="F18" i="152"/>
  <c r="G18" i="152"/>
  <c r="H18" i="152"/>
  <c r="J18" i="152"/>
  <c r="K18" i="152"/>
  <c r="L18" i="152"/>
  <c r="M18" i="152"/>
  <c r="O18" i="152"/>
  <c r="C19" i="152"/>
  <c r="F19" i="152"/>
  <c r="G19" i="152"/>
  <c r="H19" i="152"/>
  <c r="J19" i="152"/>
  <c r="K19" i="152"/>
  <c r="L19" i="152"/>
  <c r="M19" i="152"/>
  <c r="O19" i="152"/>
  <c r="Q19" i="152"/>
  <c r="R19" i="152"/>
  <c r="C20" i="152"/>
  <c r="F20" i="152"/>
  <c r="G20" i="152"/>
  <c r="H20" i="152"/>
  <c r="J20" i="152"/>
  <c r="K20" i="152"/>
  <c r="L20" i="152"/>
  <c r="M20" i="152"/>
  <c r="O20" i="152"/>
  <c r="Q20" i="152"/>
  <c r="R20" i="152"/>
  <c r="C21" i="152"/>
  <c r="F21" i="152"/>
  <c r="G21" i="152"/>
  <c r="H21" i="152"/>
  <c r="J21" i="152"/>
  <c r="K21" i="152"/>
  <c r="L21" i="152"/>
  <c r="M21" i="152"/>
  <c r="O21" i="152"/>
  <c r="Q21" i="152"/>
  <c r="R21" i="152"/>
  <c r="C22" i="152"/>
  <c r="F22" i="152"/>
  <c r="G22" i="152"/>
  <c r="H22" i="152"/>
  <c r="J22" i="152"/>
  <c r="K22" i="152"/>
  <c r="L22" i="152"/>
  <c r="M22" i="152"/>
  <c r="O22" i="152"/>
  <c r="P22" i="152"/>
  <c r="R22" i="152"/>
  <c r="C23" i="152"/>
  <c r="F23" i="152"/>
  <c r="G23" i="152"/>
  <c r="H23" i="152"/>
  <c r="J23" i="152"/>
  <c r="K23" i="152"/>
  <c r="L23" i="152"/>
  <c r="M23" i="152"/>
  <c r="O23" i="152"/>
  <c r="Q23" i="152"/>
  <c r="R23" i="152"/>
  <c r="F25" i="152"/>
  <c r="G25" i="152"/>
  <c r="H25" i="152"/>
  <c r="I25" i="152"/>
  <c r="J25" i="152"/>
  <c r="K25" i="152"/>
  <c r="L25" i="152"/>
  <c r="M25" i="152"/>
  <c r="O25" i="152"/>
  <c r="S25" i="152"/>
  <c r="U25" i="152"/>
  <c r="F27" i="152"/>
  <c r="G27" i="152"/>
  <c r="H27" i="152"/>
  <c r="J27" i="152"/>
  <c r="K27" i="152"/>
  <c r="L27" i="152"/>
  <c r="M27" i="152"/>
  <c r="O27" i="152"/>
  <c r="F29" i="152"/>
  <c r="G29" i="152"/>
  <c r="H29" i="152"/>
  <c r="J29" i="152"/>
  <c r="K29" i="152"/>
  <c r="L29" i="152"/>
  <c r="M29" i="152"/>
  <c r="O29" i="152"/>
  <c r="F30" i="152"/>
  <c r="G30" i="152"/>
  <c r="H30" i="152"/>
  <c r="J30" i="152"/>
  <c r="K30" i="152"/>
  <c r="L30" i="152"/>
  <c r="M30" i="152"/>
  <c r="O30" i="152"/>
  <c r="F31" i="152"/>
  <c r="G31" i="152"/>
  <c r="H31" i="152"/>
  <c r="J31" i="152"/>
  <c r="K31" i="152"/>
  <c r="L31" i="152"/>
  <c r="M31" i="152"/>
  <c r="O31" i="152"/>
  <c r="F32" i="152"/>
  <c r="G32" i="152"/>
  <c r="H32" i="152"/>
  <c r="J32" i="152"/>
  <c r="K32" i="152"/>
  <c r="L32" i="152"/>
  <c r="M32" i="152"/>
  <c r="O32" i="152"/>
  <c r="C38" i="152"/>
  <c r="F38" i="152"/>
  <c r="G38" i="152"/>
  <c r="H38" i="152"/>
  <c r="J38" i="152"/>
  <c r="K38" i="152"/>
  <c r="L38" i="152"/>
  <c r="M38" i="152"/>
  <c r="O38" i="152"/>
  <c r="C39" i="152"/>
  <c r="F39" i="152"/>
  <c r="G39" i="152"/>
  <c r="H39" i="152"/>
  <c r="J39" i="152"/>
  <c r="K39" i="152"/>
  <c r="L39" i="152"/>
  <c r="M39" i="152"/>
  <c r="O39" i="152"/>
  <c r="Q39" i="152"/>
  <c r="R39" i="152"/>
  <c r="C40" i="152"/>
  <c r="F40" i="152"/>
  <c r="G40" i="152"/>
  <c r="H40" i="152"/>
  <c r="J40" i="152"/>
  <c r="K40" i="152"/>
  <c r="L40" i="152"/>
  <c r="M40" i="152"/>
  <c r="O40" i="152"/>
  <c r="Q40" i="152"/>
  <c r="R40" i="152"/>
  <c r="C41" i="152"/>
  <c r="F41" i="152"/>
  <c r="G41" i="152"/>
  <c r="H41" i="152"/>
  <c r="J41" i="152"/>
  <c r="K41" i="152"/>
  <c r="L41" i="152"/>
  <c r="M41" i="152"/>
  <c r="O41" i="152"/>
  <c r="Q41" i="152"/>
  <c r="R41" i="152"/>
  <c r="C42" i="152"/>
  <c r="F42" i="152"/>
  <c r="G42" i="152"/>
  <c r="H42" i="152"/>
  <c r="J42" i="152"/>
  <c r="K42" i="152"/>
  <c r="L42" i="152"/>
  <c r="M42" i="152"/>
  <c r="O42" i="152"/>
  <c r="P42" i="152"/>
  <c r="R42" i="152"/>
  <c r="C43" i="152"/>
  <c r="F43" i="152"/>
  <c r="G43" i="152"/>
  <c r="H43" i="152"/>
  <c r="J43" i="152"/>
  <c r="K43" i="152"/>
  <c r="L43" i="152"/>
  <c r="M43" i="152"/>
  <c r="O43" i="152"/>
  <c r="Q43" i="152"/>
  <c r="R43" i="152"/>
  <c r="F46" i="152"/>
  <c r="G46" i="152"/>
  <c r="H46" i="152"/>
  <c r="I46" i="152"/>
  <c r="J46" i="152"/>
  <c r="K46" i="152"/>
  <c r="L46" i="152"/>
  <c r="M46" i="152"/>
  <c r="O46" i="152"/>
  <c r="S46" i="152"/>
  <c r="F48" i="152"/>
  <c r="G48" i="152"/>
  <c r="H48" i="152"/>
  <c r="J48" i="152"/>
  <c r="K48" i="152"/>
  <c r="L48" i="152"/>
  <c r="M48" i="152"/>
  <c r="O48" i="152"/>
  <c r="F50" i="152"/>
  <c r="G50" i="152"/>
  <c r="H50" i="152"/>
  <c r="J50" i="152"/>
  <c r="K50" i="152"/>
  <c r="L50" i="152"/>
  <c r="M50" i="152"/>
  <c r="O50" i="152"/>
  <c r="F51" i="152"/>
  <c r="G51" i="152"/>
  <c r="H51" i="152"/>
  <c r="J51" i="152"/>
  <c r="K51" i="152"/>
  <c r="L51" i="152"/>
  <c r="M51" i="152"/>
  <c r="O51" i="152"/>
  <c r="C60" i="152"/>
  <c r="F60" i="152"/>
  <c r="G60" i="152"/>
  <c r="H60" i="152"/>
  <c r="J60" i="152"/>
  <c r="K60" i="152"/>
  <c r="L60" i="152"/>
  <c r="M60" i="152"/>
  <c r="O60" i="152"/>
  <c r="C61" i="152"/>
  <c r="F61" i="152"/>
  <c r="G61" i="152"/>
  <c r="H61" i="152"/>
  <c r="J61" i="152"/>
  <c r="K61" i="152"/>
  <c r="L61" i="152"/>
  <c r="M61" i="152"/>
  <c r="O61" i="152"/>
  <c r="Q61" i="152"/>
  <c r="R61" i="152"/>
  <c r="C62" i="152"/>
  <c r="F62" i="152"/>
  <c r="G62" i="152"/>
  <c r="H62" i="152"/>
  <c r="J62" i="152"/>
  <c r="K62" i="152"/>
  <c r="L62" i="152"/>
  <c r="M62" i="152"/>
  <c r="O62" i="152"/>
  <c r="Q62" i="152"/>
  <c r="R62" i="152"/>
  <c r="C63" i="152"/>
  <c r="F63" i="152"/>
  <c r="G63" i="152"/>
  <c r="H63" i="152"/>
  <c r="J63" i="152"/>
  <c r="K63" i="152"/>
  <c r="L63" i="152"/>
  <c r="M63" i="152"/>
  <c r="O63" i="152"/>
  <c r="Q63" i="152"/>
  <c r="R63" i="152"/>
  <c r="C64" i="152"/>
  <c r="F64" i="152"/>
  <c r="G64" i="152"/>
  <c r="H64" i="152"/>
  <c r="J64" i="152"/>
  <c r="K64" i="152"/>
  <c r="L64" i="152"/>
  <c r="M64" i="152"/>
  <c r="O64" i="152"/>
  <c r="P64" i="152"/>
  <c r="C65" i="152"/>
  <c r="F65" i="152"/>
  <c r="G65" i="152"/>
  <c r="H65" i="152"/>
  <c r="J65" i="152"/>
  <c r="K65" i="152"/>
  <c r="L65" i="152"/>
  <c r="M65" i="152"/>
  <c r="O65" i="152"/>
  <c r="Q65" i="152"/>
  <c r="R65" i="152"/>
  <c r="F68" i="152"/>
  <c r="H68" i="152"/>
  <c r="J68" i="152"/>
  <c r="M69" i="152"/>
  <c r="O69" i="152"/>
  <c r="M72" i="152"/>
  <c r="O72" i="152"/>
  <c r="M74" i="152"/>
  <c r="O74" i="152"/>
  <c r="M76" i="152"/>
  <c r="O76" i="152"/>
  <c r="L78" i="152"/>
  <c r="M78" i="152"/>
  <c r="O80" i="152"/>
  <c r="M82" i="152"/>
  <c r="O82" i="152"/>
  <c r="M84" i="152"/>
  <c r="O84" i="152"/>
  <c r="M86" i="152"/>
  <c r="N86" i="152"/>
  <c r="O86" i="152"/>
  <c r="N87" i="152"/>
  <c r="P87" i="152"/>
  <c r="K88" i="152"/>
  <c r="M88" i="152"/>
  <c r="N88" i="152"/>
  <c r="O88" i="152"/>
  <c r="P88" i="152"/>
  <c r="Q88" i="152"/>
  <c r="G90" i="152"/>
  <c r="K90" i="152"/>
  <c r="M90" i="152"/>
  <c r="N90" i="152"/>
  <c r="O90" i="152"/>
  <c r="P90" i="152"/>
  <c r="Q90" i="152"/>
  <c r="G91" i="152"/>
  <c r="I91" i="152"/>
  <c r="K92" i="152"/>
  <c r="M92" i="152"/>
  <c r="N92" i="152"/>
  <c r="O92" i="152"/>
  <c r="P92" i="152"/>
  <c r="Q92" i="152"/>
  <c r="K94" i="152"/>
  <c r="M94" i="152"/>
  <c r="Q94" i="152"/>
  <c r="D98" i="152"/>
  <c r="E98" i="152"/>
  <c r="K98" i="152"/>
  <c r="L98" i="152"/>
  <c r="E100" i="152"/>
  <c r="L100" i="152"/>
  <c r="E101" i="152"/>
  <c r="L101" i="152"/>
  <c r="E102" i="152"/>
  <c r="L102" i="152"/>
  <c r="D104" i="152"/>
  <c r="E104" i="152"/>
  <c r="K104" i="152"/>
  <c r="L104" i="152"/>
  <c r="E105" i="152"/>
  <c r="L105" i="152"/>
  <c r="E109" i="152"/>
  <c r="F109" i="152"/>
  <c r="B1" i="151"/>
  <c r="B2" i="151"/>
  <c r="B3" i="151"/>
  <c r="B6" i="151"/>
  <c r="B9" i="151"/>
  <c r="S15" i="151"/>
  <c r="T15" i="151"/>
  <c r="V15" i="151"/>
  <c r="F28" i="151"/>
  <c r="G28" i="151"/>
  <c r="H28" i="151"/>
  <c r="J28" i="151"/>
  <c r="K28" i="151"/>
  <c r="L28" i="151"/>
  <c r="M28" i="151"/>
  <c r="O28" i="151"/>
  <c r="S28" i="151"/>
  <c r="F31" i="151"/>
  <c r="G31" i="151"/>
  <c r="H31" i="151"/>
  <c r="J31" i="151"/>
  <c r="K31" i="151"/>
  <c r="L31" i="151"/>
  <c r="M31" i="151"/>
  <c r="O31" i="151"/>
  <c r="S31" i="151"/>
  <c r="F40" i="151"/>
  <c r="G40" i="151"/>
  <c r="H40" i="151"/>
  <c r="J40" i="151"/>
  <c r="K40" i="151"/>
  <c r="L40" i="151"/>
  <c r="M40" i="151"/>
  <c r="O40" i="151"/>
  <c r="S40" i="151"/>
  <c r="F41" i="151"/>
  <c r="G41" i="151"/>
  <c r="H41" i="151"/>
  <c r="J41" i="151"/>
  <c r="K41" i="151"/>
  <c r="L41" i="151"/>
  <c r="M41" i="151"/>
  <c r="O41" i="151"/>
  <c r="S41" i="151"/>
  <c r="F47" i="151"/>
  <c r="G47" i="151"/>
  <c r="H47" i="151"/>
  <c r="J47" i="151"/>
  <c r="K47" i="151"/>
  <c r="L47" i="151"/>
  <c r="M47" i="151"/>
  <c r="O47" i="151"/>
  <c r="S47" i="151"/>
  <c r="F53" i="151"/>
  <c r="G53" i="151"/>
  <c r="H53" i="151"/>
  <c r="J53" i="151"/>
  <c r="K53" i="151"/>
  <c r="L53" i="151"/>
  <c r="M53" i="151"/>
  <c r="O53" i="151"/>
  <c r="S53" i="151"/>
  <c r="F54" i="151"/>
  <c r="G54" i="151"/>
  <c r="H54" i="151"/>
  <c r="J54" i="151"/>
  <c r="K54" i="151"/>
  <c r="L54" i="151"/>
  <c r="M54" i="151"/>
  <c r="O54" i="151"/>
  <c r="S54" i="151"/>
  <c r="F55" i="151"/>
  <c r="G55" i="151"/>
  <c r="H55" i="151"/>
  <c r="J55" i="151"/>
  <c r="K55" i="151"/>
  <c r="L55" i="151"/>
  <c r="M55" i="151"/>
  <c r="O55" i="151"/>
  <c r="F57" i="151"/>
  <c r="G57" i="151"/>
  <c r="H57" i="151"/>
  <c r="I57" i="151"/>
  <c r="J57" i="151"/>
  <c r="K57" i="151"/>
  <c r="L57" i="151"/>
  <c r="M57" i="151"/>
  <c r="O57" i="151"/>
  <c r="T58" i="151"/>
  <c r="T59" i="151"/>
  <c r="C63" i="151"/>
  <c r="D63" i="151"/>
  <c r="F65" i="151"/>
  <c r="H65" i="151"/>
  <c r="J65" i="151"/>
  <c r="M66" i="151"/>
  <c r="O66" i="151"/>
  <c r="Q67" i="151"/>
  <c r="R67" i="151"/>
  <c r="S67" i="151"/>
  <c r="T67" i="151"/>
  <c r="U67" i="151"/>
  <c r="Q68" i="151"/>
  <c r="R68" i="151"/>
  <c r="S68" i="151"/>
  <c r="T68" i="151"/>
  <c r="U68" i="151"/>
  <c r="M69" i="151"/>
  <c r="O69" i="151"/>
  <c r="M71" i="151"/>
  <c r="O71" i="151"/>
  <c r="M73" i="151"/>
  <c r="O73" i="151"/>
  <c r="L75" i="151"/>
  <c r="M75" i="151"/>
  <c r="O77" i="151"/>
  <c r="M79" i="151"/>
  <c r="O79" i="151"/>
  <c r="S80" i="151"/>
  <c r="M81" i="151"/>
  <c r="O81" i="151"/>
  <c r="T81" i="151"/>
  <c r="M83" i="151"/>
  <c r="N83" i="151"/>
  <c r="O83" i="151"/>
  <c r="N84" i="151"/>
  <c r="P84" i="151"/>
  <c r="K85" i="151"/>
  <c r="M85" i="151"/>
  <c r="N85" i="151"/>
  <c r="O85" i="151"/>
  <c r="P85" i="151"/>
  <c r="S85" i="151"/>
  <c r="G87" i="151"/>
  <c r="K87" i="151"/>
  <c r="M87" i="151"/>
  <c r="N87" i="151"/>
  <c r="O87" i="151"/>
  <c r="P87" i="151"/>
  <c r="S87" i="151"/>
  <c r="G88" i="151"/>
  <c r="I88" i="151"/>
  <c r="K89" i="151"/>
  <c r="M89" i="151"/>
  <c r="N89" i="151"/>
  <c r="O89" i="151"/>
  <c r="P89" i="151"/>
  <c r="S89" i="151"/>
  <c r="K91" i="151"/>
  <c r="M91" i="151"/>
  <c r="S91" i="151"/>
  <c r="D95" i="151"/>
  <c r="E95" i="151"/>
  <c r="K95" i="151"/>
  <c r="L95" i="151"/>
  <c r="E97" i="151"/>
  <c r="L97" i="151"/>
  <c r="E98" i="151"/>
  <c r="L98" i="151"/>
  <c r="E99" i="151"/>
  <c r="L99" i="151"/>
  <c r="D101" i="151"/>
  <c r="E101" i="151"/>
  <c r="K101" i="151"/>
  <c r="L101" i="151"/>
  <c r="E102" i="151"/>
  <c r="L102" i="151"/>
  <c r="E106" i="151"/>
  <c r="F106" i="151"/>
  <c r="B1" i="136"/>
  <c r="B2" i="136"/>
  <c r="B3" i="136"/>
  <c r="B6" i="136"/>
  <c r="B9" i="136"/>
  <c r="F24" i="136"/>
  <c r="G24" i="136"/>
  <c r="H24" i="136"/>
  <c r="J24" i="136"/>
  <c r="K24" i="136"/>
  <c r="L24" i="136"/>
  <c r="M24" i="136"/>
  <c r="O24" i="136"/>
  <c r="F25" i="136"/>
  <c r="G25" i="136"/>
  <c r="H25" i="136"/>
  <c r="J25" i="136"/>
  <c r="K25" i="136"/>
  <c r="L25" i="136"/>
  <c r="M25" i="136"/>
  <c r="O25" i="136"/>
  <c r="F26" i="136"/>
  <c r="G26" i="136"/>
  <c r="H26" i="136"/>
  <c r="J26" i="136"/>
  <c r="K26" i="136"/>
  <c r="L26" i="136"/>
  <c r="M26" i="136"/>
  <c r="O26" i="136"/>
  <c r="F27" i="136"/>
  <c r="G27" i="136"/>
  <c r="H27" i="136"/>
  <c r="J27" i="136"/>
  <c r="K27" i="136"/>
  <c r="L27" i="136"/>
  <c r="M27" i="136"/>
  <c r="O27" i="136"/>
  <c r="F28" i="136"/>
  <c r="G28" i="136"/>
  <c r="H28" i="136"/>
  <c r="J28" i="136"/>
  <c r="K28" i="136"/>
  <c r="L28" i="136"/>
  <c r="M28" i="136"/>
  <c r="O28" i="136"/>
  <c r="F29" i="136"/>
  <c r="G29" i="136"/>
  <c r="H29" i="136"/>
  <c r="J29" i="136"/>
  <c r="K29" i="136"/>
  <c r="L29" i="136"/>
  <c r="M29" i="136"/>
  <c r="O29" i="136"/>
  <c r="F43" i="136"/>
  <c r="H43" i="136"/>
  <c r="J43" i="136"/>
  <c r="M44" i="136"/>
  <c r="O44" i="136"/>
  <c r="M47" i="136"/>
  <c r="O47" i="136"/>
  <c r="M49" i="136"/>
  <c r="O49" i="136"/>
  <c r="M51" i="136"/>
  <c r="O51" i="136"/>
  <c r="L53" i="136"/>
  <c r="M53" i="136"/>
  <c r="O55" i="136"/>
  <c r="M57" i="136"/>
  <c r="O57" i="136"/>
  <c r="M59" i="136"/>
  <c r="O59" i="136"/>
  <c r="M61" i="136"/>
  <c r="N61" i="136"/>
  <c r="O61" i="136"/>
  <c r="N62" i="136"/>
  <c r="P62" i="136"/>
  <c r="O63" i="136"/>
  <c r="Q63" i="136"/>
  <c r="G65" i="136"/>
  <c r="O65" i="136"/>
  <c r="Q65" i="136"/>
  <c r="G66" i="136"/>
  <c r="I66" i="136"/>
  <c r="K67" i="136"/>
  <c r="O67" i="136"/>
  <c r="Q67" i="136"/>
  <c r="M69" i="136"/>
  <c r="Q69" i="136"/>
  <c r="D73" i="136"/>
  <c r="E73" i="136"/>
  <c r="K73" i="136"/>
  <c r="L73" i="136"/>
  <c r="E75" i="136"/>
  <c r="L75" i="136"/>
  <c r="E76" i="136"/>
  <c r="L76" i="136"/>
  <c r="E77" i="136"/>
  <c r="L77" i="136"/>
  <c r="D79" i="136"/>
  <c r="E79" i="136"/>
  <c r="K79" i="136"/>
  <c r="L79" i="136"/>
  <c r="E80" i="136"/>
  <c r="L80" i="136"/>
  <c r="E84" i="136"/>
  <c r="F84" i="136"/>
  <c r="B1" i="135"/>
  <c r="B2" i="135"/>
  <c r="B3" i="135"/>
  <c r="B6" i="135"/>
  <c r="T14" i="135"/>
  <c r="U14" i="135"/>
  <c r="V14" i="135"/>
  <c r="W14" i="135"/>
  <c r="X14" i="135"/>
  <c r="Y14" i="135"/>
  <c r="Z14" i="135"/>
  <c r="AA14" i="135"/>
  <c r="AB14" i="135"/>
  <c r="F17" i="135"/>
  <c r="G17" i="135"/>
  <c r="H17" i="135"/>
  <c r="J17" i="135"/>
  <c r="K17" i="135"/>
  <c r="L17" i="135"/>
  <c r="M17" i="135"/>
  <c r="O17" i="135"/>
  <c r="F18" i="135"/>
  <c r="G18" i="135"/>
  <c r="H18" i="135"/>
  <c r="J18" i="135"/>
  <c r="K18" i="135"/>
  <c r="L18" i="135"/>
  <c r="M18" i="135"/>
  <c r="O18" i="135"/>
  <c r="F19" i="135"/>
  <c r="G19" i="135"/>
  <c r="H19" i="135"/>
  <c r="J19" i="135"/>
  <c r="K19" i="135"/>
  <c r="L19" i="135"/>
  <c r="M19" i="135"/>
  <c r="O19" i="135"/>
  <c r="F20" i="135"/>
  <c r="G20" i="135"/>
  <c r="H20" i="135"/>
  <c r="J20" i="135"/>
  <c r="K20" i="135"/>
  <c r="L20" i="135"/>
  <c r="M20" i="135"/>
  <c r="O20" i="135"/>
  <c r="F21" i="135"/>
  <c r="G21" i="135"/>
  <c r="H21" i="135"/>
  <c r="J21" i="135"/>
  <c r="K21" i="135"/>
  <c r="L21" i="135"/>
  <c r="M21" i="135"/>
  <c r="O21" i="135"/>
  <c r="F22" i="135"/>
  <c r="G22" i="135"/>
  <c r="H22" i="135"/>
  <c r="J22" i="135"/>
  <c r="K22" i="135"/>
  <c r="L22" i="135"/>
  <c r="M22" i="135"/>
  <c r="O22" i="135"/>
  <c r="F25" i="135"/>
  <c r="G25" i="135"/>
  <c r="H25" i="135"/>
  <c r="J25" i="135"/>
  <c r="K25" i="135"/>
  <c r="L25" i="135"/>
  <c r="M25" i="135"/>
  <c r="O25" i="135"/>
  <c r="F26" i="135"/>
  <c r="G26" i="135"/>
  <c r="H26" i="135"/>
  <c r="J26" i="135"/>
  <c r="K26" i="135"/>
  <c r="L26" i="135"/>
  <c r="M26" i="135"/>
  <c r="O26" i="135"/>
  <c r="F27" i="135"/>
  <c r="G27" i="135"/>
  <c r="H27" i="135"/>
  <c r="J27" i="135"/>
  <c r="K27" i="135"/>
  <c r="L27" i="135"/>
  <c r="M27" i="135"/>
  <c r="O27" i="135"/>
  <c r="F28" i="135"/>
  <c r="G28" i="135"/>
  <c r="H28" i="135"/>
  <c r="J28" i="135"/>
  <c r="K28" i="135"/>
  <c r="L28" i="135"/>
  <c r="M28" i="135"/>
  <c r="O28" i="135"/>
  <c r="F32" i="135"/>
  <c r="G32" i="135"/>
  <c r="H32" i="135"/>
  <c r="J32" i="135"/>
  <c r="K32" i="135"/>
  <c r="L32" i="135"/>
  <c r="M32" i="135"/>
  <c r="O32" i="135"/>
  <c r="F33" i="135"/>
  <c r="G33" i="135"/>
  <c r="H33" i="135"/>
  <c r="J33" i="135"/>
  <c r="K33" i="135"/>
  <c r="L33" i="135"/>
  <c r="M33" i="135"/>
  <c r="O33" i="135"/>
  <c r="F34" i="135"/>
  <c r="G34" i="135"/>
  <c r="H34" i="135"/>
  <c r="J34" i="135"/>
  <c r="K34" i="135"/>
  <c r="L34" i="135"/>
  <c r="M34" i="135"/>
  <c r="O34" i="135"/>
  <c r="F35" i="135"/>
  <c r="G35" i="135"/>
  <c r="H35" i="135"/>
  <c r="J35" i="135"/>
  <c r="K35" i="135"/>
  <c r="L35" i="135"/>
  <c r="M35" i="135"/>
  <c r="O35" i="135"/>
  <c r="F36" i="135"/>
  <c r="G36" i="135"/>
  <c r="H36" i="135"/>
  <c r="J36" i="135"/>
  <c r="K36" i="135"/>
  <c r="L36" i="135"/>
  <c r="M36" i="135"/>
  <c r="O36" i="135"/>
  <c r="F37" i="135"/>
  <c r="G37" i="135"/>
  <c r="H37" i="135"/>
  <c r="J37" i="135"/>
  <c r="K37" i="135"/>
  <c r="L37" i="135"/>
  <c r="M37" i="135"/>
  <c r="O37" i="135"/>
  <c r="F38" i="135"/>
  <c r="G38" i="135"/>
  <c r="H38" i="135"/>
  <c r="J38" i="135"/>
  <c r="K38" i="135"/>
  <c r="L38" i="135"/>
  <c r="M38" i="135"/>
  <c r="O38" i="135"/>
  <c r="F39" i="135"/>
  <c r="G39" i="135"/>
  <c r="H39" i="135"/>
  <c r="J39" i="135"/>
  <c r="K39" i="135"/>
  <c r="L39" i="135"/>
  <c r="M39" i="135"/>
  <c r="O39" i="135"/>
  <c r="F40" i="135"/>
  <c r="G40" i="135"/>
  <c r="H40" i="135"/>
  <c r="J40" i="135"/>
  <c r="K40" i="135"/>
  <c r="L40" i="135"/>
  <c r="M40" i="135"/>
  <c r="O40" i="135"/>
  <c r="C46" i="135"/>
  <c r="F46" i="135"/>
  <c r="G46" i="135"/>
  <c r="H46" i="135"/>
  <c r="J46" i="135"/>
  <c r="K46" i="135"/>
  <c r="L46" i="135"/>
  <c r="M46" i="135"/>
  <c r="O46" i="135"/>
  <c r="C47" i="135"/>
  <c r="F47" i="135"/>
  <c r="G47" i="135"/>
  <c r="H47" i="135"/>
  <c r="J47" i="135"/>
  <c r="K47" i="135"/>
  <c r="L47" i="135"/>
  <c r="M47" i="135"/>
  <c r="O47" i="135"/>
  <c r="F48" i="135"/>
  <c r="G48" i="135"/>
  <c r="H48" i="135"/>
  <c r="J48" i="135"/>
  <c r="K48" i="135"/>
  <c r="L48" i="135"/>
  <c r="M48" i="135"/>
  <c r="O48" i="135"/>
  <c r="F49" i="135"/>
  <c r="G49" i="135"/>
  <c r="H49" i="135"/>
  <c r="J49" i="135"/>
  <c r="K49" i="135"/>
  <c r="L49" i="135"/>
  <c r="M49" i="135"/>
  <c r="O49" i="135"/>
  <c r="F51" i="135"/>
  <c r="G51" i="135"/>
  <c r="H51" i="135"/>
  <c r="J51" i="135"/>
  <c r="K51" i="135"/>
  <c r="L51" i="135"/>
  <c r="M51" i="135"/>
  <c r="O51" i="135"/>
  <c r="C55" i="135"/>
  <c r="F55" i="135"/>
  <c r="G55" i="135"/>
  <c r="H55" i="135"/>
  <c r="J55" i="135"/>
  <c r="K55" i="135"/>
  <c r="L55" i="135"/>
  <c r="M55" i="135"/>
  <c r="O55" i="135"/>
  <c r="C56" i="135"/>
  <c r="F56" i="135"/>
  <c r="G56" i="135"/>
  <c r="H56" i="135"/>
  <c r="J56" i="135"/>
  <c r="K56" i="135"/>
  <c r="L56" i="135"/>
  <c r="M56" i="135"/>
  <c r="O56" i="135"/>
  <c r="F57" i="135"/>
  <c r="G57" i="135"/>
  <c r="H57" i="135"/>
  <c r="J57" i="135"/>
  <c r="K57" i="135"/>
  <c r="L57" i="135"/>
  <c r="M57" i="135"/>
  <c r="O57" i="135"/>
  <c r="F58" i="135"/>
  <c r="G58" i="135"/>
  <c r="H58" i="135"/>
  <c r="J58" i="135"/>
  <c r="K58" i="135"/>
  <c r="L58" i="135"/>
  <c r="M58" i="135"/>
  <c r="O58" i="135"/>
  <c r="F60" i="135"/>
  <c r="G60" i="135"/>
  <c r="H60" i="135"/>
  <c r="J60" i="135"/>
  <c r="K60" i="135"/>
  <c r="L60" i="135"/>
  <c r="M60" i="135"/>
  <c r="O60" i="135"/>
  <c r="C64" i="135"/>
  <c r="F64" i="135"/>
  <c r="G64" i="135"/>
  <c r="H64" i="135"/>
  <c r="J64" i="135"/>
  <c r="K64" i="135"/>
  <c r="L64" i="135"/>
  <c r="M64" i="135"/>
  <c r="O64" i="135"/>
  <c r="C65" i="135"/>
  <c r="F65" i="135"/>
  <c r="G65" i="135"/>
  <c r="H65" i="135"/>
  <c r="J65" i="135"/>
  <c r="K65" i="135"/>
  <c r="L65" i="135"/>
  <c r="M65" i="135"/>
  <c r="O65" i="135"/>
  <c r="F66" i="135"/>
  <c r="G66" i="135"/>
  <c r="H66" i="135"/>
  <c r="J66" i="135"/>
  <c r="K66" i="135"/>
  <c r="L66" i="135"/>
  <c r="M66" i="135"/>
  <c r="O66" i="135"/>
  <c r="F67" i="135"/>
  <c r="G67" i="135"/>
  <c r="H67" i="135"/>
  <c r="J67" i="135"/>
  <c r="K67" i="135"/>
  <c r="L67" i="135"/>
  <c r="M67" i="135"/>
  <c r="O67" i="135"/>
  <c r="F69" i="135"/>
  <c r="G69" i="135"/>
  <c r="H69" i="135"/>
  <c r="J69" i="135"/>
  <c r="K69" i="135"/>
  <c r="L69" i="135"/>
  <c r="M69" i="135"/>
  <c r="O69" i="135"/>
  <c r="F72" i="135"/>
  <c r="H72" i="135"/>
  <c r="J72" i="135"/>
  <c r="M73" i="135"/>
  <c r="O73" i="135"/>
  <c r="M76" i="135"/>
  <c r="O76" i="135"/>
  <c r="M78" i="135"/>
  <c r="O78" i="135"/>
  <c r="M80" i="135"/>
  <c r="O80" i="135"/>
  <c r="L82" i="135"/>
  <c r="M82" i="135"/>
  <c r="O84" i="135"/>
  <c r="M86" i="135"/>
  <c r="O86" i="135"/>
  <c r="M88" i="135"/>
  <c r="O88" i="135"/>
  <c r="M90" i="135"/>
  <c r="N90" i="135"/>
  <c r="O90" i="135"/>
  <c r="N91" i="135"/>
  <c r="P91" i="135"/>
  <c r="K92" i="135"/>
  <c r="M92" i="135"/>
  <c r="N92" i="135"/>
  <c r="O92" i="135"/>
  <c r="P92" i="135"/>
  <c r="Q92" i="135"/>
  <c r="G94" i="135"/>
  <c r="K94" i="135"/>
  <c r="M94" i="135"/>
  <c r="N94" i="135"/>
  <c r="O94" i="135"/>
  <c r="P94" i="135"/>
  <c r="Q94" i="135"/>
  <c r="G95" i="135"/>
  <c r="I95" i="135"/>
  <c r="K96" i="135"/>
  <c r="M96" i="135"/>
  <c r="N96" i="135"/>
  <c r="O96" i="135"/>
  <c r="P96" i="135"/>
  <c r="Q96" i="135"/>
  <c r="K98" i="135"/>
  <c r="M98" i="135"/>
  <c r="Q98" i="135"/>
  <c r="D102" i="135"/>
  <c r="E102" i="135"/>
  <c r="K102" i="135"/>
  <c r="L102" i="135"/>
  <c r="E104" i="135"/>
  <c r="L104" i="135"/>
  <c r="E105" i="135"/>
  <c r="L105" i="135"/>
  <c r="E106" i="135"/>
  <c r="L106" i="135"/>
  <c r="D108" i="135"/>
  <c r="E108" i="135"/>
  <c r="K108" i="135"/>
  <c r="L108" i="135"/>
  <c r="E109" i="135"/>
  <c r="L109" i="135"/>
  <c r="E113" i="135"/>
  <c r="F113" i="135"/>
  <c r="B1" i="134"/>
  <c r="B2" i="134"/>
  <c r="B3" i="134"/>
  <c r="B6" i="134"/>
  <c r="B9" i="134"/>
  <c r="F17" i="134"/>
  <c r="G17" i="134"/>
  <c r="H17" i="134"/>
  <c r="J17" i="134"/>
  <c r="K17" i="134"/>
  <c r="L17" i="134"/>
  <c r="M17" i="134"/>
  <c r="O17" i="134"/>
  <c r="F18" i="134"/>
  <c r="G18" i="134"/>
  <c r="H18" i="134"/>
  <c r="J18" i="134"/>
  <c r="K18" i="134"/>
  <c r="L18" i="134"/>
  <c r="M18" i="134"/>
  <c r="O18" i="134"/>
  <c r="F19" i="134"/>
  <c r="G19" i="134"/>
  <c r="H19" i="134"/>
  <c r="J19" i="134"/>
  <c r="K19" i="134"/>
  <c r="L19" i="134"/>
  <c r="M19" i="134"/>
  <c r="O19" i="134"/>
  <c r="F20" i="134"/>
  <c r="G20" i="134"/>
  <c r="H20" i="134"/>
  <c r="J20" i="134"/>
  <c r="K20" i="134"/>
  <c r="L20" i="134"/>
  <c r="M20" i="134"/>
  <c r="O20" i="134"/>
  <c r="F22" i="134"/>
  <c r="G22" i="134"/>
  <c r="H22" i="134"/>
  <c r="J22" i="134"/>
  <c r="K22" i="134"/>
  <c r="L22" i="134"/>
  <c r="M22" i="134"/>
  <c r="O22" i="134"/>
  <c r="F23" i="134"/>
  <c r="G23" i="134"/>
  <c r="H23" i="134"/>
  <c r="J23" i="134"/>
  <c r="K23" i="134"/>
  <c r="L23" i="134"/>
  <c r="M23" i="134"/>
  <c r="O23" i="134"/>
  <c r="F24" i="134"/>
  <c r="G24" i="134"/>
  <c r="H24" i="134"/>
  <c r="J24" i="134"/>
  <c r="K24" i="134"/>
  <c r="L24" i="134"/>
  <c r="M24" i="134"/>
  <c r="O24" i="134"/>
  <c r="F25" i="134"/>
  <c r="G25" i="134"/>
  <c r="H25" i="134"/>
  <c r="J25" i="134"/>
  <c r="K25" i="134"/>
  <c r="L25" i="134"/>
  <c r="M25" i="134"/>
  <c r="O25" i="134"/>
  <c r="F27" i="134"/>
  <c r="G27" i="134"/>
  <c r="H27" i="134"/>
  <c r="J27" i="134"/>
  <c r="K27" i="134"/>
  <c r="L27" i="134"/>
  <c r="M27" i="134"/>
  <c r="O27" i="134"/>
  <c r="F28" i="134"/>
  <c r="G28" i="134"/>
  <c r="H28" i="134"/>
  <c r="J28" i="134"/>
  <c r="K28" i="134"/>
  <c r="L28" i="134"/>
  <c r="M28" i="134"/>
  <c r="O28" i="134"/>
  <c r="F29" i="134"/>
  <c r="G29" i="134"/>
  <c r="H29" i="134"/>
  <c r="J29" i="134"/>
  <c r="K29" i="134"/>
  <c r="L29" i="134"/>
  <c r="M29" i="134"/>
  <c r="O29" i="134"/>
  <c r="F30" i="134"/>
  <c r="G30" i="134"/>
  <c r="H30" i="134"/>
  <c r="J30" i="134"/>
  <c r="K30" i="134"/>
  <c r="L30" i="134"/>
  <c r="M30" i="134"/>
  <c r="O30" i="134"/>
  <c r="R30" i="134"/>
  <c r="F34" i="134"/>
  <c r="G34" i="134"/>
  <c r="H34" i="134"/>
  <c r="J34" i="134"/>
  <c r="K34" i="134"/>
  <c r="L34" i="134"/>
  <c r="M34" i="134"/>
  <c r="O34" i="134"/>
  <c r="F35" i="134"/>
  <c r="G35" i="134"/>
  <c r="H35" i="134"/>
  <c r="J35" i="134"/>
  <c r="K35" i="134"/>
  <c r="L35" i="134"/>
  <c r="M35" i="134"/>
  <c r="O35" i="134"/>
  <c r="F36" i="134"/>
  <c r="G36" i="134"/>
  <c r="H36" i="134"/>
  <c r="J36" i="134"/>
  <c r="K36" i="134"/>
  <c r="L36" i="134"/>
  <c r="M36" i="134"/>
  <c r="O36" i="134"/>
  <c r="F37" i="134"/>
  <c r="G37" i="134"/>
  <c r="H37" i="134"/>
  <c r="J37" i="134"/>
  <c r="K37" i="134"/>
  <c r="L37" i="134"/>
  <c r="M37" i="134"/>
  <c r="O37" i="134"/>
  <c r="F41" i="134"/>
  <c r="G41" i="134"/>
  <c r="H41" i="134"/>
  <c r="J41" i="134"/>
  <c r="K41" i="134"/>
  <c r="L41" i="134"/>
  <c r="M41" i="134"/>
  <c r="O41" i="134"/>
  <c r="F43" i="134"/>
  <c r="G43" i="134"/>
  <c r="H43" i="134"/>
  <c r="J43" i="134"/>
  <c r="K43" i="134"/>
  <c r="L43" i="134"/>
  <c r="M43" i="134"/>
  <c r="O43" i="134"/>
  <c r="F44" i="134"/>
  <c r="G44" i="134"/>
  <c r="H44" i="134"/>
  <c r="J44" i="134"/>
  <c r="K44" i="134"/>
  <c r="L44" i="134"/>
  <c r="M44" i="134"/>
  <c r="O44" i="134"/>
  <c r="F46" i="134"/>
  <c r="G46" i="134"/>
  <c r="H46" i="134"/>
  <c r="J46" i="134"/>
  <c r="K46" i="134"/>
  <c r="L46" i="134"/>
  <c r="M46" i="134"/>
  <c r="O46" i="134"/>
  <c r="F48" i="134"/>
  <c r="G48" i="134"/>
  <c r="H48" i="134"/>
  <c r="J48" i="134"/>
  <c r="K48" i="134"/>
  <c r="L48" i="134"/>
  <c r="M48" i="134"/>
  <c r="O48" i="134"/>
  <c r="F49" i="134"/>
  <c r="G49" i="134"/>
  <c r="H49" i="134"/>
  <c r="J49" i="134"/>
  <c r="K49" i="134"/>
  <c r="L49" i="134"/>
  <c r="M49" i="134"/>
  <c r="O49" i="134"/>
  <c r="F50" i="134"/>
  <c r="G50" i="134"/>
  <c r="H50" i="134"/>
  <c r="J50" i="134"/>
  <c r="K50" i="134"/>
  <c r="L50" i="134"/>
  <c r="M50" i="134"/>
  <c r="O50" i="134"/>
  <c r="F51" i="134"/>
  <c r="G51" i="134"/>
  <c r="H51" i="134"/>
  <c r="J51" i="134"/>
  <c r="K51" i="134"/>
  <c r="L51" i="134"/>
  <c r="M51" i="134"/>
  <c r="O51" i="134"/>
  <c r="P51" i="134"/>
  <c r="P56" i="134"/>
  <c r="P57" i="134"/>
  <c r="F58" i="134"/>
  <c r="G58" i="134"/>
  <c r="H58" i="134"/>
  <c r="J58" i="134"/>
  <c r="K58" i="134"/>
  <c r="L58" i="134"/>
  <c r="M58" i="134"/>
  <c r="O58" i="134"/>
  <c r="F59" i="134"/>
  <c r="G59" i="134"/>
  <c r="H59" i="134"/>
  <c r="J59" i="134"/>
  <c r="K59" i="134"/>
  <c r="L59" i="134"/>
  <c r="M59" i="134"/>
  <c r="O59" i="134"/>
  <c r="F60" i="134"/>
  <c r="G60" i="134"/>
  <c r="H60" i="134"/>
  <c r="J60" i="134"/>
  <c r="K60" i="134"/>
  <c r="L60" i="134"/>
  <c r="M60" i="134"/>
  <c r="O60" i="134"/>
  <c r="F61" i="134"/>
  <c r="G61" i="134"/>
  <c r="H61" i="134"/>
  <c r="J61" i="134"/>
  <c r="K61" i="134"/>
  <c r="L61" i="134"/>
  <c r="M61" i="134"/>
  <c r="O61" i="134"/>
  <c r="F67" i="134"/>
  <c r="G67" i="134"/>
  <c r="H67" i="134"/>
  <c r="J67" i="134"/>
  <c r="K67" i="134"/>
  <c r="L67" i="134"/>
  <c r="M67" i="134"/>
  <c r="O67" i="134"/>
  <c r="F68" i="134"/>
  <c r="G68" i="134"/>
  <c r="H68" i="134"/>
  <c r="J68" i="134"/>
  <c r="K68" i="134"/>
  <c r="L68" i="134"/>
  <c r="M68" i="134"/>
  <c r="O68" i="134"/>
  <c r="F69" i="134"/>
  <c r="G69" i="134"/>
  <c r="H69" i="134"/>
  <c r="J69" i="134"/>
  <c r="K69" i="134"/>
  <c r="L69" i="134"/>
  <c r="M69" i="134"/>
  <c r="O69" i="134"/>
  <c r="F70" i="134"/>
  <c r="G70" i="134"/>
  <c r="H70" i="134"/>
  <c r="J70" i="134"/>
  <c r="K70" i="134"/>
  <c r="L70" i="134"/>
  <c r="M70" i="134"/>
  <c r="O70" i="134"/>
  <c r="F71" i="134"/>
  <c r="G71" i="134"/>
  <c r="H71" i="134"/>
  <c r="J71" i="134"/>
  <c r="K71" i="134"/>
  <c r="L71" i="134"/>
  <c r="M71" i="134"/>
  <c r="O71" i="134"/>
  <c r="F72" i="134"/>
  <c r="G72" i="134"/>
  <c r="H72" i="134"/>
  <c r="J72" i="134"/>
  <c r="K72" i="134"/>
  <c r="L72" i="134"/>
  <c r="M72" i="134"/>
  <c r="O72" i="134"/>
  <c r="F74" i="134"/>
  <c r="G74" i="134"/>
  <c r="H74" i="134"/>
  <c r="J74" i="134"/>
  <c r="K74" i="134"/>
  <c r="L74" i="134"/>
  <c r="M74" i="134"/>
  <c r="O74" i="134"/>
  <c r="F75" i="134"/>
  <c r="G75" i="134"/>
  <c r="H75" i="134"/>
  <c r="J75" i="134"/>
  <c r="K75" i="134"/>
  <c r="L75" i="134"/>
  <c r="M75" i="134"/>
  <c r="O75" i="134"/>
  <c r="F76" i="134"/>
  <c r="G76" i="134"/>
  <c r="H76" i="134"/>
  <c r="J76" i="134"/>
  <c r="K76" i="134"/>
  <c r="L76" i="134"/>
  <c r="M76" i="134"/>
  <c r="O76" i="134"/>
  <c r="F78" i="134"/>
  <c r="G78" i="134"/>
  <c r="H78" i="134"/>
  <c r="J78" i="134"/>
  <c r="K78" i="134"/>
  <c r="L78" i="134"/>
  <c r="M78" i="134"/>
  <c r="O78" i="134"/>
  <c r="F79" i="134"/>
  <c r="G79" i="134"/>
  <c r="H79" i="134"/>
  <c r="J79" i="134"/>
  <c r="K79" i="134"/>
  <c r="L79" i="134"/>
  <c r="M79" i="134"/>
  <c r="O79" i="134"/>
  <c r="F80" i="134"/>
  <c r="G80" i="134"/>
  <c r="H80" i="134"/>
  <c r="J80" i="134"/>
  <c r="K80" i="134"/>
  <c r="L80" i="134"/>
  <c r="M80" i="134"/>
  <c r="O80" i="134"/>
  <c r="F82" i="134"/>
  <c r="G82" i="134"/>
  <c r="H82" i="134"/>
  <c r="J82" i="134"/>
  <c r="K82" i="134"/>
  <c r="L82" i="134"/>
  <c r="M82" i="134"/>
  <c r="O82" i="134"/>
  <c r="F83" i="134"/>
  <c r="G83" i="134"/>
  <c r="H83" i="134"/>
  <c r="J83" i="134"/>
  <c r="K83" i="134"/>
  <c r="L83" i="134"/>
  <c r="M83" i="134"/>
  <c r="O83" i="134"/>
  <c r="F84" i="134"/>
  <c r="G84" i="134"/>
  <c r="H84" i="134"/>
  <c r="J84" i="134"/>
  <c r="K84" i="134"/>
  <c r="L84" i="134"/>
  <c r="M84" i="134"/>
  <c r="O84" i="134"/>
  <c r="F86" i="134"/>
  <c r="G86" i="134"/>
  <c r="H86" i="134"/>
  <c r="J86" i="134"/>
  <c r="K86" i="134"/>
  <c r="L86" i="134"/>
  <c r="M86" i="134"/>
  <c r="O86" i="134"/>
  <c r="F88" i="134"/>
  <c r="G88" i="134"/>
  <c r="H88" i="134"/>
  <c r="J88" i="134"/>
  <c r="K88" i="134"/>
  <c r="L88" i="134"/>
  <c r="M88" i="134"/>
  <c r="O88" i="134"/>
  <c r="F90" i="134"/>
  <c r="G90" i="134"/>
  <c r="H90" i="134"/>
  <c r="J90" i="134"/>
  <c r="K90" i="134"/>
  <c r="L90" i="134"/>
  <c r="M90" i="134"/>
  <c r="O90" i="134"/>
  <c r="F92" i="134"/>
  <c r="G92" i="134"/>
  <c r="H92" i="134"/>
  <c r="J92" i="134"/>
  <c r="K92" i="134"/>
  <c r="L92" i="134"/>
  <c r="M92" i="134"/>
  <c r="O92" i="134"/>
  <c r="F94" i="134"/>
  <c r="G94" i="134"/>
  <c r="H94" i="134"/>
  <c r="J94" i="134"/>
  <c r="K94" i="134"/>
  <c r="L94" i="134"/>
  <c r="M94" i="134"/>
  <c r="O94" i="134"/>
  <c r="F95" i="134"/>
  <c r="G95" i="134"/>
  <c r="H95" i="134"/>
  <c r="J95" i="134"/>
  <c r="K95" i="134"/>
  <c r="L95" i="134"/>
  <c r="M95" i="134"/>
  <c r="O95" i="134"/>
  <c r="F96" i="134"/>
  <c r="G96" i="134"/>
  <c r="H96" i="134"/>
  <c r="J96" i="134"/>
  <c r="K96" i="134"/>
  <c r="L96" i="134"/>
  <c r="M96" i="134"/>
  <c r="O96" i="134"/>
  <c r="F98" i="134"/>
  <c r="G98" i="134"/>
  <c r="H98" i="134"/>
  <c r="J98" i="134"/>
  <c r="K98" i="134"/>
  <c r="L98" i="134"/>
  <c r="M98" i="134"/>
  <c r="O98" i="134"/>
  <c r="F99" i="134"/>
  <c r="G99" i="134"/>
  <c r="H99" i="134"/>
  <c r="J99" i="134"/>
  <c r="K99" i="134"/>
  <c r="L99" i="134"/>
  <c r="M99" i="134"/>
  <c r="O99" i="134"/>
  <c r="F100" i="134"/>
  <c r="G100" i="134"/>
  <c r="H100" i="134"/>
  <c r="J100" i="134"/>
  <c r="K100" i="134"/>
  <c r="L100" i="134"/>
  <c r="M100" i="134"/>
  <c r="O100" i="134"/>
  <c r="F102" i="134"/>
  <c r="G102" i="134"/>
  <c r="H102" i="134"/>
  <c r="J102" i="134"/>
  <c r="K102" i="134"/>
  <c r="L102" i="134"/>
  <c r="M102" i="134"/>
  <c r="O102" i="134"/>
  <c r="F103" i="134"/>
  <c r="G103" i="134"/>
  <c r="H103" i="134"/>
  <c r="J103" i="134"/>
  <c r="K103" i="134"/>
  <c r="L103" i="134"/>
  <c r="M103" i="134"/>
  <c r="O103" i="134"/>
  <c r="P105" i="134"/>
  <c r="P106" i="134"/>
  <c r="F107" i="134"/>
  <c r="G107" i="134"/>
  <c r="H107" i="134"/>
  <c r="J107" i="134"/>
  <c r="K107" i="134"/>
  <c r="L107" i="134"/>
  <c r="M107" i="134"/>
  <c r="O107" i="134"/>
  <c r="F108" i="134"/>
  <c r="G108" i="134"/>
  <c r="H108" i="134"/>
  <c r="J108" i="134"/>
  <c r="K108" i="134"/>
  <c r="L108" i="134"/>
  <c r="M108" i="134"/>
  <c r="O108" i="134"/>
  <c r="F109" i="134"/>
  <c r="G109" i="134"/>
  <c r="H109" i="134"/>
  <c r="J109" i="134"/>
  <c r="K109" i="134"/>
  <c r="L109" i="134"/>
  <c r="M109" i="134"/>
  <c r="O109" i="134"/>
  <c r="F110" i="134"/>
  <c r="G110" i="134"/>
  <c r="H110" i="134"/>
  <c r="J110" i="134"/>
  <c r="K110" i="134"/>
  <c r="L110" i="134"/>
  <c r="M110" i="134"/>
  <c r="O110" i="134"/>
  <c r="F114" i="134"/>
  <c r="G114" i="134"/>
  <c r="H114" i="134"/>
  <c r="J114" i="134"/>
  <c r="K114" i="134"/>
  <c r="L114" i="134"/>
  <c r="M114" i="134"/>
  <c r="O114" i="134"/>
  <c r="F115" i="134"/>
  <c r="G115" i="134"/>
  <c r="H115" i="134"/>
  <c r="J115" i="134"/>
  <c r="K115" i="134"/>
  <c r="L115" i="134"/>
  <c r="M115" i="134"/>
  <c r="O115" i="134"/>
  <c r="F116" i="134"/>
  <c r="G116" i="134"/>
  <c r="H116" i="134"/>
  <c r="J116" i="134"/>
  <c r="K116" i="134"/>
  <c r="L116" i="134"/>
  <c r="M116" i="134"/>
  <c r="O116" i="134"/>
  <c r="F118" i="134"/>
  <c r="G118" i="134"/>
  <c r="H118" i="134"/>
  <c r="J118" i="134"/>
  <c r="K118" i="134"/>
  <c r="L118" i="134"/>
  <c r="M118" i="134"/>
  <c r="O118" i="134"/>
  <c r="F119" i="134"/>
  <c r="G119" i="134"/>
  <c r="H119" i="134"/>
  <c r="J119" i="134"/>
  <c r="K119" i="134"/>
  <c r="L119" i="134"/>
  <c r="M119" i="134"/>
  <c r="O119" i="134"/>
  <c r="F120" i="134"/>
  <c r="G120" i="134"/>
  <c r="H120" i="134"/>
  <c r="J120" i="134"/>
  <c r="K120" i="134"/>
  <c r="L120" i="134"/>
  <c r="M120" i="134"/>
  <c r="O120" i="134"/>
  <c r="F121" i="134"/>
  <c r="G121" i="134"/>
  <c r="H121" i="134"/>
  <c r="J121" i="134"/>
  <c r="K121" i="134"/>
  <c r="L121" i="134"/>
  <c r="M121" i="134"/>
  <c r="O121" i="134"/>
  <c r="F122" i="134"/>
  <c r="G122" i="134"/>
  <c r="H122" i="134"/>
  <c r="J122" i="134"/>
  <c r="K122" i="134"/>
  <c r="L122" i="134"/>
  <c r="M122" i="134"/>
  <c r="O122" i="134"/>
  <c r="F123" i="134"/>
  <c r="G123" i="134"/>
  <c r="H123" i="134"/>
  <c r="J123" i="134"/>
  <c r="K123" i="134"/>
  <c r="L123" i="134"/>
  <c r="M123" i="134"/>
  <c r="O123" i="134"/>
  <c r="F125" i="134"/>
  <c r="G125" i="134"/>
  <c r="H125" i="134"/>
  <c r="J125" i="134"/>
  <c r="K125" i="134"/>
  <c r="L125" i="134"/>
  <c r="M125" i="134"/>
  <c r="O125" i="134"/>
  <c r="F126" i="134"/>
  <c r="G126" i="134"/>
  <c r="H126" i="134"/>
  <c r="J126" i="134"/>
  <c r="K126" i="134"/>
  <c r="L126" i="134"/>
  <c r="M126" i="134"/>
  <c r="O126" i="134"/>
  <c r="F127" i="134"/>
  <c r="G127" i="134"/>
  <c r="H127" i="134"/>
  <c r="J127" i="134"/>
  <c r="K127" i="134"/>
  <c r="L127" i="134"/>
  <c r="M127" i="134"/>
  <c r="O127" i="134"/>
  <c r="F129" i="134"/>
  <c r="G129" i="134"/>
  <c r="H129" i="134"/>
  <c r="J129" i="134"/>
  <c r="K129" i="134"/>
  <c r="L129" i="134"/>
  <c r="M129" i="134"/>
  <c r="O129" i="134"/>
  <c r="F130" i="134"/>
  <c r="G130" i="134"/>
  <c r="H130" i="134"/>
  <c r="J130" i="134"/>
  <c r="K130" i="134"/>
  <c r="L130" i="134"/>
  <c r="M130" i="134"/>
  <c r="O130" i="134"/>
  <c r="F131" i="134"/>
  <c r="G131" i="134"/>
  <c r="H131" i="134"/>
  <c r="J131" i="134"/>
  <c r="K131" i="134"/>
  <c r="L131" i="134"/>
  <c r="M131" i="134"/>
  <c r="O131" i="134"/>
  <c r="F133" i="134"/>
  <c r="G133" i="134"/>
  <c r="H133" i="134"/>
  <c r="J133" i="134"/>
  <c r="K133" i="134"/>
  <c r="L133" i="134"/>
  <c r="M133" i="134"/>
  <c r="O133" i="134"/>
  <c r="F135" i="134"/>
  <c r="G135" i="134"/>
  <c r="H135" i="134"/>
  <c r="J135" i="134"/>
  <c r="K135" i="134"/>
  <c r="L135" i="134"/>
  <c r="M135" i="134"/>
  <c r="O135" i="134"/>
  <c r="F137" i="134"/>
  <c r="G137" i="134"/>
  <c r="H137" i="134"/>
  <c r="J137" i="134"/>
  <c r="K137" i="134"/>
  <c r="L137" i="134"/>
  <c r="M137" i="134"/>
  <c r="O137" i="134"/>
  <c r="F138" i="134"/>
  <c r="G138" i="134"/>
  <c r="H138" i="134"/>
  <c r="J138" i="134"/>
  <c r="K138" i="134"/>
  <c r="L138" i="134"/>
  <c r="M138" i="134"/>
  <c r="O138" i="134"/>
  <c r="F139" i="134"/>
  <c r="G139" i="134"/>
  <c r="H139" i="134"/>
  <c r="J139" i="134"/>
  <c r="K139" i="134"/>
  <c r="L139" i="134"/>
  <c r="M139" i="134"/>
  <c r="O139" i="134"/>
  <c r="F141" i="134"/>
  <c r="G141" i="134"/>
  <c r="H141" i="134"/>
  <c r="J141" i="134"/>
  <c r="K141" i="134"/>
  <c r="L141" i="134"/>
  <c r="M141" i="134"/>
  <c r="O141" i="134"/>
  <c r="F142" i="134"/>
  <c r="G142" i="134"/>
  <c r="H142" i="134"/>
  <c r="J142" i="134"/>
  <c r="K142" i="134"/>
  <c r="L142" i="134"/>
  <c r="M142" i="134"/>
  <c r="O142" i="134"/>
  <c r="F144" i="134"/>
  <c r="G144" i="134"/>
  <c r="H144" i="134"/>
  <c r="J144" i="134"/>
  <c r="K144" i="134"/>
  <c r="L144" i="134"/>
  <c r="M144" i="134"/>
  <c r="O144" i="134"/>
  <c r="P147" i="134"/>
  <c r="P148" i="134"/>
  <c r="F149" i="134"/>
  <c r="G149" i="134"/>
  <c r="H149" i="134"/>
  <c r="J149" i="134"/>
  <c r="K149" i="134"/>
  <c r="L149" i="134"/>
  <c r="M149" i="134"/>
  <c r="O149" i="134"/>
  <c r="F150" i="134"/>
  <c r="G150" i="134"/>
  <c r="H150" i="134"/>
  <c r="J150" i="134"/>
  <c r="K150" i="134"/>
  <c r="L150" i="134"/>
  <c r="M150" i="134"/>
  <c r="O150" i="134"/>
  <c r="F151" i="134"/>
  <c r="G151" i="134"/>
  <c r="H151" i="134"/>
  <c r="J151" i="134"/>
  <c r="K151" i="134"/>
  <c r="L151" i="134"/>
  <c r="M151" i="134"/>
  <c r="O151" i="134"/>
  <c r="F152" i="134"/>
  <c r="G152" i="134"/>
  <c r="H152" i="134"/>
  <c r="J152" i="134"/>
  <c r="K152" i="134"/>
  <c r="L152" i="134"/>
  <c r="M152" i="134"/>
  <c r="O152" i="134"/>
  <c r="F154" i="134"/>
  <c r="G154" i="134"/>
  <c r="H154" i="134"/>
  <c r="J154" i="134"/>
  <c r="K154" i="134"/>
  <c r="L154" i="134"/>
  <c r="M154" i="134"/>
  <c r="O154" i="134"/>
  <c r="F155" i="134"/>
  <c r="G155" i="134"/>
  <c r="H155" i="134"/>
  <c r="J155" i="134"/>
  <c r="K155" i="134"/>
  <c r="L155" i="134"/>
  <c r="M155" i="134"/>
  <c r="O155" i="134"/>
  <c r="F156" i="134"/>
  <c r="G156" i="134"/>
  <c r="H156" i="134"/>
  <c r="J156" i="134"/>
  <c r="K156" i="134"/>
  <c r="L156" i="134"/>
  <c r="M156" i="134"/>
  <c r="O156" i="134"/>
  <c r="F157" i="134"/>
  <c r="G157" i="134"/>
  <c r="H157" i="134"/>
  <c r="J157" i="134"/>
  <c r="K157" i="134"/>
  <c r="L157" i="134"/>
  <c r="M157" i="134"/>
  <c r="O157" i="134"/>
  <c r="F161" i="134"/>
  <c r="G161" i="134"/>
  <c r="H161" i="134"/>
  <c r="J161" i="134"/>
  <c r="K161" i="134"/>
  <c r="L161" i="134"/>
  <c r="M161" i="134"/>
  <c r="O161" i="134"/>
  <c r="F162" i="134"/>
  <c r="G162" i="134"/>
  <c r="H162" i="134"/>
  <c r="J162" i="134"/>
  <c r="K162" i="134"/>
  <c r="L162" i="134"/>
  <c r="M162" i="134"/>
  <c r="O162" i="134"/>
  <c r="F163" i="134"/>
  <c r="G163" i="134"/>
  <c r="H163" i="134"/>
  <c r="J163" i="134"/>
  <c r="K163" i="134"/>
  <c r="L163" i="134"/>
  <c r="M163" i="134"/>
  <c r="O163" i="134"/>
  <c r="F164" i="134"/>
  <c r="G164" i="134"/>
  <c r="H164" i="134"/>
  <c r="J164" i="134"/>
  <c r="K164" i="134"/>
  <c r="L164" i="134"/>
  <c r="M164" i="134"/>
  <c r="O164" i="134"/>
  <c r="F166" i="134"/>
  <c r="G166" i="134"/>
  <c r="H166" i="134"/>
  <c r="J166" i="134"/>
  <c r="K166" i="134"/>
  <c r="L166" i="134"/>
  <c r="M166" i="134"/>
  <c r="O166" i="134"/>
  <c r="F167" i="134"/>
  <c r="G167" i="134"/>
  <c r="H167" i="134"/>
  <c r="J167" i="134"/>
  <c r="K167" i="134"/>
  <c r="L167" i="134"/>
  <c r="M167" i="134"/>
  <c r="O167" i="134"/>
  <c r="F168" i="134"/>
  <c r="G168" i="134"/>
  <c r="H168" i="134"/>
  <c r="J168" i="134"/>
  <c r="K168" i="134"/>
  <c r="L168" i="134"/>
  <c r="M168" i="134"/>
  <c r="O168" i="134"/>
  <c r="F169" i="134"/>
  <c r="G169" i="134"/>
  <c r="H169" i="134"/>
  <c r="J169" i="134"/>
  <c r="K169" i="134"/>
  <c r="L169" i="134"/>
  <c r="M169" i="134"/>
  <c r="O169" i="134"/>
  <c r="F170" i="134"/>
  <c r="G170" i="134"/>
  <c r="H170" i="134"/>
  <c r="J170" i="134"/>
  <c r="K170" i="134"/>
  <c r="L170" i="134"/>
  <c r="M170" i="134"/>
  <c r="O170" i="134"/>
  <c r="F171" i="134"/>
  <c r="G171" i="134"/>
  <c r="H171" i="134"/>
  <c r="J171" i="134"/>
  <c r="K171" i="134"/>
  <c r="L171" i="134"/>
  <c r="M171" i="134"/>
  <c r="O171" i="134"/>
  <c r="F173" i="134"/>
  <c r="G173" i="134"/>
  <c r="H173" i="134"/>
  <c r="J173" i="134"/>
  <c r="K173" i="134"/>
  <c r="L173" i="134"/>
  <c r="M173" i="134"/>
  <c r="O173" i="134"/>
  <c r="F175" i="134"/>
  <c r="G175" i="134"/>
  <c r="H175" i="134"/>
  <c r="J175" i="134"/>
  <c r="K175" i="134"/>
  <c r="L175" i="134"/>
  <c r="M175" i="134"/>
  <c r="O175" i="134"/>
  <c r="F177" i="134"/>
  <c r="G177" i="134"/>
  <c r="H177" i="134"/>
  <c r="J177" i="134"/>
  <c r="K177" i="134"/>
  <c r="L177" i="134"/>
  <c r="M177" i="134"/>
  <c r="O177" i="134"/>
  <c r="F179" i="134"/>
  <c r="G179" i="134"/>
  <c r="H179" i="134"/>
  <c r="J179" i="134"/>
  <c r="K179" i="134"/>
  <c r="L179" i="134"/>
  <c r="M179" i="134"/>
  <c r="O179" i="134"/>
  <c r="F181" i="134"/>
  <c r="G181" i="134"/>
  <c r="H181" i="134"/>
  <c r="J181" i="134"/>
  <c r="K181" i="134"/>
  <c r="L181" i="134"/>
  <c r="M181" i="134"/>
  <c r="O181" i="134"/>
  <c r="F183" i="134"/>
  <c r="G183" i="134"/>
  <c r="H183" i="134"/>
  <c r="J183" i="134"/>
  <c r="K183" i="134"/>
  <c r="L183" i="134"/>
  <c r="M183" i="134"/>
  <c r="O183" i="134"/>
  <c r="F184" i="134"/>
  <c r="G184" i="134"/>
  <c r="H184" i="134"/>
  <c r="J184" i="134"/>
  <c r="K184" i="134"/>
  <c r="L184" i="134"/>
  <c r="M184" i="134"/>
  <c r="O184" i="134"/>
  <c r="F185" i="134"/>
  <c r="G185" i="134"/>
  <c r="H185" i="134"/>
  <c r="J185" i="134"/>
  <c r="K185" i="134"/>
  <c r="L185" i="134"/>
  <c r="M185" i="134"/>
  <c r="O185" i="134"/>
  <c r="F187" i="134"/>
  <c r="G187" i="134"/>
  <c r="H187" i="134"/>
  <c r="J187" i="134"/>
  <c r="K187" i="134"/>
  <c r="L187" i="134"/>
  <c r="M187" i="134"/>
  <c r="O187" i="134"/>
  <c r="F188" i="134"/>
  <c r="G188" i="134"/>
  <c r="H188" i="134"/>
  <c r="J188" i="134"/>
  <c r="K188" i="134"/>
  <c r="L188" i="134"/>
  <c r="M188" i="134"/>
  <c r="O188" i="134"/>
  <c r="F190" i="134"/>
  <c r="G190" i="134"/>
  <c r="H190" i="134"/>
  <c r="J190" i="134"/>
  <c r="K190" i="134"/>
  <c r="L190" i="134"/>
  <c r="M190" i="134"/>
  <c r="O190" i="134"/>
  <c r="F191" i="134"/>
  <c r="G191" i="134"/>
  <c r="H191" i="134"/>
  <c r="J191" i="134"/>
  <c r="K191" i="134"/>
  <c r="L191" i="134"/>
  <c r="M191" i="134"/>
  <c r="O191" i="134"/>
  <c r="F193" i="134"/>
  <c r="H193" i="134"/>
  <c r="J193" i="134"/>
  <c r="M194" i="134"/>
  <c r="O194" i="134"/>
  <c r="M197" i="134"/>
  <c r="O197" i="134"/>
  <c r="M199" i="134"/>
  <c r="O199" i="134"/>
  <c r="M201" i="134"/>
  <c r="O201" i="134"/>
  <c r="L203" i="134"/>
  <c r="M203" i="134"/>
  <c r="O205" i="134"/>
  <c r="M207" i="134"/>
  <c r="O207" i="134"/>
  <c r="M209" i="134"/>
  <c r="O209" i="134"/>
  <c r="M211" i="134"/>
  <c r="N211" i="134"/>
  <c r="O211" i="134"/>
  <c r="N212" i="134"/>
  <c r="P212" i="134"/>
  <c r="K213" i="134"/>
  <c r="M213" i="134"/>
  <c r="N213" i="134"/>
  <c r="O213" i="134"/>
  <c r="P213" i="134"/>
  <c r="Q213" i="134"/>
  <c r="G215" i="134"/>
  <c r="K215" i="134"/>
  <c r="M215" i="134"/>
  <c r="N215" i="134"/>
  <c r="O215" i="134"/>
  <c r="P215" i="134"/>
  <c r="Q215" i="134"/>
  <c r="G216" i="134"/>
  <c r="I216" i="134"/>
  <c r="K217" i="134"/>
  <c r="M217" i="134"/>
  <c r="N217" i="134"/>
  <c r="O217" i="134"/>
  <c r="P217" i="134"/>
  <c r="Q217" i="134"/>
  <c r="K219" i="134"/>
  <c r="M219" i="134"/>
  <c r="Q219" i="134"/>
  <c r="D223" i="134"/>
  <c r="E223" i="134"/>
  <c r="K223" i="134"/>
  <c r="L223" i="134"/>
  <c r="E225" i="134"/>
  <c r="L225" i="134"/>
  <c r="E226" i="134"/>
  <c r="L226" i="134"/>
  <c r="E227" i="134"/>
  <c r="L227" i="134"/>
  <c r="D229" i="134"/>
  <c r="E229" i="134"/>
  <c r="K229" i="134"/>
  <c r="L229" i="134"/>
  <c r="E230" i="134"/>
  <c r="L230" i="134"/>
  <c r="E234" i="134"/>
  <c r="F234" i="134"/>
  <c r="B1" i="141"/>
  <c r="B2" i="141"/>
  <c r="B3" i="141"/>
  <c r="B6" i="141"/>
  <c r="B9" i="141"/>
  <c r="F19" i="141"/>
  <c r="G19" i="141"/>
  <c r="H19" i="141"/>
  <c r="I19" i="141"/>
  <c r="J19" i="141"/>
  <c r="K19" i="141"/>
  <c r="L19" i="141"/>
  <c r="M19" i="141"/>
  <c r="O19" i="141"/>
  <c r="Q25" i="141"/>
  <c r="V25" i="141"/>
  <c r="W25" i="141"/>
  <c r="X25" i="141"/>
  <c r="Q26" i="141"/>
  <c r="V26" i="141"/>
  <c r="W26" i="141"/>
  <c r="X26" i="141"/>
  <c r="V27" i="141"/>
  <c r="W27" i="141"/>
  <c r="X27" i="141"/>
  <c r="Q29" i="141"/>
  <c r="F33" i="141"/>
  <c r="G33" i="141"/>
  <c r="H33" i="141"/>
  <c r="I33" i="141"/>
  <c r="J33" i="141"/>
  <c r="K33" i="141"/>
  <c r="L33" i="141"/>
  <c r="M33" i="141"/>
  <c r="O33" i="141"/>
  <c r="F34" i="141"/>
  <c r="G34" i="141"/>
  <c r="H34" i="141"/>
  <c r="I34" i="141"/>
  <c r="J34" i="141"/>
  <c r="K34" i="141"/>
  <c r="L34" i="141"/>
  <c r="M34" i="141"/>
  <c r="O34" i="141"/>
  <c r="F36" i="141"/>
  <c r="G36" i="141"/>
  <c r="H36" i="141"/>
  <c r="I36" i="141"/>
  <c r="J36" i="141"/>
  <c r="K36" i="141"/>
  <c r="L36" i="141"/>
  <c r="M36" i="141"/>
  <c r="O36" i="141"/>
  <c r="F38" i="141"/>
  <c r="G38" i="141"/>
  <c r="H38" i="141"/>
  <c r="J38" i="141"/>
  <c r="K38" i="141"/>
  <c r="L38" i="141"/>
  <c r="M38" i="141"/>
  <c r="O38" i="141"/>
  <c r="F45" i="141"/>
  <c r="G45" i="141"/>
  <c r="H45" i="141"/>
  <c r="I45" i="141"/>
  <c r="J45" i="141"/>
  <c r="K45" i="141"/>
  <c r="L45" i="141"/>
  <c r="M45" i="141"/>
  <c r="O45" i="141"/>
  <c r="F47" i="141"/>
  <c r="G47" i="141"/>
  <c r="H47" i="141"/>
  <c r="I47" i="141"/>
  <c r="J47" i="141"/>
  <c r="K47" i="141"/>
  <c r="L47" i="141"/>
  <c r="M47" i="141"/>
  <c r="O47" i="141"/>
  <c r="F49" i="141"/>
  <c r="G49" i="141"/>
  <c r="H49" i="141"/>
  <c r="I49" i="141"/>
  <c r="J49" i="141"/>
  <c r="K49" i="141"/>
  <c r="L49" i="141"/>
  <c r="M49" i="141"/>
  <c r="O49" i="141"/>
  <c r="F51" i="141"/>
  <c r="G51" i="141"/>
  <c r="H51" i="141"/>
  <c r="J51" i="141"/>
  <c r="K51" i="141"/>
  <c r="L51" i="141"/>
  <c r="M51" i="141"/>
  <c r="O51" i="141"/>
  <c r="F52" i="141"/>
  <c r="G52" i="141"/>
  <c r="H52" i="141"/>
  <c r="I52" i="141"/>
  <c r="J52" i="141"/>
  <c r="K52" i="141"/>
  <c r="L52" i="141"/>
  <c r="M52" i="141"/>
  <c r="O52" i="141"/>
  <c r="F54" i="141"/>
  <c r="G54" i="141"/>
  <c r="H54" i="141"/>
  <c r="J54" i="141"/>
  <c r="K54" i="141"/>
  <c r="L54" i="141"/>
  <c r="M54" i="141"/>
  <c r="O54" i="141"/>
  <c r="F55" i="141"/>
  <c r="G55" i="141"/>
  <c r="H55" i="141"/>
  <c r="I55" i="141"/>
  <c r="J55" i="141"/>
  <c r="K55" i="141"/>
  <c r="L55" i="141"/>
  <c r="M55" i="141"/>
  <c r="O55" i="141"/>
  <c r="F57" i="141"/>
  <c r="G57" i="141"/>
  <c r="H57" i="141"/>
  <c r="J57" i="141"/>
  <c r="K57" i="141"/>
  <c r="L57" i="141"/>
  <c r="M57" i="141"/>
  <c r="O57" i="141"/>
  <c r="F58" i="141"/>
  <c r="G58" i="141"/>
  <c r="H58" i="141"/>
  <c r="I58" i="141"/>
  <c r="J58" i="141"/>
  <c r="K58" i="141"/>
  <c r="L58" i="141"/>
  <c r="M58" i="141"/>
  <c r="O58" i="141"/>
  <c r="F60" i="141"/>
  <c r="G60" i="141"/>
  <c r="H60" i="141"/>
  <c r="I60" i="141"/>
  <c r="J60" i="141"/>
  <c r="K60" i="141"/>
  <c r="L60" i="141"/>
  <c r="M60" i="141"/>
  <c r="O60" i="141"/>
  <c r="F65" i="141"/>
  <c r="G65" i="141"/>
  <c r="H65" i="141"/>
  <c r="I65" i="141"/>
  <c r="J65" i="141"/>
  <c r="K65" i="141"/>
  <c r="L65" i="141"/>
  <c r="M65" i="141"/>
  <c r="O65" i="141"/>
  <c r="F67" i="141"/>
  <c r="G67" i="141"/>
  <c r="H67" i="141"/>
  <c r="I67" i="141"/>
  <c r="J67" i="141"/>
  <c r="K67" i="141"/>
  <c r="L67" i="141"/>
  <c r="M67" i="141"/>
  <c r="O67" i="141"/>
  <c r="F69" i="141"/>
  <c r="G69" i="141"/>
  <c r="H69" i="141"/>
  <c r="I69" i="141"/>
  <c r="J69" i="141"/>
  <c r="K69" i="141"/>
  <c r="L69" i="141"/>
  <c r="M69" i="141"/>
  <c r="O69" i="141"/>
  <c r="F71" i="141"/>
  <c r="G71" i="141"/>
  <c r="H71" i="141"/>
  <c r="I71" i="141"/>
  <c r="J71" i="141"/>
  <c r="K71" i="141"/>
  <c r="L71" i="141"/>
  <c r="M71" i="141"/>
  <c r="O71" i="141"/>
  <c r="F73" i="141"/>
  <c r="G73" i="141"/>
  <c r="H73" i="141"/>
  <c r="J73" i="141"/>
  <c r="K73" i="141"/>
  <c r="L73" i="141"/>
  <c r="M73" i="141"/>
  <c r="O73" i="141"/>
  <c r="F74" i="141"/>
  <c r="G74" i="141"/>
  <c r="H74" i="141"/>
  <c r="I74" i="141"/>
  <c r="J74" i="141"/>
  <c r="K74" i="141"/>
  <c r="L74" i="141"/>
  <c r="M74" i="141"/>
  <c r="O74" i="141"/>
  <c r="F76" i="141"/>
  <c r="G76" i="141"/>
  <c r="H76" i="141"/>
  <c r="J76" i="141"/>
  <c r="K76" i="141"/>
  <c r="L76" i="141"/>
  <c r="M76" i="141"/>
  <c r="O76" i="141"/>
  <c r="F77" i="141"/>
  <c r="G77" i="141"/>
  <c r="H77" i="141"/>
  <c r="I77" i="141"/>
  <c r="J77" i="141"/>
  <c r="K77" i="141"/>
  <c r="L77" i="141"/>
  <c r="M77" i="141"/>
  <c r="O77" i="141"/>
  <c r="F82" i="141"/>
  <c r="G82" i="141"/>
  <c r="H82" i="141"/>
  <c r="I82" i="141"/>
  <c r="J82" i="141"/>
  <c r="K82" i="141"/>
  <c r="L82" i="141"/>
  <c r="M82" i="141"/>
  <c r="O82" i="141"/>
  <c r="F84" i="141"/>
  <c r="G84" i="141"/>
  <c r="H84" i="141"/>
  <c r="I84" i="141"/>
  <c r="J84" i="141"/>
  <c r="K84" i="141"/>
  <c r="L84" i="141"/>
  <c r="M84" i="141"/>
  <c r="O84" i="141"/>
  <c r="F86" i="141"/>
  <c r="G86" i="141"/>
  <c r="H86" i="141"/>
  <c r="I86" i="141"/>
  <c r="J86" i="141"/>
  <c r="K86" i="141"/>
  <c r="L86" i="141"/>
  <c r="M86" i="141"/>
  <c r="O86" i="141"/>
  <c r="F88" i="141"/>
  <c r="G88" i="141"/>
  <c r="H88" i="141"/>
  <c r="I88" i="141"/>
  <c r="J88" i="141"/>
  <c r="K88" i="141"/>
  <c r="L88" i="141"/>
  <c r="M88" i="141"/>
  <c r="O88" i="141"/>
  <c r="F90" i="141"/>
  <c r="G90" i="141"/>
  <c r="H90" i="141"/>
  <c r="I90" i="141"/>
  <c r="J90" i="141"/>
  <c r="K90" i="141"/>
  <c r="L90" i="141"/>
  <c r="M90" i="141"/>
  <c r="O90" i="141"/>
  <c r="F92" i="141"/>
  <c r="G92" i="141"/>
  <c r="H92" i="141"/>
  <c r="I92" i="141"/>
  <c r="J92" i="141"/>
  <c r="K92" i="141"/>
  <c r="L92" i="141"/>
  <c r="M92" i="141"/>
  <c r="O92" i="141"/>
  <c r="F95" i="141"/>
  <c r="H95" i="141"/>
  <c r="J95" i="141"/>
  <c r="M96" i="141"/>
  <c r="O96" i="141"/>
  <c r="M99" i="141"/>
  <c r="O99" i="141"/>
  <c r="M101" i="141"/>
  <c r="O101" i="141"/>
  <c r="M103" i="141"/>
  <c r="O103" i="141"/>
  <c r="L105" i="141"/>
  <c r="M105" i="141"/>
  <c r="O107" i="141"/>
  <c r="M109" i="141"/>
  <c r="O109" i="141"/>
  <c r="M111" i="141"/>
  <c r="O111" i="141"/>
  <c r="M113" i="141"/>
  <c r="N113" i="141"/>
  <c r="O113" i="141"/>
  <c r="N114" i="141"/>
  <c r="P114" i="141"/>
  <c r="K115" i="141"/>
  <c r="M115" i="141"/>
  <c r="N115" i="141"/>
  <c r="O115" i="141"/>
  <c r="P115" i="141"/>
  <c r="Q115" i="141"/>
  <c r="G117" i="141"/>
  <c r="K117" i="141"/>
  <c r="M117" i="141"/>
  <c r="N117" i="141"/>
  <c r="O117" i="141"/>
  <c r="P117" i="141"/>
  <c r="Q117" i="141"/>
  <c r="G118" i="141"/>
  <c r="I118" i="141"/>
  <c r="K119" i="141"/>
  <c r="M119" i="141"/>
  <c r="N119" i="141"/>
  <c r="O119" i="141"/>
  <c r="P119" i="141"/>
  <c r="Q119" i="141"/>
  <c r="K121" i="141"/>
  <c r="M121" i="141"/>
  <c r="Q121" i="141"/>
  <c r="D125" i="141"/>
  <c r="E125" i="141"/>
  <c r="K125" i="141"/>
  <c r="L125" i="141"/>
  <c r="E127" i="141"/>
  <c r="L127" i="141"/>
  <c r="E128" i="141"/>
  <c r="L128" i="141"/>
  <c r="E129" i="141"/>
  <c r="L129" i="141"/>
  <c r="D131" i="141"/>
  <c r="E131" i="141"/>
  <c r="K131" i="141"/>
  <c r="L131" i="141"/>
  <c r="E132" i="141"/>
  <c r="L132" i="141"/>
  <c r="E136" i="141"/>
  <c r="F136" i="141"/>
  <c r="H5" i="140"/>
  <c r="H6" i="140"/>
  <c r="H7" i="140"/>
  <c r="H8" i="140"/>
  <c r="H20" i="140"/>
  <c r="D23" i="140"/>
  <c r="G23" i="140"/>
  <c r="H23" i="140"/>
  <c r="I23" i="140"/>
  <c r="J23" i="140"/>
  <c r="K23" i="140"/>
  <c r="L23" i="140"/>
  <c r="M23" i="140"/>
  <c r="N23" i="140"/>
  <c r="P23" i="140"/>
  <c r="Q23" i="140"/>
  <c r="R23" i="140"/>
  <c r="T23" i="140"/>
  <c r="D24" i="140"/>
  <c r="G24" i="140"/>
  <c r="H24" i="140"/>
  <c r="I24" i="140"/>
  <c r="J24" i="140"/>
  <c r="K24" i="140"/>
  <c r="L24" i="140"/>
  <c r="M24" i="140"/>
  <c r="N24" i="140"/>
  <c r="Q24" i="140"/>
  <c r="R24" i="140"/>
  <c r="T24" i="140"/>
  <c r="D25" i="140"/>
  <c r="G25" i="140"/>
  <c r="H25" i="140"/>
  <c r="I25" i="140"/>
  <c r="J25" i="140"/>
  <c r="K25" i="140"/>
  <c r="L25" i="140"/>
  <c r="M25" i="140"/>
  <c r="N25" i="140"/>
  <c r="P25" i="140"/>
  <c r="Q25" i="140"/>
  <c r="R25" i="140"/>
  <c r="T25" i="140"/>
  <c r="D27" i="140"/>
  <c r="G27" i="140"/>
  <c r="H27" i="140"/>
  <c r="I27" i="140"/>
  <c r="J27" i="140"/>
  <c r="K27" i="140"/>
  <c r="L27" i="140"/>
  <c r="M27" i="140"/>
  <c r="N27" i="140"/>
  <c r="P27" i="140"/>
  <c r="Q27" i="140"/>
  <c r="R27" i="140"/>
  <c r="T27" i="140"/>
  <c r="D28" i="140"/>
  <c r="G28" i="140"/>
  <c r="H28" i="140"/>
  <c r="I28" i="140"/>
  <c r="J28" i="140"/>
  <c r="K28" i="140"/>
  <c r="L28" i="140"/>
  <c r="M28" i="140"/>
  <c r="N28" i="140"/>
  <c r="Q28" i="140"/>
  <c r="R28" i="140"/>
  <c r="T28" i="140"/>
  <c r="D29" i="140"/>
  <c r="G29" i="140"/>
  <c r="H29" i="140"/>
  <c r="I29" i="140"/>
  <c r="J29" i="140"/>
  <c r="K29" i="140"/>
  <c r="L29" i="140"/>
  <c r="M29" i="140"/>
  <c r="N29" i="140"/>
  <c r="P29" i="140"/>
  <c r="Q29" i="140"/>
  <c r="R29" i="140"/>
  <c r="T29" i="140"/>
  <c r="D31" i="140"/>
  <c r="G31" i="140"/>
  <c r="H31" i="140"/>
  <c r="I31" i="140"/>
  <c r="J31" i="140"/>
  <c r="K31" i="140"/>
  <c r="L31" i="140"/>
  <c r="M31" i="140"/>
  <c r="N31" i="140"/>
  <c r="P31" i="140"/>
  <c r="Q31" i="140"/>
  <c r="R31" i="140"/>
  <c r="T31" i="140"/>
  <c r="D32" i="140"/>
  <c r="G32" i="140"/>
  <c r="H32" i="140"/>
  <c r="I32" i="140"/>
  <c r="J32" i="140"/>
  <c r="K32" i="140"/>
  <c r="L32" i="140"/>
  <c r="M32" i="140"/>
  <c r="N32" i="140"/>
  <c r="P32" i="140"/>
  <c r="Q32" i="140"/>
  <c r="R32" i="140"/>
  <c r="T32" i="140"/>
  <c r="D34" i="140"/>
  <c r="G34" i="140"/>
  <c r="H34" i="140"/>
  <c r="I34" i="140"/>
  <c r="J34" i="140"/>
  <c r="K34" i="140"/>
  <c r="L34" i="140"/>
  <c r="M34" i="140"/>
  <c r="N34" i="140"/>
  <c r="P34" i="140"/>
  <c r="Q34" i="140"/>
  <c r="R34" i="140"/>
  <c r="T34" i="140"/>
  <c r="D35" i="140"/>
  <c r="G35" i="140"/>
  <c r="H35" i="140"/>
  <c r="I35" i="140"/>
  <c r="J35" i="140"/>
  <c r="K35" i="140"/>
  <c r="L35" i="140"/>
  <c r="M35" i="140"/>
  <c r="N35" i="140"/>
  <c r="P35" i="140"/>
  <c r="Q35" i="140"/>
  <c r="R35" i="140"/>
  <c r="T35" i="140"/>
  <c r="D37" i="140"/>
  <c r="G37" i="140"/>
  <c r="H37" i="140"/>
  <c r="I37" i="140"/>
  <c r="J37" i="140"/>
  <c r="K37" i="140"/>
  <c r="L37" i="140"/>
  <c r="M37" i="140"/>
  <c r="N37" i="140"/>
  <c r="P37" i="140"/>
  <c r="Q37" i="140"/>
  <c r="R37" i="140"/>
  <c r="T37" i="140"/>
  <c r="D39" i="140"/>
  <c r="G39" i="140"/>
  <c r="H39" i="140"/>
  <c r="I39" i="140"/>
  <c r="K39" i="140"/>
  <c r="L39" i="140"/>
  <c r="M39" i="140"/>
  <c r="N39" i="140"/>
  <c r="Q39" i="140"/>
  <c r="R39" i="140"/>
  <c r="T39" i="140"/>
  <c r="G41" i="140"/>
  <c r="I41" i="140"/>
  <c r="K41" i="140"/>
  <c r="N41" i="140"/>
  <c r="H43" i="140"/>
  <c r="D46" i="140"/>
  <c r="G46" i="140"/>
  <c r="H46" i="140"/>
  <c r="I46" i="140"/>
  <c r="J46" i="140"/>
  <c r="K46" i="140"/>
  <c r="L46" i="140"/>
  <c r="M46" i="140"/>
  <c r="N46" i="140"/>
  <c r="P46" i="140"/>
  <c r="Q46" i="140"/>
  <c r="R46" i="140"/>
  <c r="T46" i="140"/>
  <c r="D47" i="140"/>
  <c r="G47" i="140"/>
  <c r="H47" i="140"/>
  <c r="I47" i="140"/>
  <c r="J47" i="140"/>
  <c r="K47" i="140"/>
  <c r="L47" i="140"/>
  <c r="M47" i="140"/>
  <c r="N47" i="140"/>
  <c r="Q47" i="140"/>
  <c r="R47" i="140"/>
  <c r="T47" i="140"/>
  <c r="D48" i="140"/>
  <c r="G48" i="140"/>
  <c r="H48" i="140"/>
  <c r="I48" i="140"/>
  <c r="J48" i="140"/>
  <c r="K48" i="140"/>
  <c r="L48" i="140"/>
  <c r="M48" i="140"/>
  <c r="N48" i="140"/>
  <c r="P48" i="140"/>
  <c r="Q48" i="140"/>
  <c r="R48" i="140"/>
  <c r="T48" i="140"/>
  <c r="D50" i="140"/>
  <c r="G50" i="140"/>
  <c r="H50" i="140"/>
  <c r="I50" i="140"/>
  <c r="J50" i="140"/>
  <c r="K50" i="140"/>
  <c r="L50" i="140"/>
  <c r="M50" i="140"/>
  <c r="N50" i="140"/>
  <c r="P50" i="140"/>
  <c r="Q50" i="140"/>
  <c r="R50" i="140"/>
  <c r="T50" i="140"/>
  <c r="D52" i="140"/>
  <c r="G52" i="140"/>
  <c r="H52" i="140"/>
  <c r="I52" i="140"/>
  <c r="J52" i="140"/>
  <c r="K52" i="140"/>
  <c r="L52" i="140"/>
  <c r="M52" i="140"/>
  <c r="N52" i="140"/>
  <c r="P52" i="140"/>
  <c r="Q52" i="140"/>
  <c r="R52" i="140"/>
  <c r="T52" i="140"/>
  <c r="D53" i="140"/>
  <c r="G53" i="140"/>
  <c r="H53" i="140"/>
  <c r="I53" i="140"/>
  <c r="J53" i="140"/>
  <c r="K53" i="140"/>
  <c r="L53" i="140"/>
  <c r="M53" i="140"/>
  <c r="N53" i="140"/>
  <c r="P53" i="140"/>
  <c r="Q53" i="140"/>
  <c r="R53" i="140"/>
  <c r="T53" i="140"/>
  <c r="D55" i="140"/>
  <c r="G55" i="140"/>
  <c r="H55" i="140"/>
  <c r="I55" i="140"/>
  <c r="J55" i="140"/>
  <c r="K55" i="140"/>
  <c r="L55" i="140"/>
  <c r="M55" i="140"/>
  <c r="N55" i="140"/>
  <c r="P55" i="140"/>
  <c r="Q55" i="140"/>
  <c r="R55" i="140"/>
  <c r="T55" i="140"/>
  <c r="D56" i="140"/>
  <c r="G56" i="140"/>
  <c r="H56" i="140"/>
  <c r="I56" i="140"/>
  <c r="J56" i="140"/>
  <c r="K56" i="140"/>
  <c r="L56" i="140"/>
  <c r="M56" i="140"/>
  <c r="N56" i="140"/>
  <c r="P56" i="140"/>
  <c r="Q56" i="140"/>
  <c r="R56" i="140"/>
  <c r="T56" i="140"/>
  <c r="D58" i="140"/>
  <c r="G58" i="140"/>
  <c r="H58" i="140"/>
  <c r="I58" i="140"/>
  <c r="J58" i="140"/>
  <c r="K58" i="140"/>
  <c r="L58" i="140"/>
  <c r="M58" i="140"/>
  <c r="N58" i="140"/>
  <c r="P58" i="140"/>
  <c r="Q58" i="140"/>
  <c r="R58" i="140"/>
  <c r="T58" i="140"/>
  <c r="D60" i="140"/>
  <c r="G60" i="140"/>
  <c r="H60" i="140"/>
  <c r="I60" i="140"/>
  <c r="K60" i="140"/>
  <c r="L60" i="140"/>
  <c r="M60" i="140"/>
  <c r="N60" i="140"/>
  <c r="Q60" i="140"/>
  <c r="R60" i="140"/>
  <c r="T60" i="140"/>
  <c r="G62" i="140"/>
  <c r="I62" i="140"/>
  <c r="K62" i="140"/>
  <c r="N62" i="140"/>
  <c r="H64" i="140"/>
  <c r="D67" i="140"/>
  <c r="G67" i="140"/>
  <c r="H67" i="140"/>
  <c r="I67" i="140"/>
  <c r="J67" i="140"/>
  <c r="K67" i="140"/>
  <c r="L67" i="140"/>
  <c r="M67" i="140"/>
  <c r="N67" i="140"/>
  <c r="P67" i="140"/>
  <c r="Q67" i="140"/>
  <c r="R67" i="140"/>
  <c r="T67" i="140"/>
  <c r="D68" i="140"/>
  <c r="G68" i="140"/>
  <c r="H68" i="140"/>
  <c r="I68" i="140"/>
  <c r="J68" i="140"/>
  <c r="K68" i="140"/>
  <c r="L68" i="140"/>
  <c r="M68" i="140"/>
  <c r="N68" i="140"/>
  <c r="R68" i="140"/>
  <c r="T68" i="140"/>
  <c r="D69" i="140"/>
  <c r="G69" i="140"/>
  <c r="H69" i="140"/>
  <c r="I69" i="140"/>
  <c r="J69" i="140"/>
  <c r="K69" i="140"/>
  <c r="L69" i="140"/>
  <c r="M69" i="140"/>
  <c r="N69" i="140"/>
  <c r="P69" i="140"/>
  <c r="Q69" i="140"/>
  <c r="R69" i="140"/>
  <c r="T69" i="140"/>
  <c r="D70" i="140"/>
  <c r="G70" i="140"/>
  <c r="H70" i="140"/>
  <c r="I70" i="140"/>
  <c r="J70" i="140"/>
  <c r="K70" i="140"/>
  <c r="L70" i="140"/>
  <c r="M70" i="140"/>
  <c r="N70" i="140"/>
  <c r="P70" i="140"/>
  <c r="Q70" i="140"/>
  <c r="R70" i="140"/>
  <c r="T70" i="140"/>
  <c r="D72" i="140"/>
  <c r="G72" i="140"/>
  <c r="H72" i="140"/>
  <c r="I72" i="140"/>
  <c r="J72" i="140"/>
  <c r="K72" i="140"/>
  <c r="L72" i="140"/>
  <c r="M72" i="140"/>
  <c r="N72" i="140"/>
  <c r="P72" i="140"/>
  <c r="Q72" i="140"/>
  <c r="R72" i="140"/>
  <c r="T72" i="140"/>
  <c r="D74" i="140"/>
  <c r="G74" i="140"/>
  <c r="H74" i="140"/>
  <c r="I74" i="140"/>
  <c r="K74" i="140"/>
  <c r="L74" i="140"/>
  <c r="M74" i="140"/>
  <c r="N74" i="140"/>
  <c r="R74" i="140"/>
  <c r="T74" i="140"/>
  <c r="G76" i="140"/>
  <c r="I76" i="140"/>
  <c r="K76" i="140"/>
  <c r="N76" i="140"/>
  <c r="H78" i="140"/>
  <c r="D81" i="140"/>
  <c r="G81" i="140"/>
  <c r="H81" i="140"/>
  <c r="I81" i="140"/>
  <c r="J81" i="140"/>
  <c r="K81" i="140"/>
  <c r="L81" i="140"/>
  <c r="M81" i="140"/>
  <c r="N81" i="140"/>
  <c r="P81" i="140"/>
  <c r="Q81" i="140"/>
  <c r="R81" i="140"/>
  <c r="T81" i="140"/>
  <c r="D82" i="140"/>
  <c r="G82" i="140"/>
  <c r="H82" i="140"/>
  <c r="I82" i="140"/>
  <c r="J82" i="140"/>
  <c r="K82" i="140"/>
  <c r="L82" i="140"/>
  <c r="M82" i="140"/>
  <c r="N82" i="140"/>
  <c r="Q82" i="140"/>
  <c r="R82" i="140"/>
  <c r="T82" i="140"/>
  <c r="D83" i="140"/>
  <c r="G83" i="140"/>
  <c r="H83" i="140"/>
  <c r="I83" i="140"/>
  <c r="J83" i="140"/>
  <c r="K83" i="140"/>
  <c r="L83" i="140"/>
  <c r="M83" i="140"/>
  <c r="N83" i="140"/>
  <c r="P83" i="140"/>
  <c r="Q83" i="140"/>
  <c r="R83" i="140"/>
  <c r="T83" i="140"/>
  <c r="D85" i="140"/>
  <c r="G85" i="140"/>
  <c r="H85" i="140"/>
  <c r="I85" i="140"/>
  <c r="J85" i="140"/>
  <c r="K85" i="140"/>
  <c r="L85" i="140"/>
  <c r="M85" i="140"/>
  <c r="N85" i="140"/>
  <c r="P85" i="140"/>
  <c r="Q85" i="140"/>
  <c r="R85" i="140"/>
  <c r="T85" i="140"/>
  <c r="D87" i="140"/>
  <c r="G87" i="140"/>
  <c r="H87" i="140"/>
  <c r="I87" i="140"/>
  <c r="K87" i="140"/>
  <c r="L87" i="140"/>
  <c r="M87" i="140"/>
  <c r="N87" i="140"/>
  <c r="Q87" i="140"/>
  <c r="R87" i="140"/>
  <c r="T87" i="140"/>
  <c r="G89" i="140"/>
  <c r="I89" i="140"/>
  <c r="K89" i="140"/>
  <c r="N89" i="140"/>
  <c r="H102" i="140"/>
  <c r="I102" i="140"/>
  <c r="J102" i="140"/>
  <c r="E103" i="140"/>
  <c r="E104" i="140"/>
  <c r="F104" i="140"/>
  <c r="H104" i="140"/>
  <c r="H105" i="140"/>
  <c r="F110" i="140"/>
  <c r="F111" i="140"/>
  <c r="F112" i="140"/>
  <c r="E113" i="140"/>
  <c r="E115" i="140"/>
  <c r="E116" i="140"/>
  <c r="E117" i="140"/>
  <c r="F119" i="140"/>
  <c r="E120" i="140"/>
  <c r="E123" i="140"/>
  <c r="I124" i="140"/>
  <c r="K124" i="140"/>
  <c r="L124" i="140"/>
  <c r="E125" i="140"/>
  <c r="E126" i="140"/>
  <c r="I126" i="140"/>
  <c r="K126" i="140"/>
  <c r="L126" i="140"/>
  <c r="F127" i="140"/>
  <c r="E129" i="140"/>
  <c r="F130" i="140"/>
  <c r="G130" i="140"/>
  <c r="H130" i="140"/>
  <c r="I130" i="140"/>
  <c r="F134" i="140"/>
  <c r="F135" i="140"/>
  <c r="E136" i="140"/>
  <c r="E138" i="140"/>
  <c r="E139" i="140"/>
  <c r="E140" i="140"/>
  <c r="F142" i="140"/>
  <c r="E143" i="140"/>
  <c r="E144" i="140"/>
  <c r="I145" i="140"/>
  <c r="K145" i="140"/>
  <c r="L145" i="140"/>
  <c r="E146" i="140"/>
  <c r="E147" i="140"/>
  <c r="I147" i="140"/>
  <c r="K147" i="140"/>
  <c r="L147" i="140"/>
  <c r="F148" i="140"/>
  <c r="F149" i="140"/>
  <c r="F150" i="140"/>
  <c r="F151" i="140"/>
  <c r="M151" i="140"/>
  <c r="N151" i="140"/>
  <c r="F152" i="140"/>
  <c r="M152" i="140"/>
  <c r="F153" i="140"/>
  <c r="G172" i="140"/>
  <c r="G173" i="140"/>
  <c r="E176" i="140"/>
  <c r="E177" i="140"/>
  <c r="E179" i="140"/>
  <c r="E183" i="140"/>
  <c r="E184" i="140"/>
  <c r="E185" i="140"/>
  <c r="G185" i="140"/>
  <c r="F188" i="140"/>
  <c r="G188" i="140"/>
  <c r="F189" i="140"/>
  <c r="F190" i="140"/>
  <c r="E191" i="140"/>
  <c r="E194" i="140"/>
  <c r="G194" i="140"/>
  <c r="E195" i="140"/>
  <c r="G195" i="140"/>
  <c r="E198" i="140"/>
  <c r="G209" i="140"/>
  <c r="H209" i="140"/>
  <c r="I209" i="140"/>
  <c r="D210" i="140"/>
  <c r="D211" i="140"/>
  <c r="G211" i="140"/>
  <c r="G212" i="140"/>
  <c r="E218" i="140"/>
  <c r="E219" i="140"/>
  <c r="E220" i="140"/>
  <c r="D221" i="140"/>
  <c r="D223" i="140"/>
  <c r="D224" i="140"/>
  <c r="D225" i="140"/>
  <c r="D228" i="140"/>
  <c r="D229" i="140"/>
  <c r="D232" i="140"/>
  <c r="I232" i="140"/>
  <c r="K232" i="140"/>
  <c r="L232" i="140"/>
  <c r="D234" i="140"/>
  <c r="I234" i="140"/>
  <c r="K234" i="140"/>
  <c r="L234" i="140"/>
  <c r="E235" i="140"/>
  <c r="D237" i="140"/>
  <c r="F237" i="140"/>
  <c r="G237" i="140"/>
  <c r="F239" i="140"/>
  <c r="G239" i="140"/>
  <c r="H239" i="140"/>
  <c r="I239" i="140"/>
  <c r="E242" i="140"/>
  <c r="E243" i="140"/>
  <c r="D244" i="140"/>
  <c r="D246" i="140"/>
  <c r="D247" i="140"/>
  <c r="D248" i="140"/>
  <c r="D251" i="140"/>
  <c r="I251" i="140"/>
  <c r="K251" i="140"/>
  <c r="L251" i="140"/>
  <c r="D252" i="140"/>
  <c r="I253" i="140"/>
  <c r="K253" i="140"/>
  <c r="L253" i="140"/>
  <c r="D254" i="140"/>
  <c r="D255" i="140"/>
  <c r="E256" i="140"/>
  <c r="N256" i="140"/>
  <c r="O256" i="140"/>
  <c r="E257" i="140"/>
  <c r="N257" i="140"/>
  <c r="E258" i="140"/>
  <c r="H258" i="140"/>
  <c r="E259" i="140"/>
  <c r="H259" i="140"/>
  <c r="E260" i="140"/>
  <c r="H260" i="140"/>
  <c r="I260" i="140"/>
  <c r="E261" i="140"/>
  <c r="H261" i="140"/>
  <c r="G278" i="140"/>
  <c r="I278" i="140"/>
  <c r="G284" i="140"/>
  <c r="I284" i="140"/>
  <c r="G285" i="140"/>
  <c r="G291" i="140"/>
  <c r="I291" i="140"/>
  <c r="G297" i="140"/>
  <c r="I297" i="140"/>
  <c r="G298" i="140"/>
  <c r="H5" i="153"/>
  <c r="H6" i="153"/>
  <c r="H7" i="153"/>
  <c r="H8" i="153"/>
  <c r="H20" i="153"/>
  <c r="D23" i="153"/>
  <c r="G23" i="153"/>
  <c r="H23" i="153"/>
  <c r="I23" i="153"/>
  <c r="J23" i="153"/>
  <c r="K23" i="153"/>
  <c r="L23" i="153"/>
  <c r="M23" i="153"/>
  <c r="N23" i="153"/>
  <c r="P23" i="153"/>
  <c r="Q23" i="153"/>
  <c r="R23" i="153"/>
  <c r="T23" i="153"/>
  <c r="D24" i="153"/>
  <c r="G24" i="153"/>
  <c r="H24" i="153"/>
  <c r="I24" i="153"/>
  <c r="J24" i="153"/>
  <c r="K24" i="153"/>
  <c r="L24" i="153"/>
  <c r="M24" i="153"/>
  <c r="N24" i="153"/>
  <c r="Q24" i="153"/>
  <c r="R24" i="153"/>
  <c r="T24" i="153"/>
  <c r="D25" i="153"/>
  <c r="G25" i="153"/>
  <c r="H25" i="153"/>
  <c r="I25" i="153"/>
  <c r="J25" i="153"/>
  <c r="K25" i="153"/>
  <c r="L25" i="153"/>
  <c r="M25" i="153"/>
  <c r="N25" i="153"/>
  <c r="P25" i="153"/>
  <c r="Q25" i="153"/>
  <c r="R25" i="153"/>
  <c r="T25" i="153"/>
  <c r="D27" i="153"/>
  <c r="G27" i="153"/>
  <c r="H27" i="153"/>
  <c r="I27" i="153"/>
  <c r="J27" i="153"/>
  <c r="K27" i="153"/>
  <c r="L27" i="153"/>
  <c r="M27" i="153"/>
  <c r="N27" i="153"/>
  <c r="P27" i="153"/>
  <c r="Q27" i="153"/>
  <c r="R27" i="153"/>
  <c r="T27" i="153"/>
  <c r="D28" i="153"/>
  <c r="G28" i="153"/>
  <c r="H28" i="153"/>
  <c r="I28" i="153"/>
  <c r="J28" i="153"/>
  <c r="K28" i="153"/>
  <c r="L28" i="153"/>
  <c r="M28" i="153"/>
  <c r="N28" i="153"/>
  <c r="Q28" i="153"/>
  <c r="R28" i="153"/>
  <c r="T28" i="153"/>
  <c r="D29" i="153"/>
  <c r="G29" i="153"/>
  <c r="H29" i="153"/>
  <c r="I29" i="153"/>
  <c r="J29" i="153"/>
  <c r="K29" i="153"/>
  <c r="L29" i="153"/>
  <c r="M29" i="153"/>
  <c r="N29" i="153"/>
  <c r="P29" i="153"/>
  <c r="Q29" i="153"/>
  <c r="R29" i="153"/>
  <c r="T29" i="153"/>
  <c r="D31" i="153"/>
  <c r="G31" i="153"/>
  <c r="H31" i="153"/>
  <c r="I31" i="153"/>
  <c r="J31" i="153"/>
  <c r="K31" i="153"/>
  <c r="L31" i="153"/>
  <c r="M31" i="153"/>
  <c r="N31" i="153"/>
  <c r="P31" i="153"/>
  <c r="Q31" i="153"/>
  <c r="R31" i="153"/>
  <c r="T31" i="153"/>
  <c r="D32" i="153"/>
  <c r="G32" i="153"/>
  <c r="H32" i="153"/>
  <c r="I32" i="153"/>
  <c r="J32" i="153"/>
  <c r="K32" i="153"/>
  <c r="L32" i="153"/>
  <c r="M32" i="153"/>
  <c r="N32" i="153"/>
  <c r="P32" i="153"/>
  <c r="Q32" i="153"/>
  <c r="R32" i="153"/>
  <c r="T32" i="153"/>
  <c r="D34" i="153"/>
  <c r="G34" i="153"/>
  <c r="H34" i="153"/>
  <c r="I34" i="153"/>
  <c r="J34" i="153"/>
  <c r="K34" i="153"/>
  <c r="L34" i="153"/>
  <c r="M34" i="153"/>
  <c r="N34" i="153"/>
  <c r="P34" i="153"/>
  <c r="Q34" i="153"/>
  <c r="R34" i="153"/>
  <c r="T34" i="153"/>
  <c r="D35" i="153"/>
  <c r="G35" i="153"/>
  <c r="H35" i="153"/>
  <c r="I35" i="153"/>
  <c r="J35" i="153"/>
  <c r="K35" i="153"/>
  <c r="L35" i="153"/>
  <c r="M35" i="153"/>
  <c r="N35" i="153"/>
  <c r="P35" i="153"/>
  <c r="Q35" i="153"/>
  <c r="R35" i="153"/>
  <c r="T35" i="153"/>
  <c r="D37" i="153"/>
  <c r="G37" i="153"/>
  <c r="H37" i="153"/>
  <c r="I37" i="153"/>
  <c r="J37" i="153"/>
  <c r="K37" i="153"/>
  <c r="L37" i="153"/>
  <c r="M37" i="153"/>
  <c r="N37" i="153"/>
  <c r="P37" i="153"/>
  <c r="Q37" i="153"/>
  <c r="R37" i="153"/>
  <c r="T37" i="153"/>
  <c r="D39" i="153"/>
  <c r="G39" i="153"/>
  <c r="H39" i="153"/>
  <c r="I39" i="153"/>
  <c r="K39" i="153"/>
  <c r="L39" i="153"/>
  <c r="M39" i="153"/>
  <c r="N39" i="153"/>
  <c r="Q39" i="153"/>
  <c r="R39" i="153"/>
  <c r="T39" i="153"/>
  <c r="G41" i="153"/>
  <c r="I41" i="153"/>
  <c r="K41" i="153"/>
  <c r="N41" i="153"/>
  <c r="H43" i="153"/>
  <c r="D46" i="153"/>
  <c r="G46" i="153"/>
  <c r="H46" i="153"/>
  <c r="I46" i="153"/>
  <c r="J46" i="153"/>
  <c r="K46" i="153"/>
  <c r="L46" i="153"/>
  <c r="M46" i="153"/>
  <c r="N46" i="153"/>
  <c r="P46" i="153"/>
  <c r="Q46" i="153"/>
  <c r="R46" i="153"/>
  <c r="T46" i="153"/>
  <c r="D47" i="153"/>
  <c r="G47" i="153"/>
  <c r="H47" i="153"/>
  <c r="I47" i="153"/>
  <c r="J47" i="153"/>
  <c r="K47" i="153"/>
  <c r="L47" i="153"/>
  <c r="M47" i="153"/>
  <c r="N47" i="153"/>
  <c r="Q47" i="153"/>
  <c r="R47" i="153"/>
  <c r="T47" i="153"/>
  <c r="D48" i="153"/>
  <c r="G48" i="153"/>
  <c r="H48" i="153"/>
  <c r="I48" i="153"/>
  <c r="J48" i="153"/>
  <c r="K48" i="153"/>
  <c r="L48" i="153"/>
  <c r="M48" i="153"/>
  <c r="N48" i="153"/>
  <c r="P48" i="153"/>
  <c r="Q48" i="153"/>
  <c r="R48" i="153"/>
  <c r="T48" i="153"/>
  <c r="D50" i="153"/>
  <c r="G50" i="153"/>
  <c r="H50" i="153"/>
  <c r="I50" i="153"/>
  <c r="J50" i="153"/>
  <c r="K50" i="153"/>
  <c r="L50" i="153"/>
  <c r="M50" i="153"/>
  <c r="N50" i="153"/>
  <c r="P50" i="153"/>
  <c r="Q50" i="153"/>
  <c r="R50" i="153"/>
  <c r="T50" i="153"/>
  <c r="D52" i="153"/>
  <c r="G52" i="153"/>
  <c r="H52" i="153"/>
  <c r="I52" i="153"/>
  <c r="J52" i="153"/>
  <c r="K52" i="153"/>
  <c r="L52" i="153"/>
  <c r="M52" i="153"/>
  <c r="N52" i="153"/>
  <c r="P52" i="153"/>
  <c r="Q52" i="153"/>
  <c r="R52" i="153"/>
  <c r="T52" i="153"/>
  <c r="D53" i="153"/>
  <c r="G53" i="153"/>
  <c r="H53" i="153"/>
  <c r="I53" i="153"/>
  <c r="J53" i="153"/>
  <c r="K53" i="153"/>
  <c r="L53" i="153"/>
  <c r="M53" i="153"/>
  <c r="N53" i="153"/>
  <c r="P53" i="153"/>
  <c r="Q53" i="153"/>
  <c r="R53" i="153"/>
  <c r="T53" i="153"/>
  <c r="D55" i="153"/>
  <c r="G55" i="153"/>
  <c r="H55" i="153"/>
  <c r="I55" i="153"/>
  <c r="J55" i="153"/>
  <c r="K55" i="153"/>
  <c r="L55" i="153"/>
  <c r="M55" i="153"/>
  <c r="N55" i="153"/>
  <c r="P55" i="153"/>
  <c r="Q55" i="153"/>
  <c r="R55" i="153"/>
  <c r="T55" i="153"/>
  <c r="D56" i="153"/>
  <c r="G56" i="153"/>
  <c r="H56" i="153"/>
  <c r="I56" i="153"/>
  <c r="J56" i="153"/>
  <c r="K56" i="153"/>
  <c r="L56" i="153"/>
  <c r="M56" i="153"/>
  <c r="N56" i="153"/>
  <c r="P56" i="153"/>
  <c r="Q56" i="153"/>
  <c r="R56" i="153"/>
  <c r="T56" i="153"/>
  <c r="D58" i="153"/>
  <c r="G58" i="153"/>
  <c r="H58" i="153"/>
  <c r="I58" i="153"/>
  <c r="J58" i="153"/>
  <c r="K58" i="153"/>
  <c r="L58" i="153"/>
  <c r="M58" i="153"/>
  <c r="N58" i="153"/>
  <c r="P58" i="153"/>
  <c r="Q58" i="153"/>
  <c r="R58" i="153"/>
  <c r="T58" i="153"/>
  <c r="D60" i="153"/>
  <c r="G60" i="153"/>
  <c r="H60" i="153"/>
  <c r="I60" i="153"/>
  <c r="K60" i="153"/>
  <c r="L60" i="153"/>
  <c r="M60" i="153"/>
  <c r="N60" i="153"/>
  <c r="Q60" i="153"/>
  <c r="R60" i="153"/>
  <c r="T60" i="153"/>
  <c r="G62" i="153"/>
  <c r="I62" i="153"/>
  <c r="K62" i="153"/>
  <c r="N62" i="153"/>
  <c r="H64" i="153"/>
  <c r="D67" i="153"/>
  <c r="G67" i="153"/>
  <c r="H67" i="153"/>
  <c r="I67" i="153"/>
  <c r="J67" i="153"/>
  <c r="K67" i="153"/>
  <c r="L67" i="153"/>
  <c r="M67" i="153"/>
  <c r="N67" i="153"/>
  <c r="P67" i="153"/>
  <c r="Q67" i="153"/>
  <c r="R67" i="153"/>
  <c r="T67" i="153"/>
  <c r="D68" i="153"/>
  <c r="G68" i="153"/>
  <c r="H68" i="153"/>
  <c r="I68" i="153"/>
  <c r="J68" i="153"/>
  <c r="K68" i="153"/>
  <c r="L68" i="153"/>
  <c r="M68" i="153"/>
  <c r="N68" i="153"/>
  <c r="R68" i="153"/>
  <c r="T68" i="153"/>
  <c r="D69" i="153"/>
  <c r="G69" i="153"/>
  <c r="H69" i="153"/>
  <c r="I69" i="153"/>
  <c r="J69" i="153"/>
  <c r="K69" i="153"/>
  <c r="L69" i="153"/>
  <c r="M69" i="153"/>
  <c r="N69" i="153"/>
  <c r="P69" i="153"/>
  <c r="Q69" i="153"/>
  <c r="R69" i="153"/>
  <c r="T69" i="153"/>
  <c r="D70" i="153"/>
  <c r="G70" i="153"/>
  <c r="H70" i="153"/>
  <c r="I70" i="153"/>
  <c r="J70" i="153"/>
  <c r="K70" i="153"/>
  <c r="L70" i="153"/>
  <c r="M70" i="153"/>
  <c r="N70" i="153"/>
  <c r="P70" i="153"/>
  <c r="Q70" i="153"/>
  <c r="R70" i="153"/>
  <c r="T70" i="153"/>
  <c r="D72" i="153"/>
  <c r="G72" i="153"/>
  <c r="H72" i="153"/>
  <c r="I72" i="153"/>
  <c r="J72" i="153"/>
  <c r="K72" i="153"/>
  <c r="L72" i="153"/>
  <c r="M72" i="153"/>
  <c r="N72" i="153"/>
  <c r="P72" i="153"/>
  <c r="Q72" i="153"/>
  <c r="R72" i="153"/>
  <c r="T72" i="153"/>
  <c r="D74" i="153"/>
  <c r="G74" i="153"/>
  <c r="H74" i="153"/>
  <c r="I74" i="153"/>
  <c r="K74" i="153"/>
  <c r="L74" i="153"/>
  <c r="M74" i="153"/>
  <c r="N74" i="153"/>
  <c r="R74" i="153"/>
  <c r="T74" i="153"/>
  <c r="G76" i="153"/>
  <c r="I76" i="153"/>
  <c r="K76" i="153"/>
  <c r="N76" i="153"/>
  <c r="H78" i="153"/>
  <c r="D81" i="153"/>
  <c r="G81" i="153"/>
  <c r="H81" i="153"/>
  <c r="I81" i="153"/>
  <c r="J81" i="153"/>
  <c r="K81" i="153"/>
  <c r="L81" i="153"/>
  <c r="M81" i="153"/>
  <c r="N81" i="153"/>
  <c r="P81" i="153"/>
  <c r="Q81" i="153"/>
  <c r="R81" i="153"/>
  <c r="T81" i="153"/>
  <c r="D82" i="153"/>
  <c r="G82" i="153"/>
  <c r="H82" i="153"/>
  <c r="I82" i="153"/>
  <c r="J82" i="153"/>
  <c r="K82" i="153"/>
  <c r="L82" i="153"/>
  <c r="M82" i="153"/>
  <c r="N82" i="153"/>
  <c r="Q82" i="153"/>
  <c r="R82" i="153"/>
  <c r="T82" i="153"/>
  <c r="D83" i="153"/>
  <c r="G83" i="153"/>
  <c r="H83" i="153"/>
  <c r="I83" i="153"/>
  <c r="J83" i="153"/>
  <c r="K83" i="153"/>
  <c r="L83" i="153"/>
  <c r="M83" i="153"/>
  <c r="N83" i="153"/>
  <c r="P83" i="153"/>
  <c r="Q83" i="153"/>
  <c r="R83" i="153"/>
  <c r="T83" i="153"/>
  <c r="D85" i="153"/>
  <c r="G85" i="153"/>
  <c r="H85" i="153"/>
  <c r="I85" i="153"/>
  <c r="J85" i="153"/>
  <c r="K85" i="153"/>
  <c r="L85" i="153"/>
  <c r="M85" i="153"/>
  <c r="N85" i="153"/>
  <c r="P85" i="153"/>
  <c r="Q85" i="153"/>
  <c r="R85" i="153"/>
  <c r="T85" i="153"/>
  <c r="D87" i="153"/>
  <c r="G87" i="153"/>
  <c r="H87" i="153"/>
  <c r="I87" i="153"/>
  <c r="K87" i="153"/>
  <c r="L87" i="153"/>
  <c r="M87" i="153"/>
  <c r="N87" i="153"/>
  <c r="Q87" i="153"/>
  <c r="R87" i="153"/>
  <c r="T87" i="153"/>
  <c r="G89" i="153"/>
  <c r="I89" i="153"/>
  <c r="K89" i="153"/>
  <c r="N89" i="153"/>
  <c r="H102" i="153"/>
  <c r="I102" i="153"/>
  <c r="J102" i="153"/>
  <c r="E104" i="153"/>
  <c r="H104" i="153"/>
  <c r="H105" i="153"/>
  <c r="F110" i="153"/>
  <c r="F111" i="153"/>
  <c r="F112" i="153"/>
  <c r="E113" i="153"/>
  <c r="E115" i="153"/>
  <c r="E116" i="153"/>
  <c r="E117" i="153"/>
  <c r="F119" i="153"/>
  <c r="E120" i="153"/>
  <c r="E123" i="153"/>
  <c r="I124" i="153"/>
  <c r="K124" i="153"/>
  <c r="L124" i="153"/>
  <c r="E125" i="153"/>
  <c r="E126" i="153"/>
  <c r="I126" i="153"/>
  <c r="K126" i="153"/>
  <c r="L126" i="153"/>
  <c r="F127" i="153"/>
  <c r="E129" i="153"/>
  <c r="G130" i="153"/>
  <c r="H130" i="153"/>
  <c r="I130" i="153"/>
  <c r="F134" i="153"/>
  <c r="F135" i="153"/>
  <c r="E136" i="153"/>
  <c r="E138" i="153"/>
  <c r="E139" i="153"/>
  <c r="E140" i="153"/>
  <c r="F142" i="153"/>
  <c r="E143" i="153"/>
  <c r="E144" i="153"/>
  <c r="I145" i="153"/>
  <c r="K145" i="153"/>
  <c r="L145" i="153"/>
  <c r="E146" i="153"/>
  <c r="E147" i="153"/>
  <c r="I147" i="153"/>
  <c r="K147" i="153"/>
  <c r="L147" i="153"/>
  <c r="F148" i="153"/>
  <c r="F149" i="153"/>
  <c r="F150" i="153"/>
  <c r="F151" i="153"/>
  <c r="M151" i="153"/>
  <c r="N151" i="153"/>
  <c r="F152" i="153"/>
  <c r="M152" i="153"/>
  <c r="F153" i="153"/>
  <c r="G172" i="153"/>
  <c r="G173" i="153"/>
  <c r="E176" i="153"/>
  <c r="E177" i="153"/>
  <c r="E179" i="153"/>
  <c r="E183" i="153"/>
  <c r="E184" i="153"/>
  <c r="E185" i="153"/>
  <c r="G185" i="153"/>
  <c r="F188" i="153"/>
  <c r="G188" i="153"/>
  <c r="F189" i="153"/>
  <c r="F190" i="153"/>
  <c r="E191" i="153"/>
  <c r="E194" i="153"/>
  <c r="G194" i="153"/>
  <c r="E195" i="153"/>
  <c r="G195" i="153"/>
  <c r="E198" i="153"/>
  <c r="G209" i="153"/>
  <c r="H209" i="153"/>
  <c r="I209" i="153"/>
  <c r="D211" i="153"/>
  <c r="G211" i="153"/>
  <c r="G212" i="153"/>
  <c r="E218" i="153"/>
  <c r="E219" i="153"/>
  <c r="E220" i="153"/>
  <c r="D221" i="153"/>
  <c r="D223" i="153"/>
  <c r="D224" i="153"/>
  <c r="D225" i="153"/>
  <c r="D228" i="153"/>
  <c r="D229" i="153"/>
  <c r="D232" i="153"/>
  <c r="I232" i="153"/>
  <c r="K232" i="153"/>
  <c r="L232" i="153"/>
  <c r="D234" i="153"/>
  <c r="I234" i="153"/>
  <c r="K234" i="153"/>
  <c r="L234" i="153"/>
  <c r="E235" i="153"/>
  <c r="D237" i="153"/>
  <c r="F237" i="153"/>
  <c r="G237" i="153"/>
  <c r="F239" i="153"/>
  <c r="G239" i="153"/>
  <c r="H239" i="153"/>
  <c r="I239" i="153"/>
  <c r="E242" i="153"/>
  <c r="E243" i="153"/>
  <c r="D244" i="153"/>
  <c r="D246" i="153"/>
  <c r="D247" i="153"/>
  <c r="D248" i="153"/>
  <c r="D251" i="153"/>
  <c r="I251" i="153"/>
  <c r="K251" i="153"/>
  <c r="L251" i="153"/>
  <c r="D252" i="153"/>
  <c r="I253" i="153"/>
  <c r="K253" i="153"/>
  <c r="L253" i="153"/>
  <c r="D254" i="153"/>
  <c r="D255" i="153"/>
  <c r="E256" i="153"/>
  <c r="N256" i="153"/>
  <c r="O256" i="153"/>
  <c r="E257" i="153"/>
  <c r="N257" i="153"/>
  <c r="E258" i="153"/>
  <c r="H258" i="153"/>
  <c r="E259" i="153"/>
  <c r="H259" i="153"/>
  <c r="E260" i="153"/>
  <c r="H260" i="153"/>
  <c r="I260" i="153"/>
  <c r="E261" i="153"/>
  <c r="H261" i="153"/>
  <c r="G278" i="153"/>
  <c r="I278" i="153"/>
  <c r="G284" i="153"/>
  <c r="I284" i="153"/>
  <c r="G285" i="153"/>
  <c r="G291" i="153"/>
  <c r="I291" i="153"/>
  <c r="G297" i="153"/>
  <c r="I297" i="153"/>
  <c r="G298" i="153"/>
  <c r="H312" i="153"/>
  <c r="D315" i="153"/>
  <c r="G315" i="153"/>
  <c r="H315" i="153"/>
  <c r="I315" i="153"/>
  <c r="J315" i="153"/>
  <c r="K315" i="153"/>
  <c r="L315" i="153"/>
  <c r="M315" i="153"/>
  <c r="N315" i="153"/>
  <c r="P315" i="153"/>
  <c r="Q315" i="153"/>
  <c r="R315" i="153"/>
  <c r="T315" i="153"/>
  <c r="D316" i="153"/>
  <c r="G316" i="153"/>
  <c r="H316" i="153"/>
  <c r="I316" i="153"/>
  <c r="K316" i="153"/>
  <c r="L316" i="153"/>
  <c r="M316" i="153"/>
  <c r="N316" i="153"/>
  <c r="Q316" i="153"/>
  <c r="R316" i="153"/>
  <c r="T316" i="153"/>
  <c r="D317" i="153"/>
  <c r="G317" i="153"/>
  <c r="H317" i="153"/>
  <c r="I317" i="153"/>
  <c r="J317" i="153"/>
  <c r="K317" i="153"/>
  <c r="L317" i="153"/>
  <c r="M317" i="153"/>
  <c r="N317" i="153"/>
  <c r="P317" i="153"/>
  <c r="Q317" i="153"/>
  <c r="R317" i="153"/>
  <c r="T317" i="153"/>
  <c r="D319" i="153"/>
  <c r="G319" i="153"/>
  <c r="H319" i="153"/>
  <c r="I319" i="153"/>
  <c r="J319" i="153"/>
  <c r="K319" i="153"/>
  <c r="L319" i="153"/>
  <c r="M319" i="153"/>
  <c r="N319" i="153"/>
  <c r="Q319" i="153"/>
  <c r="R319" i="153"/>
  <c r="T319" i="153"/>
  <c r="D320" i="153"/>
  <c r="G320" i="153"/>
  <c r="H320" i="153"/>
  <c r="I320" i="153"/>
  <c r="J320" i="153"/>
  <c r="K320" i="153"/>
  <c r="L320" i="153"/>
  <c r="M320" i="153"/>
  <c r="N320" i="153"/>
  <c r="Q320" i="153"/>
  <c r="R320" i="153"/>
  <c r="T320" i="153"/>
  <c r="D322" i="153"/>
  <c r="G322" i="153"/>
  <c r="H322" i="153"/>
  <c r="I322" i="153"/>
  <c r="J322" i="153"/>
  <c r="K322" i="153"/>
  <c r="L322" i="153"/>
  <c r="M322" i="153"/>
  <c r="N322" i="153"/>
  <c r="Q322" i="153"/>
  <c r="R322" i="153"/>
  <c r="T322" i="153"/>
  <c r="D323" i="153"/>
  <c r="G323" i="153"/>
  <c r="H323" i="153"/>
  <c r="I323" i="153"/>
  <c r="J323" i="153"/>
  <c r="K323" i="153"/>
  <c r="L323" i="153"/>
  <c r="M323" i="153"/>
  <c r="N323" i="153"/>
  <c r="Q323" i="153"/>
  <c r="R323" i="153"/>
  <c r="T323" i="153"/>
  <c r="D324" i="153"/>
  <c r="G324" i="153"/>
  <c r="H324" i="153"/>
  <c r="I324" i="153"/>
  <c r="K324" i="153"/>
  <c r="L324" i="153"/>
  <c r="M324" i="153"/>
  <c r="N324" i="153"/>
  <c r="G326" i="153"/>
  <c r="H326" i="153"/>
  <c r="I326" i="153"/>
  <c r="K326" i="153"/>
  <c r="L326" i="153"/>
  <c r="M326" i="153"/>
  <c r="N326" i="153"/>
  <c r="G328" i="153"/>
  <c r="I328" i="153"/>
  <c r="K328" i="153"/>
  <c r="N328" i="153"/>
  <c r="H339" i="153"/>
  <c r="D342" i="153"/>
  <c r="G342" i="153"/>
  <c r="H342" i="153"/>
  <c r="I342" i="153"/>
  <c r="J342" i="153"/>
  <c r="K342" i="153"/>
  <c r="L342" i="153"/>
  <c r="M342" i="153"/>
  <c r="N342" i="153"/>
  <c r="P342" i="153"/>
  <c r="Q342" i="153"/>
  <c r="R342" i="153"/>
  <c r="T342" i="153"/>
  <c r="D343" i="153"/>
  <c r="G343" i="153"/>
  <c r="H343" i="153"/>
  <c r="I343" i="153"/>
  <c r="K343" i="153"/>
  <c r="L343" i="153"/>
  <c r="M343" i="153"/>
  <c r="N343" i="153"/>
  <c r="Q343" i="153"/>
  <c r="R343" i="153"/>
  <c r="T343" i="153"/>
  <c r="D344" i="153"/>
  <c r="G344" i="153"/>
  <c r="H344" i="153"/>
  <c r="I344" i="153"/>
  <c r="J344" i="153"/>
  <c r="K344" i="153"/>
  <c r="L344" i="153"/>
  <c r="M344" i="153"/>
  <c r="N344" i="153"/>
  <c r="Q344" i="153"/>
  <c r="R344" i="153"/>
  <c r="T344" i="153"/>
  <c r="G346" i="153"/>
  <c r="H346" i="153"/>
  <c r="I346" i="153"/>
  <c r="J346" i="153"/>
  <c r="K346" i="153"/>
  <c r="L346" i="153"/>
  <c r="M346" i="153"/>
  <c r="N346" i="153"/>
  <c r="Q346" i="153"/>
  <c r="R346" i="153"/>
  <c r="T346" i="153"/>
  <c r="D347" i="153"/>
  <c r="G347" i="153"/>
  <c r="H347" i="153"/>
  <c r="I347" i="153"/>
  <c r="J347" i="153"/>
  <c r="K347" i="153"/>
  <c r="L347" i="153"/>
  <c r="M347" i="153"/>
  <c r="N347" i="153"/>
  <c r="Q347" i="153"/>
  <c r="R347" i="153"/>
  <c r="T347" i="153"/>
  <c r="D349" i="153"/>
  <c r="G349" i="153"/>
  <c r="H349" i="153"/>
  <c r="I349" i="153"/>
  <c r="J349" i="153"/>
  <c r="K349" i="153"/>
  <c r="L349" i="153"/>
  <c r="M349" i="153"/>
  <c r="N349" i="153"/>
  <c r="Q349" i="153"/>
  <c r="R349" i="153"/>
  <c r="T349" i="153"/>
  <c r="D350" i="153"/>
  <c r="G350" i="153"/>
  <c r="H350" i="153"/>
  <c r="I350" i="153"/>
  <c r="J350" i="153"/>
  <c r="K350" i="153"/>
  <c r="L350" i="153"/>
  <c r="M350" i="153"/>
  <c r="N350" i="153"/>
  <c r="Q350" i="153"/>
  <c r="R350" i="153"/>
  <c r="T350" i="153"/>
  <c r="D351" i="153"/>
  <c r="G351" i="153"/>
  <c r="H351" i="153"/>
  <c r="I351" i="153"/>
  <c r="K351" i="153"/>
  <c r="L351" i="153"/>
  <c r="M351" i="153"/>
  <c r="N351" i="153"/>
  <c r="G353" i="153"/>
  <c r="H353" i="153"/>
  <c r="I353" i="153"/>
  <c r="K353" i="153"/>
  <c r="L353" i="153"/>
  <c r="M353" i="153"/>
  <c r="N353" i="153"/>
  <c r="G355" i="153"/>
  <c r="I355" i="153"/>
  <c r="K355" i="153"/>
  <c r="N355" i="153"/>
  <c r="B1" i="154"/>
  <c r="B2" i="154"/>
  <c r="B3" i="154"/>
  <c r="B6" i="154"/>
  <c r="B9" i="154"/>
  <c r="E17" i="154"/>
  <c r="F17" i="154"/>
  <c r="G17" i="154"/>
  <c r="H17" i="154"/>
  <c r="I17" i="154"/>
  <c r="J17" i="154"/>
  <c r="K17" i="154"/>
  <c r="L17" i="154"/>
  <c r="M17" i="154"/>
  <c r="O17" i="154"/>
  <c r="F18" i="154"/>
  <c r="G18" i="154"/>
  <c r="H18" i="154"/>
  <c r="J18" i="154"/>
  <c r="K18" i="154"/>
  <c r="L18" i="154"/>
  <c r="M18" i="154"/>
  <c r="O18" i="154"/>
  <c r="E21" i="154"/>
  <c r="F21" i="154"/>
  <c r="G21" i="154"/>
  <c r="H21" i="154"/>
  <c r="I21" i="154"/>
  <c r="J21" i="154"/>
  <c r="K21" i="154"/>
  <c r="L21" i="154"/>
  <c r="M21" i="154"/>
  <c r="O21" i="154"/>
  <c r="F23" i="154"/>
  <c r="G23" i="154"/>
  <c r="H23" i="154"/>
  <c r="J23" i="154"/>
  <c r="K23" i="154"/>
  <c r="L23" i="154"/>
  <c r="M23" i="154"/>
  <c r="O23" i="154"/>
  <c r="R25" i="154"/>
  <c r="E27" i="154"/>
  <c r="F27" i="154"/>
  <c r="G27" i="154"/>
  <c r="H27" i="154"/>
  <c r="I27" i="154"/>
  <c r="J27" i="154"/>
  <c r="K27" i="154"/>
  <c r="L27" i="154"/>
  <c r="M27" i="154"/>
  <c r="O27" i="154"/>
  <c r="F28" i="154"/>
  <c r="G28" i="154"/>
  <c r="H28" i="154"/>
  <c r="J28" i="154"/>
  <c r="K28" i="154"/>
  <c r="L28" i="154"/>
  <c r="M28" i="154"/>
  <c r="O28" i="154"/>
  <c r="R28" i="154"/>
  <c r="F31" i="154"/>
  <c r="G31" i="154"/>
  <c r="H31" i="154"/>
  <c r="J31" i="154"/>
  <c r="K31" i="154"/>
  <c r="L31" i="154"/>
  <c r="M31" i="154"/>
  <c r="O31" i="154"/>
  <c r="R31" i="154"/>
  <c r="F33" i="154"/>
  <c r="G33" i="154"/>
  <c r="H33" i="154"/>
  <c r="J33" i="154"/>
  <c r="K33" i="154"/>
  <c r="L33" i="154"/>
  <c r="M33" i="154"/>
  <c r="O33" i="154"/>
  <c r="R33" i="154"/>
  <c r="F35" i="154"/>
  <c r="G35" i="154"/>
  <c r="H35" i="154"/>
  <c r="J35" i="154"/>
  <c r="K35" i="154"/>
  <c r="L35" i="154"/>
  <c r="M35" i="154"/>
  <c r="O35" i="154"/>
  <c r="R35" i="154"/>
  <c r="F36" i="154"/>
  <c r="G36" i="154"/>
  <c r="H36" i="154"/>
  <c r="J36" i="154"/>
  <c r="K36" i="154"/>
  <c r="L36" i="154"/>
  <c r="M36" i="154"/>
  <c r="O36" i="154"/>
  <c r="F37" i="154"/>
  <c r="G37" i="154"/>
  <c r="H37" i="154"/>
  <c r="J37" i="154"/>
  <c r="K37" i="154"/>
  <c r="L37" i="154"/>
  <c r="M37" i="154"/>
  <c r="O37" i="154"/>
  <c r="F39" i="154"/>
  <c r="G39" i="154"/>
  <c r="H39" i="154"/>
  <c r="J39" i="154"/>
  <c r="K39" i="154"/>
  <c r="L39" i="154"/>
  <c r="M39" i="154"/>
  <c r="O39" i="154"/>
  <c r="R39" i="154"/>
  <c r="F41" i="154"/>
  <c r="G41" i="154"/>
  <c r="H41" i="154"/>
  <c r="J41" i="154"/>
  <c r="K41" i="154"/>
  <c r="L41" i="154"/>
  <c r="M41" i="154"/>
  <c r="O41" i="154"/>
  <c r="R41" i="154"/>
  <c r="F43" i="154"/>
  <c r="G43" i="154"/>
  <c r="H43" i="154"/>
  <c r="J43" i="154"/>
  <c r="K43" i="154"/>
  <c r="L43" i="154"/>
  <c r="M43" i="154"/>
  <c r="O43" i="154"/>
  <c r="R43" i="154"/>
  <c r="F44" i="154"/>
  <c r="G44" i="154"/>
  <c r="H44" i="154"/>
  <c r="J44" i="154"/>
  <c r="K44" i="154"/>
  <c r="L44" i="154"/>
  <c r="M44" i="154"/>
  <c r="O44" i="154"/>
  <c r="F45" i="154"/>
  <c r="G45" i="154"/>
  <c r="H45" i="154"/>
  <c r="J45" i="154"/>
  <c r="K45" i="154"/>
  <c r="L45" i="154"/>
  <c r="M45" i="154"/>
  <c r="O45" i="154"/>
  <c r="F47" i="154"/>
  <c r="G47" i="154"/>
  <c r="H47" i="154"/>
  <c r="J47" i="154"/>
  <c r="K47" i="154"/>
  <c r="L47" i="154"/>
  <c r="M47" i="154"/>
  <c r="O47" i="154"/>
  <c r="R47" i="154"/>
  <c r="F48" i="154"/>
  <c r="G48" i="154"/>
  <c r="H48" i="154"/>
  <c r="J48" i="154"/>
  <c r="K48" i="154"/>
  <c r="L48" i="154"/>
  <c r="M48" i="154"/>
  <c r="O48" i="154"/>
  <c r="F49" i="154"/>
  <c r="G49" i="154"/>
  <c r="H49" i="154"/>
  <c r="J49" i="154"/>
  <c r="K49" i="154"/>
  <c r="L49" i="154"/>
  <c r="M49" i="154"/>
  <c r="O49" i="154"/>
  <c r="E51" i="154"/>
  <c r="F51" i="154"/>
  <c r="G51" i="154"/>
  <c r="H51" i="154"/>
  <c r="I51" i="154"/>
  <c r="J51" i="154"/>
  <c r="K51" i="154"/>
  <c r="L51" i="154"/>
  <c r="M51" i="154"/>
  <c r="O51" i="154"/>
  <c r="F52" i="154"/>
  <c r="G52" i="154"/>
  <c r="H52" i="154"/>
  <c r="J52" i="154"/>
  <c r="K52" i="154"/>
  <c r="L52" i="154"/>
  <c r="M52" i="154"/>
  <c r="O52" i="154"/>
  <c r="R52" i="154"/>
  <c r="F53" i="154"/>
  <c r="G53" i="154"/>
  <c r="H53" i="154"/>
  <c r="J53" i="154"/>
  <c r="K53" i="154"/>
  <c r="L53" i="154"/>
  <c r="M53" i="154"/>
  <c r="O53" i="154"/>
  <c r="F54" i="154"/>
  <c r="G54" i="154"/>
  <c r="H54" i="154"/>
  <c r="J54" i="154"/>
  <c r="K54" i="154"/>
  <c r="L54" i="154"/>
  <c r="M54" i="154"/>
  <c r="O54" i="154"/>
  <c r="F56" i="154"/>
  <c r="G56" i="154"/>
  <c r="H56" i="154"/>
  <c r="J56" i="154"/>
  <c r="K56" i="154"/>
  <c r="L56" i="154"/>
  <c r="M56" i="154"/>
  <c r="O56" i="154"/>
  <c r="C60" i="154"/>
  <c r="F60" i="154"/>
  <c r="G60" i="154"/>
  <c r="H60" i="154"/>
  <c r="J60" i="154"/>
  <c r="K60" i="154"/>
  <c r="L60" i="154"/>
  <c r="M60" i="154"/>
  <c r="O60" i="154"/>
  <c r="F61" i="154"/>
  <c r="G61" i="154"/>
  <c r="H61" i="154"/>
  <c r="J61" i="154"/>
  <c r="K61" i="154"/>
  <c r="L61" i="154"/>
  <c r="M61" i="154"/>
  <c r="O61" i="154"/>
  <c r="F62" i="154"/>
  <c r="G62" i="154"/>
  <c r="H62" i="154"/>
  <c r="J62" i="154"/>
  <c r="K62" i="154"/>
  <c r="L62" i="154"/>
  <c r="M62" i="154"/>
  <c r="O62" i="154"/>
  <c r="F63" i="154"/>
  <c r="G63" i="154"/>
  <c r="H63" i="154"/>
  <c r="J63" i="154"/>
  <c r="K63" i="154"/>
  <c r="L63" i="154"/>
  <c r="M63" i="154"/>
  <c r="O63" i="154"/>
  <c r="F64" i="154"/>
  <c r="G64" i="154"/>
  <c r="H64" i="154"/>
  <c r="J64" i="154"/>
  <c r="K64" i="154"/>
  <c r="L64" i="154"/>
  <c r="M64" i="154"/>
  <c r="O64" i="154"/>
  <c r="F66" i="154"/>
  <c r="G66" i="154"/>
  <c r="H66" i="154"/>
  <c r="J66" i="154"/>
  <c r="K66" i="154"/>
  <c r="L66" i="154"/>
  <c r="M66" i="154"/>
  <c r="O66" i="154"/>
  <c r="E72" i="154"/>
  <c r="F72" i="154"/>
  <c r="G72" i="154"/>
  <c r="H72" i="154"/>
  <c r="I72" i="154"/>
  <c r="J72" i="154"/>
  <c r="K72" i="154"/>
  <c r="L72" i="154"/>
  <c r="M72" i="154"/>
  <c r="O72" i="154"/>
  <c r="F73" i="154"/>
  <c r="G73" i="154"/>
  <c r="H73" i="154"/>
  <c r="J73" i="154"/>
  <c r="K73" i="154"/>
  <c r="L73" i="154"/>
  <c r="M73" i="154"/>
  <c r="O73" i="154"/>
  <c r="E76" i="154"/>
  <c r="F76" i="154"/>
  <c r="G76" i="154"/>
  <c r="H76" i="154"/>
  <c r="I76" i="154"/>
  <c r="J76" i="154"/>
  <c r="K76" i="154"/>
  <c r="L76" i="154"/>
  <c r="M76" i="154"/>
  <c r="O76" i="154"/>
  <c r="F78" i="154"/>
  <c r="G78" i="154"/>
  <c r="H78" i="154"/>
  <c r="J78" i="154"/>
  <c r="K78" i="154"/>
  <c r="L78" i="154"/>
  <c r="M78" i="154"/>
  <c r="O78" i="154"/>
  <c r="F80" i="154"/>
  <c r="G80" i="154"/>
  <c r="H80" i="154"/>
  <c r="J80" i="154"/>
  <c r="K80" i="154"/>
  <c r="L80" i="154"/>
  <c r="M80" i="154"/>
  <c r="O80" i="154"/>
  <c r="R80" i="154"/>
  <c r="E82" i="154"/>
  <c r="F82" i="154"/>
  <c r="G82" i="154"/>
  <c r="H82" i="154"/>
  <c r="I82" i="154"/>
  <c r="J82" i="154"/>
  <c r="K82" i="154"/>
  <c r="L82" i="154"/>
  <c r="M82" i="154"/>
  <c r="O82" i="154"/>
  <c r="F83" i="154"/>
  <c r="G83" i="154"/>
  <c r="H83" i="154"/>
  <c r="J83" i="154"/>
  <c r="K83" i="154"/>
  <c r="L83" i="154"/>
  <c r="M83" i="154"/>
  <c r="O83" i="154"/>
  <c r="R83" i="154"/>
  <c r="F85" i="154"/>
  <c r="G85" i="154"/>
  <c r="H85" i="154"/>
  <c r="J85" i="154"/>
  <c r="K85" i="154"/>
  <c r="L85" i="154"/>
  <c r="M85" i="154"/>
  <c r="O85" i="154"/>
  <c r="R85" i="154"/>
  <c r="F87" i="154"/>
  <c r="G87" i="154"/>
  <c r="H87" i="154"/>
  <c r="J87" i="154"/>
  <c r="K87" i="154"/>
  <c r="L87" i="154"/>
  <c r="M87" i="154"/>
  <c r="O87" i="154"/>
  <c r="R87" i="154"/>
  <c r="F88" i="154"/>
  <c r="G88" i="154"/>
  <c r="H88" i="154"/>
  <c r="J88" i="154"/>
  <c r="K88" i="154"/>
  <c r="L88" i="154"/>
  <c r="M88" i="154"/>
  <c r="O88" i="154"/>
  <c r="F89" i="154"/>
  <c r="G89" i="154"/>
  <c r="H89" i="154"/>
  <c r="J89" i="154"/>
  <c r="K89" i="154"/>
  <c r="L89" i="154"/>
  <c r="M89" i="154"/>
  <c r="O89" i="154"/>
  <c r="F91" i="154"/>
  <c r="G91" i="154"/>
  <c r="H91" i="154"/>
  <c r="J91" i="154"/>
  <c r="K91" i="154"/>
  <c r="L91" i="154"/>
  <c r="M91" i="154"/>
  <c r="O91" i="154"/>
  <c r="R91" i="154"/>
  <c r="F93" i="154"/>
  <c r="G93" i="154"/>
  <c r="H93" i="154"/>
  <c r="J93" i="154"/>
  <c r="K93" i="154"/>
  <c r="L93" i="154"/>
  <c r="M93" i="154"/>
  <c r="O93" i="154"/>
  <c r="R93" i="154"/>
  <c r="F94" i="154"/>
  <c r="G94" i="154"/>
  <c r="H94" i="154"/>
  <c r="J94" i="154"/>
  <c r="K94" i="154"/>
  <c r="L94" i="154"/>
  <c r="M94" i="154"/>
  <c r="O94" i="154"/>
  <c r="F95" i="154"/>
  <c r="G95" i="154"/>
  <c r="H95" i="154"/>
  <c r="J95" i="154"/>
  <c r="K95" i="154"/>
  <c r="L95" i="154"/>
  <c r="M95" i="154"/>
  <c r="O95" i="154"/>
  <c r="E97" i="154"/>
  <c r="F97" i="154"/>
  <c r="G97" i="154"/>
  <c r="H97" i="154"/>
  <c r="I97" i="154"/>
  <c r="J97" i="154"/>
  <c r="K97" i="154"/>
  <c r="L97" i="154"/>
  <c r="M97" i="154"/>
  <c r="O97" i="154"/>
  <c r="F98" i="154"/>
  <c r="G98" i="154"/>
  <c r="H98" i="154"/>
  <c r="J98" i="154"/>
  <c r="K98" i="154"/>
  <c r="L98" i="154"/>
  <c r="M98" i="154"/>
  <c r="O98" i="154"/>
  <c r="R98" i="154"/>
  <c r="F99" i="154"/>
  <c r="G99" i="154"/>
  <c r="H99" i="154"/>
  <c r="J99" i="154"/>
  <c r="K99" i="154"/>
  <c r="L99" i="154"/>
  <c r="M99" i="154"/>
  <c r="O99" i="154"/>
  <c r="F100" i="154"/>
  <c r="G100" i="154"/>
  <c r="H100" i="154"/>
  <c r="J100" i="154"/>
  <c r="K100" i="154"/>
  <c r="L100" i="154"/>
  <c r="M100" i="154"/>
  <c r="O100" i="154"/>
  <c r="F102" i="154"/>
  <c r="G102" i="154"/>
  <c r="H102" i="154"/>
  <c r="J102" i="154"/>
  <c r="K102" i="154"/>
  <c r="L102" i="154"/>
  <c r="M102" i="154"/>
  <c r="O102" i="154"/>
  <c r="R103" i="154"/>
  <c r="C106" i="154"/>
  <c r="F106" i="154"/>
  <c r="G106" i="154"/>
  <c r="H106" i="154"/>
  <c r="J106" i="154"/>
  <c r="K106" i="154"/>
  <c r="L106" i="154"/>
  <c r="M106" i="154"/>
  <c r="O106" i="154"/>
  <c r="F107" i="154"/>
  <c r="G107" i="154"/>
  <c r="H107" i="154"/>
  <c r="J107" i="154"/>
  <c r="K107" i="154"/>
  <c r="L107" i="154"/>
  <c r="M107" i="154"/>
  <c r="O107" i="154"/>
  <c r="F108" i="154"/>
  <c r="G108" i="154"/>
  <c r="H108" i="154"/>
  <c r="J108" i="154"/>
  <c r="K108" i="154"/>
  <c r="L108" i="154"/>
  <c r="M108" i="154"/>
  <c r="O108" i="154"/>
  <c r="F109" i="154"/>
  <c r="G109" i="154"/>
  <c r="H109" i="154"/>
  <c r="J109" i="154"/>
  <c r="K109" i="154"/>
  <c r="L109" i="154"/>
  <c r="M109" i="154"/>
  <c r="O109" i="154"/>
  <c r="F110" i="154"/>
  <c r="G110" i="154"/>
  <c r="H110" i="154"/>
  <c r="J110" i="154"/>
  <c r="K110" i="154"/>
  <c r="L110" i="154"/>
  <c r="M110" i="154"/>
  <c r="O110" i="154"/>
  <c r="F112" i="154"/>
  <c r="G112" i="154"/>
  <c r="H112" i="154"/>
  <c r="J112" i="154"/>
  <c r="K112" i="154"/>
  <c r="L112" i="154"/>
  <c r="M112" i="154"/>
  <c r="O112" i="154"/>
  <c r="F118" i="154"/>
  <c r="G118" i="154"/>
  <c r="H118" i="154"/>
  <c r="J118" i="154"/>
  <c r="K118" i="154"/>
  <c r="L118" i="154"/>
  <c r="M118" i="154"/>
  <c r="O118" i="154"/>
  <c r="F119" i="154"/>
  <c r="G119" i="154"/>
  <c r="H119" i="154"/>
  <c r="J119" i="154"/>
  <c r="K119" i="154"/>
  <c r="L119" i="154"/>
  <c r="M119" i="154"/>
  <c r="O119" i="154"/>
  <c r="F121" i="154"/>
  <c r="G121" i="154"/>
  <c r="H121" i="154"/>
  <c r="J121" i="154"/>
  <c r="K121" i="154"/>
  <c r="L121" i="154"/>
  <c r="M121" i="154"/>
  <c r="O121" i="154"/>
  <c r="F123" i="154"/>
  <c r="G123" i="154"/>
  <c r="H123" i="154"/>
  <c r="J123" i="154"/>
  <c r="K123" i="154"/>
  <c r="L123" i="154"/>
  <c r="M123" i="154"/>
  <c r="O123" i="154"/>
  <c r="F127" i="154"/>
  <c r="G127" i="154"/>
  <c r="H127" i="154"/>
  <c r="J127" i="154"/>
  <c r="K127" i="154"/>
  <c r="L127" i="154"/>
  <c r="M127" i="154"/>
  <c r="O127" i="154"/>
  <c r="R127" i="154"/>
  <c r="F129" i="154"/>
  <c r="G129" i="154"/>
  <c r="H129" i="154"/>
  <c r="J129" i="154"/>
  <c r="K129" i="154"/>
  <c r="L129" i="154"/>
  <c r="M129" i="154"/>
  <c r="O129" i="154"/>
  <c r="R129" i="154"/>
  <c r="F130" i="154"/>
  <c r="G130" i="154"/>
  <c r="H130" i="154"/>
  <c r="J130" i="154"/>
  <c r="K130" i="154"/>
  <c r="L130" i="154"/>
  <c r="M130" i="154"/>
  <c r="O130" i="154"/>
  <c r="R130" i="154"/>
  <c r="F132" i="154"/>
  <c r="G132" i="154"/>
  <c r="H132" i="154"/>
  <c r="J132" i="154"/>
  <c r="K132" i="154"/>
  <c r="L132" i="154"/>
  <c r="M132" i="154"/>
  <c r="O132" i="154"/>
  <c r="F134" i="154"/>
  <c r="G134" i="154"/>
  <c r="H134" i="154"/>
  <c r="J134" i="154"/>
  <c r="K134" i="154"/>
  <c r="L134" i="154"/>
  <c r="M134" i="154"/>
  <c r="O134" i="154"/>
  <c r="R134" i="154"/>
  <c r="F136" i="154"/>
  <c r="G136" i="154"/>
  <c r="H136" i="154"/>
  <c r="J136" i="154"/>
  <c r="K136" i="154"/>
  <c r="L136" i="154"/>
  <c r="M136" i="154"/>
  <c r="O136" i="154"/>
  <c r="R136" i="154"/>
  <c r="F137" i="154"/>
  <c r="G137" i="154"/>
  <c r="H137" i="154"/>
  <c r="J137" i="154"/>
  <c r="K137" i="154"/>
  <c r="L137" i="154"/>
  <c r="M137" i="154"/>
  <c r="O137" i="154"/>
  <c r="F138" i="154"/>
  <c r="G138" i="154"/>
  <c r="H138" i="154"/>
  <c r="J138" i="154"/>
  <c r="K138" i="154"/>
  <c r="L138" i="154"/>
  <c r="M138" i="154"/>
  <c r="O138" i="154"/>
  <c r="F140" i="154"/>
  <c r="G140" i="154"/>
  <c r="H140" i="154"/>
  <c r="J140" i="154"/>
  <c r="K140" i="154"/>
  <c r="L140" i="154"/>
  <c r="M140" i="154"/>
  <c r="O140" i="154"/>
  <c r="R140" i="154"/>
  <c r="F142" i="154"/>
  <c r="G142" i="154"/>
  <c r="H142" i="154"/>
  <c r="J142" i="154"/>
  <c r="K142" i="154"/>
  <c r="L142" i="154"/>
  <c r="M142" i="154"/>
  <c r="O142" i="154"/>
  <c r="R142" i="154"/>
  <c r="F143" i="154"/>
  <c r="G143" i="154"/>
  <c r="H143" i="154"/>
  <c r="J143" i="154"/>
  <c r="K143" i="154"/>
  <c r="L143" i="154"/>
  <c r="M143" i="154"/>
  <c r="O143" i="154"/>
  <c r="F144" i="154"/>
  <c r="G144" i="154"/>
  <c r="H144" i="154"/>
  <c r="J144" i="154"/>
  <c r="K144" i="154"/>
  <c r="L144" i="154"/>
  <c r="M144" i="154"/>
  <c r="O144" i="154"/>
  <c r="F146" i="154"/>
  <c r="G146" i="154"/>
  <c r="H146" i="154"/>
  <c r="J146" i="154"/>
  <c r="K146" i="154"/>
  <c r="L146" i="154"/>
  <c r="M146" i="154"/>
  <c r="O146" i="154"/>
  <c r="F147" i="154"/>
  <c r="G147" i="154"/>
  <c r="H147" i="154"/>
  <c r="J147" i="154"/>
  <c r="K147" i="154"/>
  <c r="L147" i="154"/>
  <c r="M147" i="154"/>
  <c r="O147" i="154"/>
  <c r="F149" i="154"/>
  <c r="G149" i="154"/>
  <c r="H149" i="154"/>
  <c r="J149" i="154"/>
  <c r="K149" i="154"/>
  <c r="L149" i="154"/>
  <c r="M149" i="154"/>
  <c r="O149" i="154"/>
  <c r="F151" i="154"/>
  <c r="G151" i="154"/>
  <c r="H151" i="154"/>
  <c r="J151" i="154"/>
  <c r="K151" i="154"/>
  <c r="L151" i="154"/>
  <c r="M151" i="154"/>
  <c r="O151" i="154"/>
  <c r="F153" i="154"/>
  <c r="G153" i="154"/>
  <c r="H153" i="154"/>
  <c r="J153" i="154"/>
  <c r="K153" i="154"/>
  <c r="L153" i="154"/>
  <c r="M153" i="154"/>
  <c r="O153" i="154"/>
  <c r="F154" i="154"/>
  <c r="G154" i="154"/>
  <c r="H154" i="154"/>
  <c r="J154" i="154"/>
  <c r="K154" i="154"/>
  <c r="L154" i="154"/>
  <c r="M154" i="154"/>
  <c r="O154" i="154"/>
  <c r="F156" i="154"/>
  <c r="G156" i="154"/>
  <c r="H156" i="154"/>
  <c r="J156" i="154"/>
  <c r="K156" i="154"/>
  <c r="L156" i="154"/>
  <c r="M156" i="154"/>
  <c r="O156" i="154"/>
  <c r="F158" i="154"/>
  <c r="G158" i="154"/>
  <c r="H158" i="154"/>
  <c r="J158" i="154"/>
  <c r="K158" i="154"/>
  <c r="L158" i="154"/>
  <c r="M158" i="154"/>
  <c r="O158" i="154"/>
  <c r="F159" i="154"/>
  <c r="G159" i="154"/>
  <c r="H159" i="154"/>
  <c r="J159" i="154"/>
  <c r="K159" i="154"/>
  <c r="L159" i="154"/>
  <c r="M159" i="154"/>
  <c r="O159" i="154"/>
  <c r="F161" i="154"/>
  <c r="H161" i="154"/>
  <c r="J161" i="154"/>
  <c r="M162" i="154"/>
  <c r="O162" i="154"/>
  <c r="M165" i="154"/>
  <c r="O165" i="154"/>
  <c r="M167" i="154"/>
  <c r="O167" i="154"/>
  <c r="M169" i="154"/>
  <c r="O169" i="154"/>
  <c r="L171" i="154"/>
  <c r="M171" i="154"/>
  <c r="O173" i="154"/>
  <c r="M175" i="154"/>
  <c r="O175" i="154"/>
  <c r="M177" i="154"/>
  <c r="O177" i="154"/>
  <c r="M179" i="154"/>
  <c r="N179" i="154"/>
  <c r="O179" i="154"/>
  <c r="N180" i="154"/>
  <c r="P180" i="154"/>
  <c r="K181" i="154"/>
  <c r="M181" i="154"/>
  <c r="N181" i="154"/>
  <c r="O181" i="154"/>
  <c r="P181" i="154"/>
  <c r="Q181" i="154"/>
  <c r="G183" i="154"/>
  <c r="K183" i="154"/>
  <c r="M183" i="154"/>
  <c r="N183" i="154"/>
  <c r="O183" i="154"/>
  <c r="P183" i="154"/>
  <c r="Q183" i="154"/>
  <c r="G184" i="154"/>
  <c r="I184" i="154"/>
  <c r="K185" i="154"/>
  <c r="M185" i="154"/>
  <c r="N185" i="154"/>
  <c r="O185" i="154"/>
  <c r="P185" i="154"/>
  <c r="Q185" i="154"/>
  <c r="K187" i="154"/>
  <c r="M187" i="154"/>
  <c r="Q187" i="154"/>
  <c r="D191" i="154"/>
  <c r="E191" i="154"/>
  <c r="K191" i="154"/>
  <c r="L191" i="154"/>
  <c r="E193" i="154"/>
  <c r="L193" i="154"/>
  <c r="E194" i="154"/>
  <c r="L194" i="154"/>
  <c r="E195" i="154"/>
  <c r="L195" i="154"/>
  <c r="D197" i="154"/>
  <c r="E197" i="154"/>
  <c r="K197" i="154"/>
  <c r="L197" i="154"/>
  <c r="E198" i="154"/>
  <c r="L198" i="154"/>
  <c r="E202" i="154"/>
  <c r="F202" i="154"/>
  <c r="B1" i="133"/>
  <c r="B2" i="133"/>
  <c r="B3" i="133"/>
  <c r="B6" i="133"/>
  <c r="B9" i="133"/>
  <c r="E17" i="133"/>
  <c r="F17" i="133"/>
  <c r="G17" i="133"/>
  <c r="H17" i="133"/>
  <c r="I17" i="133"/>
  <c r="J17" i="133"/>
  <c r="K17" i="133"/>
  <c r="L17" i="133"/>
  <c r="M17" i="133"/>
  <c r="O17" i="133"/>
  <c r="F18" i="133"/>
  <c r="G18" i="133"/>
  <c r="H18" i="133"/>
  <c r="J18" i="133"/>
  <c r="K18" i="133"/>
  <c r="L18" i="133"/>
  <c r="M18" i="133"/>
  <c r="O18" i="133"/>
  <c r="E21" i="133"/>
  <c r="F21" i="133"/>
  <c r="G21" i="133"/>
  <c r="H21" i="133"/>
  <c r="I21" i="133"/>
  <c r="J21" i="133"/>
  <c r="K21" i="133"/>
  <c r="L21" i="133"/>
  <c r="M21" i="133"/>
  <c r="O21" i="133"/>
  <c r="F23" i="133"/>
  <c r="G23" i="133"/>
  <c r="H23" i="133"/>
  <c r="J23" i="133"/>
  <c r="K23" i="133"/>
  <c r="L23" i="133"/>
  <c r="M23" i="133"/>
  <c r="O23" i="133"/>
  <c r="R25" i="133"/>
  <c r="E27" i="133"/>
  <c r="F27" i="133"/>
  <c r="G27" i="133"/>
  <c r="H27" i="133"/>
  <c r="I27" i="133"/>
  <c r="J27" i="133"/>
  <c r="K27" i="133"/>
  <c r="L27" i="133"/>
  <c r="M27" i="133"/>
  <c r="O27" i="133"/>
  <c r="F28" i="133"/>
  <c r="G28" i="133"/>
  <c r="H28" i="133"/>
  <c r="J28" i="133"/>
  <c r="K28" i="133"/>
  <c r="L28" i="133"/>
  <c r="M28" i="133"/>
  <c r="O28" i="133"/>
  <c r="R28" i="133"/>
  <c r="F30" i="133"/>
  <c r="G30" i="133"/>
  <c r="H30" i="133"/>
  <c r="J30" i="133"/>
  <c r="K30" i="133"/>
  <c r="L30" i="133"/>
  <c r="M30" i="133"/>
  <c r="O30" i="133"/>
  <c r="R30" i="133"/>
  <c r="F32" i="133"/>
  <c r="G32" i="133"/>
  <c r="H32" i="133"/>
  <c r="J32" i="133"/>
  <c r="K32" i="133"/>
  <c r="L32" i="133"/>
  <c r="M32" i="133"/>
  <c r="O32" i="133"/>
  <c r="R32" i="133"/>
  <c r="F34" i="133"/>
  <c r="G34" i="133"/>
  <c r="H34" i="133"/>
  <c r="J34" i="133"/>
  <c r="K34" i="133"/>
  <c r="L34" i="133"/>
  <c r="M34" i="133"/>
  <c r="O34" i="133"/>
  <c r="R34" i="133"/>
  <c r="F35" i="133"/>
  <c r="G35" i="133"/>
  <c r="H35" i="133"/>
  <c r="J35" i="133"/>
  <c r="K35" i="133"/>
  <c r="L35" i="133"/>
  <c r="M35" i="133"/>
  <c r="O35" i="133"/>
  <c r="F36" i="133"/>
  <c r="G36" i="133"/>
  <c r="H36" i="133"/>
  <c r="J36" i="133"/>
  <c r="K36" i="133"/>
  <c r="L36" i="133"/>
  <c r="M36" i="133"/>
  <c r="O36" i="133"/>
  <c r="F38" i="133"/>
  <c r="G38" i="133"/>
  <c r="H38" i="133"/>
  <c r="J38" i="133"/>
  <c r="K38" i="133"/>
  <c r="L38" i="133"/>
  <c r="M38" i="133"/>
  <c r="O38" i="133"/>
  <c r="R38" i="133"/>
  <c r="F40" i="133"/>
  <c r="G40" i="133"/>
  <c r="H40" i="133"/>
  <c r="J40" i="133"/>
  <c r="K40" i="133"/>
  <c r="L40" i="133"/>
  <c r="M40" i="133"/>
  <c r="O40" i="133"/>
  <c r="R40" i="133"/>
  <c r="F42" i="133"/>
  <c r="G42" i="133"/>
  <c r="H42" i="133"/>
  <c r="J42" i="133"/>
  <c r="K42" i="133"/>
  <c r="L42" i="133"/>
  <c r="M42" i="133"/>
  <c r="O42" i="133"/>
  <c r="R42" i="133"/>
  <c r="F43" i="133"/>
  <c r="G43" i="133"/>
  <c r="H43" i="133"/>
  <c r="J43" i="133"/>
  <c r="K43" i="133"/>
  <c r="L43" i="133"/>
  <c r="M43" i="133"/>
  <c r="O43" i="133"/>
  <c r="F44" i="133"/>
  <c r="G44" i="133"/>
  <c r="H44" i="133"/>
  <c r="J44" i="133"/>
  <c r="K44" i="133"/>
  <c r="L44" i="133"/>
  <c r="M44" i="133"/>
  <c r="O44" i="133"/>
  <c r="F46" i="133"/>
  <c r="G46" i="133"/>
  <c r="H46" i="133"/>
  <c r="J46" i="133"/>
  <c r="K46" i="133"/>
  <c r="L46" i="133"/>
  <c r="M46" i="133"/>
  <c r="O46" i="133"/>
  <c r="R46" i="133"/>
  <c r="F47" i="133"/>
  <c r="G47" i="133"/>
  <c r="H47" i="133"/>
  <c r="J47" i="133"/>
  <c r="K47" i="133"/>
  <c r="L47" i="133"/>
  <c r="M47" i="133"/>
  <c r="O47" i="133"/>
  <c r="F48" i="133"/>
  <c r="G48" i="133"/>
  <c r="H48" i="133"/>
  <c r="J48" i="133"/>
  <c r="K48" i="133"/>
  <c r="L48" i="133"/>
  <c r="M48" i="133"/>
  <c r="O48" i="133"/>
  <c r="E50" i="133"/>
  <c r="F50" i="133"/>
  <c r="G50" i="133"/>
  <c r="H50" i="133"/>
  <c r="I50" i="133"/>
  <c r="J50" i="133"/>
  <c r="K50" i="133"/>
  <c r="L50" i="133"/>
  <c r="M50" i="133"/>
  <c r="O50" i="133"/>
  <c r="F51" i="133"/>
  <c r="G51" i="133"/>
  <c r="H51" i="133"/>
  <c r="J51" i="133"/>
  <c r="K51" i="133"/>
  <c r="L51" i="133"/>
  <c r="M51" i="133"/>
  <c r="O51" i="133"/>
  <c r="R51" i="133"/>
  <c r="F52" i="133"/>
  <c r="G52" i="133"/>
  <c r="H52" i="133"/>
  <c r="J52" i="133"/>
  <c r="K52" i="133"/>
  <c r="L52" i="133"/>
  <c r="M52" i="133"/>
  <c r="O52" i="133"/>
  <c r="F53" i="133"/>
  <c r="G53" i="133"/>
  <c r="H53" i="133"/>
  <c r="J53" i="133"/>
  <c r="K53" i="133"/>
  <c r="L53" i="133"/>
  <c r="M53" i="133"/>
  <c r="O53" i="133"/>
  <c r="F55" i="133"/>
  <c r="G55" i="133"/>
  <c r="H55" i="133"/>
  <c r="J55" i="133"/>
  <c r="K55" i="133"/>
  <c r="L55" i="133"/>
  <c r="M55" i="133"/>
  <c r="O55" i="133"/>
  <c r="C59" i="133"/>
  <c r="F59" i="133"/>
  <c r="G59" i="133"/>
  <c r="H59" i="133"/>
  <c r="J59" i="133"/>
  <c r="K59" i="133"/>
  <c r="L59" i="133"/>
  <c r="M59" i="133"/>
  <c r="O59" i="133"/>
  <c r="F60" i="133"/>
  <c r="G60" i="133"/>
  <c r="H60" i="133"/>
  <c r="J60" i="133"/>
  <c r="K60" i="133"/>
  <c r="L60" i="133"/>
  <c r="M60" i="133"/>
  <c r="O60" i="133"/>
  <c r="F61" i="133"/>
  <c r="G61" i="133"/>
  <c r="H61" i="133"/>
  <c r="J61" i="133"/>
  <c r="K61" i="133"/>
  <c r="L61" i="133"/>
  <c r="M61" i="133"/>
  <c r="O61" i="133"/>
  <c r="F62" i="133"/>
  <c r="G62" i="133"/>
  <c r="H62" i="133"/>
  <c r="J62" i="133"/>
  <c r="K62" i="133"/>
  <c r="L62" i="133"/>
  <c r="M62" i="133"/>
  <c r="O62" i="133"/>
  <c r="F63" i="133"/>
  <c r="G63" i="133"/>
  <c r="H63" i="133"/>
  <c r="J63" i="133"/>
  <c r="K63" i="133"/>
  <c r="L63" i="133"/>
  <c r="M63" i="133"/>
  <c r="O63" i="133"/>
  <c r="F65" i="133"/>
  <c r="G65" i="133"/>
  <c r="H65" i="133"/>
  <c r="J65" i="133"/>
  <c r="K65" i="133"/>
  <c r="L65" i="133"/>
  <c r="M65" i="133"/>
  <c r="O65" i="133"/>
  <c r="E71" i="133"/>
  <c r="F71" i="133"/>
  <c r="G71" i="133"/>
  <c r="H71" i="133"/>
  <c r="I71" i="133"/>
  <c r="J71" i="133"/>
  <c r="K71" i="133"/>
  <c r="L71" i="133"/>
  <c r="M71" i="133"/>
  <c r="O71" i="133"/>
  <c r="F72" i="133"/>
  <c r="G72" i="133"/>
  <c r="H72" i="133"/>
  <c r="J72" i="133"/>
  <c r="K72" i="133"/>
  <c r="L72" i="133"/>
  <c r="M72" i="133"/>
  <c r="O72" i="133"/>
  <c r="E75" i="133"/>
  <c r="F75" i="133"/>
  <c r="G75" i="133"/>
  <c r="H75" i="133"/>
  <c r="I75" i="133"/>
  <c r="J75" i="133"/>
  <c r="K75" i="133"/>
  <c r="L75" i="133"/>
  <c r="M75" i="133"/>
  <c r="O75" i="133"/>
  <c r="F77" i="133"/>
  <c r="G77" i="133"/>
  <c r="H77" i="133"/>
  <c r="J77" i="133"/>
  <c r="K77" i="133"/>
  <c r="L77" i="133"/>
  <c r="M77" i="133"/>
  <c r="O77" i="133"/>
  <c r="F79" i="133"/>
  <c r="G79" i="133"/>
  <c r="H79" i="133"/>
  <c r="J79" i="133"/>
  <c r="K79" i="133"/>
  <c r="L79" i="133"/>
  <c r="M79" i="133"/>
  <c r="O79" i="133"/>
  <c r="R79" i="133"/>
  <c r="E81" i="133"/>
  <c r="F81" i="133"/>
  <c r="G81" i="133"/>
  <c r="H81" i="133"/>
  <c r="I81" i="133"/>
  <c r="J81" i="133"/>
  <c r="K81" i="133"/>
  <c r="L81" i="133"/>
  <c r="M81" i="133"/>
  <c r="O81" i="133"/>
  <c r="F82" i="133"/>
  <c r="G82" i="133"/>
  <c r="H82" i="133"/>
  <c r="J82" i="133"/>
  <c r="K82" i="133"/>
  <c r="L82" i="133"/>
  <c r="M82" i="133"/>
  <c r="O82" i="133"/>
  <c r="R82" i="133"/>
  <c r="F84" i="133"/>
  <c r="G84" i="133"/>
  <c r="H84" i="133"/>
  <c r="J84" i="133"/>
  <c r="K84" i="133"/>
  <c r="L84" i="133"/>
  <c r="M84" i="133"/>
  <c r="O84" i="133"/>
  <c r="R84" i="133"/>
  <c r="F86" i="133"/>
  <c r="G86" i="133"/>
  <c r="H86" i="133"/>
  <c r="J86" i="133"/>
  <c r="K86" i="133"/>
  <c r="L86" i="133"/>
  <c r="M86" i="133"/>
  <c r="O86" i="133"/>
  <c r="R86" i="133"/>
  <c r="F87" i="133"/>
  <c r="G87" i="133"/>
  <c r="H87" i="133"/>
  <c r="J87" i="133"/>
  <c r="K87" i="133"/>
  <c r="L87" i="133"/>
  <c r="M87" i="133"/>
  <c r="O87" i="133"/>
  <c r="F88" i="133"/>
  <c r="G88" i="133"/>
  <c r="H88" i="133"/>
  <c r="J88" i="133"/>
  <c r="K88" i="133"/>
  <c r="L88" i="133"/>
  <c r="M88" i="133"/>
  <c r="O88" i="133"/>
  <c r="F90" i="133"/>
  <c r="G90" i="133"/>
  <c r="H90" i="133"/>
  <c r="J90" i="133"/>
  <c r="K90" i="133"/>
  <c r="L90" i="133"/>
  <c r="M90" i="133"/>
  <c r="O90" i="133"/>
  <c r="R90" i="133"/>
  <c r="F92" i="133"/>
  <c r="G92" i="133"/>
  <c r="H92" i="133"/>
  <c r="J92" i="133"/>
  <c r="K92" i="133"/>
  <c r="L92" i="133"/>
  <c r="M92" i="133"/>
  <c r="O92" i="133"/>
  <c r="R92" i="133"/>
  <c r="F93" i="133"/>
  <c r="G93" i="133"/>
  <c r="H93" i="133"/>
  <c r="J93" i="133"/>
  <c r="K93" i="133"/>
  <c r="L93" i="133"/>
  <c r="M93" i="133"/>
  <c r="O93" i="133"/>
  <c r="F94" i="133"/>
  <c r="G94" i="133"/>
  <c r="H94" i="133"/>
  <c r="J94" i="133"/>
  <c r="K94" i="133"/>
  <c r="L94" i="133"/>
  <c r="M94" i="133"/>
  <c r="O94" i="133"/>
  <c r="E96" i="133"/>
  <c r="F96" i="133"/>
  <c r="G96" i="133"/>
  <c r="H96" i="133"/>
  <c r="I96" i="133"/>
  <c r="J96" i="133"/>
  <c r="K96" i="133"/>
  <c r="L96" i="133"/>
  <c r="M96" i="133"/>
  <c r="O96" i="133"/>
  <c r="F97" i="133"/>
  <c r="G97" i="133"/>
  <c r="H97" i="133"/>
  <c r="J97" i="133"/>
  <c r="K97" i="133"/>
  <c r="L97" i="133"/>
  <c r="M97" i="133"/>
  <c r="O97" i="133"/>
  <c r="R97" i="133"/>
  <c r="F98" i="133"/>
  <c r="G98" i="133"/>
  <c r="H98" i="133"/>
  <c r="J98" i="133"/>
  <c r="K98" i="133"/>
  <c r="L98" i="133"/>
  <c r="M98" i="133"/>
  <c r="O98" i="133"/>
  <c r="F99" i="133"/>
  <c r="G99" i="133"/>
  <c r="H99" i="133"/>
  <c r="J99" i="133"/>
  <c r="K99" i="133"/>
  <c r="L99" i="133"/>
  <c r="M99" i="133"/>
  <c r="O99" i="133"/>
  <c r="F101" i="133"/>
  <c r="G101" i="133"/>
  <c r="H101" i="133"/>
  <c r="J101" i="133"/>
  <c r="K101" i="133"/>
  <c r="L101" i="133"/>
  <c r="M101" i="133"/>
  <c r="O101" i="133"/>
  <c r="R102" i="133"/>
  <c r="C105" i="133"/>
  <c r="F105" i="133"/>
  <c r="G105" i="133"/>
  <c r="H105" i="133"/>
  <c r="J105" i="133"/>
  <c r="K105" i="133"/>
  <c r="L105" i="133"/>
  <c r="M105" i="133"/>
  <c r="O105" i="133"/>
  <c r="F106" i="133"/>
  <c r="G106" i="133"/>
  <c r="H106" i="133"/>
  <c r="J106" i="133"/>
  <c r="K106" i="133"/>
  <c r="L106" i="133"/>
  <c r="M106" i="133"/>
  <c r="O106" i="133"/>
  <c r="F107" i="133"/>
  <c r="G107" i="133"/>
  <c r="H107" i="133"/>
  <c r="J107" i="133"/>
  <c r="K107" i="133"/>
  <c r="L107" i="133"/>
  <c r="M107" i="133"/>
  <c r="O107" i="133"/>
  <c r="F108" i="133"/>
  <c r="G108" i="133"/>
  <c r="H108" i="133"/>
  <c r="J108" i="133"/>
  <c r="K108" i="133"/>
  <c r="L108" i="133"/>
  <c r="M108" i="133"/>
  <c r="O108" i="133"/>
  <c r="F109" i="133"/>
  <c r="G109" i="133"/>
  <c r="H109" i="133"/>
  <c r="J109" i="133"/>
  <c r="K109" i="133"/>
  <c r="L109" i="133"/>
  <c r="M109" i="133"/>
  <c r="O109" i="133"/>
  <c r="F111" i="133"/>
  <c r="G111" i="133"/>
  <c r="H111" i="133"/>
  <c r="J111" i="133"/>
  <c r="K111" i="133"/>
  <c r="L111" i="133"/>
  <c r="M111" i="133"/>
  <c r="O111" i="133"/>
  <c r="E117" i="133"/>
  <c r="F117" i="133"/>
  <c r="G117" i="133"/>
  <c r="H117" i="133"/>
  <c r="I117" i="133"/>
  <c r="J117" i="133"/>
  <c r="K117" i="133"/>
  <c r="L117" i="133"/>
  <c r="M117" i="133"/>
  <c r="O117" i="133"/>
  <c r="F118" i="133"/>
  <c r="G118" i="133"/>
  <c r="H118" i="133"/>
  <c r="J118" i="133"/>
  <c r="K118" i="133"/>
  <c r="L118" i="133"/>
  <c r="M118" i="133"/>
  <c r="O118" i="133"/>
  <c r="E122" i="133"/>
  <c r="F122" i="133"/>
  <c r="G122" i="133"/>
  <c r="H122" i="133"/>
  <c r="I122" i="133"/>
  <c r="J122" i="133"/>
  <c r="K122" i="133"/>
  <c r="L122" i="133"/>
  <c r="M122" i="133"/>
  <c r="O122" i="133"/>
  <c r="F126" i="133"/>
  <c r="G126" i="133"/>
  <c r="H126" i="133"/>
  <c r="J126" i="133"/>
  <c r="K126" i="133"/>
  <c r="L126" i="133"/>
  <c r="M126" i="133"/>
  <c r="O126" i="133"/>
  <c r="R126" i="133"/>
  <c r="E128" i="133"/>
  <c r="F128" i="133"/>
  <c r="G128" i="133"/>
  <c r="H128" i="133"/>
  <c r="I128" i="133"/>
  <c r="J128" i="133"/>
  <c r="K128" i="133"/>
  <c r="L128" i="133"/>
  <c r="M128" i="133"/>
  <c r="O128" i="133"/>
  <c r="R128" i="133"/>
  <c r="F129" i="133"/>
  <c r="G129" i="133"/>
  <c r="H129" i="133"/>
  <c r="J129" i="133"/>
  <c r="K129" i="133"/>
  <c r="L129" i="133"/>
  <c r="M129" i="133"/>
  <c r="O129" i="133"/>
  <c r="F133" i="133"/>
  <c r="G133" i="133"/>
  <c r="H133" i="133"/>
  <c r="J133" i="133"/>
  <c r="K133" i="133"/>
  <c r="L133" i="133"/>
  <c r="M133" i="133"/>
  <c r="O133" i="133"/>
  <c r="R133" i="133"/>
  <c r="F137" i="133"/>
  <c r="G137" i="133"/>
  <c r="H137" i="133"/>
  <c r="J137" i="133"/>
  <c r="K137" i="133"/>
  <c r="L137" i="133"/>
  <c r="M137" i="133"/>
  <c r="O137" i="133"/>
  <c r="R137" i="133"/>
  <c r="F138" i="133"/>
  <c r="G138" i="133"/>
  <c r="H138" i="133"/>
  <c r="J138" i="133"/>
  <c r="K138" i="133"/>
  <c r="L138" i="133"/>
  <c r="M138" i="133"/>
  <c r="O138" i="133"/>
  <c r="F139" i="133"/>
  <c r="G139" i="133"/>
  <c r="H139" i="133"/>
  <c r="J139" i="133"/>
  <c r="K139" i="133"/>
  <c r="L139" i="133"/>
  <c r="M139" i="133"/>
  <c r="O139" i="133"/>
  <c r="F143" i="133"/>
  <c r="G143" i="133"/>
  <c r="H143" i="133"/>
  <c r="J143" i="133"/>
  <c r="K143" i="133"/>
  <c r="L143" i="133"/>
  <c r="M143" i="133"/>
  <c r="O143" i="133"/>
  <c r="R143" i="133"/>
  <c r="F147" i="133"/>
  <c r="G147" i="133"/>
  <c r="H147" i="133"/>
  <c r="J147" i="133"/>
  <c r="K147" i="133"/>
  <c r="L147" i="133"/>
  <c r="M147" i="133"/>
  <c r="O147" i="133"/>
  <c r="R147" i="133"/>
  <c r="F148" i="133"/>
  <c r="G148" i="133"/>
  <c r="H148" i="133"/>
  <c r="J148" i="133"/>
  <c r="K148" i="133"/>
  <c r="L148" i="133"/>
  <c r="M148" i="133"/>
  <c r="O148" i="133"/>
  <c r="F149" i="133"/>
  <c r="G149" i="133"/>
  <c r="H149" i="133"/>
  <c r="J149" i="133"/>
  <c r="K149" i="133"/>
  <c r="L149" i="133"/>
  <c r="M149" i="133"/>
  <c r="O149" i="133"/>
  <c r="F153" i="133"/>
  <c r="G153" i="133"/>
  <c r="H153" i="133"/>
  <c r="J153" i="133"/>
  <c r="K153" i="133"/>
  <c r="L153" i="133"/>
  <c r="M153" i="133"/>
  <c r="O153" i="133"/>
  <c r="F155" i="133"/>
  <c r="G155" i="133"/>
  <c r="H155" i="133"/>
  <c r="J155" i="133"/>
  <c r="K155" i="133"/>
  <c r="L155" i="133"/>
  <c r="M155" i="133"/>
  <c r="O155" i="133"/>
  <c r="F157" i="133"/>
  <c r="G157" i="133"/>
  <c r="H157" i="133"/>
  <c r="J157" i="133"/>
  <c r="K157" i="133"/>
  <c r="L157" i="133"/>
  <c r="M157" i="133"/>
  <c r="O157" i="133"/>
  <c r="F158" i="133"/>
  <c r="G158" i="133"/>
  <c r="H158" i="133"/>
  <c r="J158" i="133"/>
  <c r="K158" i="133"/>
  <c r="L158" i="133"/>
  <c r="M158" i="133"/>
  <c r="O158" i="133"/>
  <c r="F160" i="133"/>
  <c r="G160" i="133"/>
  <c r="H160" i="133"/>
  <c r="J160" i="133"/>
  <c r="K160" i="133"/>
  <c r="L160" i="133"/>
  <c r="M160" i="133"/>
  <c r="O160" i="133"/>
  <c r="F162" i="133"/>
  <c r="G162" i="133"/>
  <c r="H162" i="133"/>
  <c r="J162" i="133"/>
  <c r="K162" i="133"/>
  <c r="L162" i="133"/>
  <c r="M162" i="133"/>
  <c r="O162" i="133"/>
  <c r="F163" i="133"/>
  <c r="G163" i="133"/>
  <c r="H163" i="133"/>
  <c r="J163" i="133"/>
  <c r="K163" i="133"/>
  <c r="L163" i="133"/>
  <c r="M163" i="133"/>
  <c r="O163" i="133"/>
  <c r="F165" i="133"/>
  <c r="H165" i="133"/>
  <c r="J165" i="133"/>
  <c r="M166" i="133"/>
  <c r="O166" i="133"/>
  <c r="M169" i="133"/>
  <c r="O169" i="133"/>
  <c r="M171" i="133"/>
  <c r="O171" i="133"/>
  <c r="M173" i="133"/>
  <c r="O173" i="133"/>
  <c r="L175" i="133"/>
  <c r="M175" i="133"/>
  <c r="O177" i="133"/>
  <c r="M179" i="133"/>
  <c r="O179" i="133"/>
  <c r="M181" i="133"/>
  <c r="O181" i="133"/>
  <c r="M183" i="133"/>
  <c r="N183" i="133"/>
  <c r="O183" i="133"/>
  <c r="N184" i="133"/>
  <c r="P184" i="133"/>
  <c r="M185" i="133"/>
  <c r="N185" i="133"/>
  <c r="O185" i="133"/>
  <c r="P185" i="133"/>
  <c r="Q185" i="133"/>
  <c r="G187" i="133"/>
  <c r="M187" i="133"/>
  <c r="N187" i="133"/>
  <c r="O187" i="133"/>
  <c r="P187" i="133"/>
  <c r="Q187" i="133"/>
  <c r="G188" i="133"/>
  <c r="I188" i="133"/>
  <c r="M189" i="133"/>
  <c r="N189" i="133"/>
  <c r="O189" i="133"/>
  <c r="P189" i="133"/>
  <c r="Q189" i="133"/>
  <c r="M191" i="133"/>
  <c r="Q191" i="133"/>
  <c r="D195" i="133"/>
  <c r="E195" i="133"/>
  <c r="K195" i="133"/>
  <c r="L195" i="133"/>
  <c r="E197" i="133"/>
  <c r="L197" i="133"/>
  <c r="E198" i="133"/>
  <c r="L198" i="133"/>
  <c r="E199" i="133"/>
  <c r="L199" i="133"/>
  <c r="D201" i="133"/>
  <c r="E201" i="133"/>
  <c r="K201" i="133"/>
  <c r="L201" i="133"/>
  <c r="E202" i="133"/>
  <c r="L202" i="133"/>
  <c r="E206" i="133"/>
  <c r="F206" i="133"/>
  <c r="F2" i="146"/>
  <c r="H2" i="146"/>
  <c r="O2" i="146"/>
  <c r="Q2" i="146"/>
  <c r="R2" i="146"/>
  <c r="F3" i="146"/>
  <c r="H3" i="146"/>
  <c r="I3" i="146"/>
  <c r="O3" i="146"/>
  <c r="Q3" i="146"/>
  <c r="R3" i="146"/>
  <c r="F5" i="146"/>
  <c r="H5" i="146"/>
  <c r="N5" i="146"/>
  <c r="R5" i="146"/>
  <c r="F6" i="146"/>
  <c r="H6" i="146"/>
  <c r="I6" i="146"/>
  <c r="O9" i="146"/>
  <c r="S9" i="146"/>
  <c r="T9" i="146"/>
  <c r="O10" i="146"/>
  <c r="S10" i="146"/>
  <c r="T10" i="146"/>
  <c r="L12" i="146"/>
  <c r="O12" i="146"/>
  <c r="T12" i="146"/>
  <c r="U12" i="146"/>
  <c r="E13" i="146"/>
  <c r="F13" i="146"/>
  <c r="G13" i="146"/>
  <c r="U13" i="146"/>
  <c r="C16" i="146"/>
  <c r="E16" i="146"/>
  <c r="F16" i="146"/>
  <c r="C18" i="146"/>
  <c r="D18" i="146"/>
  <c r="E18" i="146"/>
  <c r="F18" i="146"/>
  <c r="C19" i="146"/>
  <c r="D19" i="146"/>
  <c r="E19" i="146"/>
  <c r="F19" i="146"/>
  <c r="C20" i="146"/>
  <c r="D20" i="146"/>
  <c r="E20" i="146"/>
  <c r="F20" i="146"/>
  <c r="E21" i="146"/>
  <c r="F21" i="146"/>
  <c r="E22" i="146"/>
  <c r="F22" i="146"/>
  <c r="C23" i="146"/>
  <c r="E23" i="146"/>
  <c r="F23" i="146"/>
  <c r="F24" i="146"/>
  <c r="C25" i="146"/>
  <c r="C28" i="146"/>
  <c r="C29" i="146"/>
  <c r="C30" i="146"/>
  <c r="C35" i="146"/>
  <c r="E35" i="146"/>
  <c r="C37" i="146"/>
  <c r="E37" i="146"/>
  <c r="C38" i="146"/>
  <c r="E38" i="146"/>
  <c r="C39" i="146"/>
  <c r="E39" i="146"/>
  <c r="E40" i="146"/>
  <c r="C41" i="146"/>
  <c r="D41" i="146"/>
  <c r="C42" i="146"/>
  <c r="E43" i="146"/>
  <c r="C46" i="146"/>
  <c r="C47" i="146"/>
  <c r="E47" i="146"/>
  <c r="F47" i="146"/>
  <c r="E55" i="146"/>
  <c r="F55" i="146"/>
  <c r="G55" i="146"/>
  <c r="C58" i="146"/>
  <c r="E58" i="146"/>
  <c r="F58" i="146"/>
  <c r="C60" i="146"/>
  <c r="D60" i="146"/>
  <c r="E60" i="146"/>
  <c r="F60" i="146"/>
  <c r="C61" i="146"/>
  <c r="D61" i="146"/>
  <c r="E61" i="146"/>
  <c r="F61" i="146"/>
  <c r="C62" i="146"/>
  <c r="D62" i="146"/>
  <c r="E62" i="146"/>
  <c r="F62" i="146"/>
  <c r="E63" i="146"/>
  <c r="F63" i="146"/>
  <c r="E64" i="146"/>
  <c r="F64" i="146"/>
  <c r="C65" i="146"/>
  <c r="E65" i="146"/>
  <c r="F65" i="146"/>
  <c r="F66" i="146"/>
  <c r="C67" i="146"/>
  <c r="C70" i="146"/>
  <c r="C71" i="146"/>
  <c r="C72" i="146"/>
  <c r="C77" i="146"/>
  <c r="E77" i="146"/>
  <c r="C79" i="146"/>
  <c r="E79" i="146"/>
  <c r="C80" i="146"/>
  <c r="E80" i="146"/>
  <c r="C81" i="146"/>
  <c r="E81" i="146"/>
  <c r="E82" i="146"/>
  <c r="C83" i="146"/>
  <c r="D83" i="146"/>
  <c r="C84" i="146"/>
  <c r="E85" i="146"/>
  <c r="C88" i="146"/>
  <c r="C89" i="146"/>
  <c r="E89" i="146"/>
  <c r="F89" i="146"/>
  <c r="H100" i="146"/>
  <c r="H101" i="146"/>
  <c r="H102" i="146"/>
  <c r="H103" i="146"/>
  <c r="H104" i="146"/>
  <c r="C109" i="146"/>
  <c r="C110" i="146"/>
  <c r="C111" i="146"/>
  <c r="F115" i="146"/>
  <c r="I115" i="146"/>
  <c r="C116" i="146"/>
  <c r="E116" i="146"/>
  <c r="F116" i="146"/>
  <c r="C117" i="146"/>
  <c r="E117" i="146"/>
  <c r="F117" i="146"/>
  <c r="G117" i="146"/>
  <c r="H117" i="146"/>
  <c r="C118" i="146"/>
  <c r="E118" i="146"/>
  <c r="F118" i="146"/>
  <c r="G118" i="146"/>
  <c r="H118" i="146"/>
  <c r="C119" i="146"/>
  <c r="F119" i="146"/>
  <c r="H119" i="146"/>
  <c r="C120" i="146"/>
  <c r="F120" i="146"/>
  <c r="G120" i="146"/>
  <c r="H120" i="146"/>
  <c r="C121" i="146"/>
  <c r="F121" i="146"/>
  <c r="H121" i="146"/>
  <c r="C122" i="146"/>
  <c r="F122" i="146"/>
  <c r="H122" i="146"/>
  <c r="I122" i="146"/>
  <c r="C124" i="146"/>
  <c r="E124" i="146"/>
  <c r="F124" i="146"/>
  <c r="G124" i="146"/>
  <c r="H124" i="146"/>
  <c r="C125" i="146"/>
  <c r="C126" i="146"/>
  <c r="F126" i="146"/>
  <c r="H126" i="146"/>
  <c r="J126" i="146"/>
  <c r="G127" i="146"/>
  <c r="C128" i="146"/>
  <c r="E130" i="146"/>
  <c r="C131" i="146"/>
  <c r="E131" i="146"/>
  <c r="H131" i="146"/>
  <c r="E133" i="146"/>
  <c r="C134" i="146"/>
  <c r="E134" i="146"/>
  <c r="E136" i="146"/>
  <c r="H137" i="146"/>
  <c r="H138" i="146"/>
  <c r="E139" i="146"/>
  <c r="H139" i="146"/>
  <c r="E140" i="146"/>
  <c r="E141" i="146"/>
  <c r="E142" i="146"/>
  <c r="I174" i="146"/>
  <c r="I175" i="146"/>
  <c r="G178" i="146"/>
  <c r="G179" i="146"/>
  <c r="G181" i="146"/>
  <c r="G185" i="146"/>
  <c r="G186" i="146"/>
  <c r="G187" i="146"/>
  <c r="I187" i="146"/>
  <c r="H190" i="146"/>
  <c r="I190" i="146"/>
  <c r="H191" i="146"/>
  <c r="H192" i="146"/>
  <c r="G193" i="146"/>
  <c r="G196" i="146"/>
  <c r="I196" i="146"/>
  <c r="G197" i="146"/>
  <c r="I197" i="146"/>
  <c r="G200" i="146"/>
  <c r="I210" i="146"/>
  <c r="I211" i="146"/>
  <c r="G214" i="146"/>
  <c r="G215" i="146"/>
  <c r="G217" i="146"/>
  <c r="G221" i="146"/>
  <c r="G222" i="146"/>
  <c r="G223" i="146"/>
  <c r="I223" i="146"/>
  <c r="H226" i="146"/>
  <c r="I226" i="146"/>
  <c r="H227" i="146"/>
  <c r="H228" i="146"/>
  <c r="G229" i="146"/>
  <c r="G232" i="146"/>
  <c r="I232" i="146"/>
  <c r="G233" i="146"/>
  <c r="I233" i="146"/>
  <c r="G236" i="146"/>
  <c r="E242" i="146"/>
  <c r="H242" i="146"/>
  <c r="J242" i="146"/>
  <c r="E244" i="146"/>
  <c r="H248" i="146"/>
  <c r="J248" i="146"/>
  <c r="H249" i="146"/>
  <c r="F258" i="146"/>
  <c r="H284" i="146"/>
  <c r="D287" i="146"/>
  <c r="G287" i="146"/>
  <c r="H287" i="146"/>
  <c r="I287" i="146"/>
  <c r="J287" i="146"/>
  <c r="K287" i="146"/>
  <c r="L287" i="146"/>
  <c r="M287" i="146"/>
  <c r="N287" i="146"/>
  <c r="P287" i="146"/>
  <c r="Q287" i="146"/>
  <c r="R287" i="146"/>
  <c r="T287" i="146"/>
  <c r="D288" i="146"/>
  <c r="G288" i="146"/>
  <c r="H288" i="146"/>
  <c r="I288" i="146"/>
  <c r="K288" i="146"/>
  <c r="L288" i="146"/>
  <c r="M288" i="146"/>
  <c r="N288" i="146"/>
  <c r="Q288" i="146"/>
  <c r="R288" i="146"/>
  <c r="T288" i="146"/>
  <c r="D289" i="146"/>
  <c r="G289" i="146"/>
  <c r="H289" i="146"/>
  <c r="I289" i="146"/>
  <c r="J289" i="146"/>
  <c r="K289" i="146"/>
  <c r="L289" i="146"/>
  <c r="M289" i="146"/>
  <c r="N289" i="146"/>
  <c r="P289" i="146"/>
  <c r="Q289" i="146"/>
  <c r="R289" i="146"/>
  <c r="T289" i="146"/>
  <c r="D291" i="146"/>
  <c r="G291" i="146"/>
  <c r="H291" i="146"/>
  <c r="I291" i="146"/>
  <c r="J291" i="146"/>
  <c r="K291" i="146"/>
  <c r="L291" i="146"/>
  <c r="M291" i="146"/>
  <c r="N291" i="146"/>
  <c r="P291" i="146"/>
  <c r="Q291" i="146"/>
  <c r="R291" i="146"/>
  <c r="T291" i="146"/>
  <c r="D292" i="146"/>
  <c r="G292" i="146"/>
  <c r="H292" i="146"/>
  <c r="I292" i="146"/>
  <c r="J292" i="146"/>
  <c r="K292" i="146"/>
  <c r="L292" i="146"/>
  <c r="M292" i="146"/>
  <c r="N292" i="146"/>
  <c r="P292" i="146"/>
  <c r="Q292" i="146"/>
  <c r="R292" i="146"/>
  <c r="T292" i="146"/>
  <c r="D293" i="146"/>
  <c r="G293" i="146"/>
  <c r="H293" i="146"/>
  <c r="I293" i="146"/>
  <c r="K293" i="146"/>
  <c r="L293" i="146"/>
  <c r="M293" i="146"/>
  <c r="N293" i="146"/>
  <c r="Q293" i="146"/>
  <c r="R293" i="146"/>
  <c r="T293" i="146"/>
  <c r="D295" i="146"/>
  <c r="G295" i="146"/>
  <c r="H295" i="146"/>
  <c r="I295" i="146"/>
  <c r="K295" i="146"/>
  <c r="L295" i="146"/>
  <c r="M295" i="146"/>
  <c r="N295" i="146"/>
  <c r="Q295" i="146"/>
  <c r="R295" i="146"/>
  <c r="T295" i="146"/>
  <c r="G297" i="146"/>
  <c r="I297" i="146"/>
  <c r="K297" i="146"/>
  <c r="N297" i="146"/>
  <c r="H302" i="146"/>
  <c r="D305" i="146"/>
  <c r="G305" i="146"/>
  <c r="H305" i="146"/>
  <c r="I305" i="146"/>
  <c r="J305" i="146"/>
  <c r="K305" i="146"/>
  <c r="L305" i="146"/>
  <c r="M305" i="146"/>
  <c r="N305" i="146"/>
  <c r="P305" i="146"/>
  <c r="Q305" i="146"/>
  <c r="R305" i="146"/>
  <c r="T305" i="146"/>
  <c r="D306" i="146"/>
  <c r="G306" i="146"/>
  <c r="H306" i="146"/>
  <c r="I306" i="146"/>
  <c r="K306" i="146"/>
  <c r="L306" i="146"/>
  <c r="M306" i="146"/>
  <c r="N306" i="146"/>
  <c r="Q306" i="146"/>
  <c r="R306" i="146"/>
  <c r="T306" i="146"/>
  <c r="D307" i="146"/>
  <c r="G307" i="146"/>
  <c r="H307" i="146"/>
  <c r="I307" i="146"/>
  <c r="J307" i="146"/>
  <c r="K307" i="146"/>
  <c r="L307" i="146"/>
  <c r="M307" i="146"/>
  <c r="N307" i="146"/>
  <c r="P307" i="146"/>
  <c r="Q307" i="146"/>
  <c r="R307" i="146"/>
  <c r="T307" i="146"/>
  <c r="D308" i="146"/>
  <c r="G308" i="146"/>
  <c r="H308" i="146"/>
  <c r="I308" i="146"/>
  <c r="J308" i="146"/>
  <c r="K308" i="146"/>
  <c r="L308" i="146"/>
  <c r="M308" i="146"/>
  <c r="N308" i="146"/>
  <c r="P308" i="146"/>
  <c r="Q308" i="146"/>
  <c r="R308" i="146"/>
  <c r="T308" i="146"/>
  <c r="D309" i="146"/>
  <c r="G309" i="146"/>
  <c r="H309" i="146"/>
  <c r="I309" i="146"/>
  <c r="K309" i="146"/>
  <c r="L309" i="146"/>
  <c r="M309" i="146"/>
  <c r="N309" i="146"/>
  <c r="Q309" i="146"/>
  <c r="R309" i="146"/>
  <c r="T309" i="146"/>
  <c r="D310" i="146"/>
  <c r="G310" i="146"/>
  <c r="H310" i="146"/>
  <c r="I310" i="146"/>
  <c r="J310" i="146"/>
  <c r="K310" i="146"/>
  <c r="L310" i="146"/>
  <c r="M310" i="146"/>
  <c r="N310" i="146"/>
  <c r="P310" i="146"/>
  <c r="Q310" i="146"/>
  <c r="R310" i="146"/>
  <c r="T310" i="146"/>
  <c r="D312" i="146"/>
  <c r="G312" i="146"/>
  <c r="H312" i="146"/>
  <c r="I312" i="146"/>
  <c r="K312" i="146"/>
  <c r="L312" i="146"/>
  <c r="M312" i="146"/>
  <c r="N312" i="146"/>
  <c r="Q312" i="146"/>
  <c r="R312" i="146"/>
  <c r="T312" i="146"/>
  <c r="D313" i="146"/>
  <c r="G313" i="146"/>
  <c r="H313" i="146"/>
  <c r="I313" i="146"/>
  <c r="J313" i="146"/>
  <c r="K313" i="146"/>
  <c r="L313" i="146"/>
  <c r="M313" i="146"/>
  <c r="N313" i="146"/>
  <c r="P313" i="146"/>
  <c r="Q313" i="146"/>
  <c r="R313" i="146"/>
  <c r="T313" i="146"/>
  <c r="D315" i="146"/>
  <c r="G315" i="146"/>
  <c r="H315" i="146"/>
  <c r="I315" i="146"/>
  <c r="K315" i="146"/>
  <c r="L315" i="146"/>
  <c r="M315" i="146"/>
  <c r="N315" i="146"/>
  <c r="Q315" i="146"/>
  <c r="R315" i="146"/>
  <c r="T315" i="146"/>
  <c r="G317" i="146"/>
  <c r="I317" i="146"/>
  <c r="K317" i="146"/>
  <c r="N317" i="146"/>
  <c r="H321" i="146"/>
  <c r="D324" i="146"/>
  <c r="G324" i="146"/>
  <c r="H324" i="146"/>
  <c r="I324" i="146"/>
  <c r="J324" i="146"/>
  <c r="K324" i="146"/>
  <c r="L324" i="146"/>
  <c r="M324" i="146"/>
  <c r="N324" i="146"/>
  <c r="P324" i="146"/>
  <c r="Q324" i="146"/>
  <c r="R324" i="146"/>
  <c r="T324" i="146"/>
  <c r="D325" i="146"/>
  <c r="G325" i="146"/>
  <c r="H325" i="146"/>
  <c r="I325" i="146"/>
  <c r="K325" i="146"/>
  <c r="L325" i="146"/>
  <c r="M325" i="146"/>
  <c r="N325" i="146"/>
  <c r="Q325" i="146"/>
  <c r="R325" i="146"/>
  <c r="T325" i="146"/>
  <c r="D326" i="146"/>
  <c r="G326" i="146"/>
  <c r="H326" i="146"/>
  <c r="I326" i="146"/>
  <c r="J326" i="146"/>
  <c r="K326" i="146"/>
  <c r="L326" i="146"/>
  <c r="M326" i="146"/>
  <c r="N326" i="146"/>
  <c r="P326" i="146"/>
  <c r="Q326" i="146"/>
  <c r="R326" i="146"/>
  <c r="T326" i="146"/>
  <c r="D327" i="146"/>
  <c r="G327" i="146"/>
  <c r="H327" i="146"/>
  <c r="I327" i="146"/>
  <c r="J327" i="146"/>
  <c r="K327" i="146"/>
  <c r="L327" i="146"/>
  <c r="M327" i="146"/>
  <c r="N327" i="146"/>
  <c r="P327" i="146"/>
  <c r="Q327" i="146"/>
  <c r="R327" i="146"/>
  <c r="T327" i="146"/>
  <c r="D328" i="146"/>
  <c r="G328" i="146"/>
  <c r="H328" i="146"/>
  <c r="I328" i="146"/>
  <c r="K328" i="146"/>
  <c r="L328" i="146"/>
  <c r="M328" i="146"/>
  <c r="N328" i="146"/>
  <c r="Q328" i="146"/>
  <c r="R328" i="146"/>
  <c r="T328" i="146"/>
  <c r="D329" i="146"/>
  <c r="G329" i="146"/>
  <c r="H329" i="146"/>
  <c r="I329" i="146"/>
  <c r="J329" i="146"/>
  <c r="K329" i="146"/>
  <c r="L329" i="146"/>
  <c r="M329" i="146"/>
  <c r="N329" i="146"/>
  <c r="P329" i="146"/>
  <c r="Q329" i="146"/>
  <c r="R329" i="146"/>
  <c r="T329" i="146"/>
  <c r="D331" i="146"/>
  <c r="G331" i="146"/>
  <c r="H331" i="146"/>
  <c r="I331" i="146"/>
  <c r="K331" i="146"/>
  <c r="L331" i="146"/>
  <c r="M331" i="146"/>
  <c r="N331" i="146"/>
  <c r="Q331" i="146"/>
  <c r="R331" i="146"/>
  <c r="T331" i="146"/>
  <c r="D332" i="146"/>
  <c r="G332" i="146"/>
  <c r="H332" i="146"/>
  <c r="I332" i="146"/>
  <c r="J332" i="146"/>
  <c r="K332" i="146"/>
  <c r="L332" i="146"/>
  <c r="M332" i="146"/>
  <c r="N332" i="146"/>
  <c r="P332" i="146"/>
  <c r="Q332" i="146"/>
  <c r="R332" i="146"/>
  <c r="T332" i="146"/>
  <c r="D334" i="146"/>
  <c r="G334" i="146"/>
  <c r="H334" i="146"/>
  <c r="I334" i="146"/>
  <c r="K334" i="146"/>
  <c r="L334" i="146"/>
  <c r="M334" i="146"/>
  <c r="N334" i="146"/>
  <c r="Q334" i="146"/>
  <c r="R334" i="146"/>
  <c r="T334" i="146"/>
  <c r="G336" i="146"/>
  <c r="I336" i="146"/>
  <c r="K336" i="146"/>
  <c r="N336" i="146"/>
  <c r="B1" i="132"/>
  <c r="B2" i="132"/>
  <c r="B3" i="132"/>
  <c r="B6" i="132"/>
  <c r="B9" i="132"/>
  <c r="F20" i="132"/>
  <c r="G20" i="132"/>
  <c r="H20" i="132"/>
  <c r="J20" i="132"/>
  <c r="K20" i="132"/>
  <c r="L20" i="132"/>
  <c r="M20" i="132"/>
  <c r="O20" i="132"/>
  <c r="F22" i="132"/>
  <c r="G22" i="132"/>
  <c r="H22" i="132"/>
  <c r="J22" i="132"/>
  <c r="K22" i="132"/>
  <c r="L22" i="132"/>
  <c r="M22" i="132"/>
  <c r="O22" i="132"/>
  <c r="E26" i="132"/>
  <c r="F26" i="132"/>
  <c r="G26" i="132"/>
  <c r="H26" i="132"/>
  <c r="I26" i="132"/>
  <c r="J26" i="132"/>
  <c r="K26" i="132"/>
  <c r="L26" i="132"/>
  <c r="M26" i="132"/>
  <c r="O26" i="132"/>
  <c r="E27" i="132"/>
  <c r="F27" i="132"/>
  <c r="G27" i="132"/>
  <c r="H27" i="132"/>
  <c r="I27" i="132"/>
  <c r="J27" i="132"/>
  <c r="K27" i="132"/>
  <c r="L27" i="132"/>
  <c r="M27" i="132"/>
  <c r="O27" i="132"/>
  <c r="E28" i="132"/>
  <c r="F28" i="132"/>
  <c r="G28" i="132"/>
  <c r="H28" i="132"/>
  <c r="I28" i="132"/>
  <c r="J28" i="132"/>
  <c r="K28" i="132"/>
  <c r="L28" i="132"/>
  <c r="M28" i="132"/>
  <c r="O28" i="132"/>
  <c r="E39" i="132"/>
  <c r="F39" i="132"/>
  <c r="G39" i="132"/>
  <c r="H39" i="132"/>
  <c r="I39" i="132"/>
  <c r="J39" i="132"/>
  <c r="K39" i="132"/>
  <c r="L39" i="132"/>
  <c r="M39" i="132"/>
  <c r="O39" i="132"/>
  <c r="F48" i="132"/>
  <c r="G48" i="132"/>
  <c r="H48" i="132"/>
  <c r="J48" i="132"/>
  <c r="K48" i="132"/>
  <c r="L48" i="132"/>
  <c r="M48" i="132"/>
  <c r="O48" i="132"/>
  <c r="F51" i="132"/>
  <c r="G51" i="132"/>
  <c r="H51" i="132"/>
  <c r="J51" i="132"/>
  <c r="K51" i="132"/>
  <c r="L51" i="132"/>
  <c r="M51" i="132"/>
  <c r="O51" i="132"/>
  <c r="F53" i="132"/>
  <c r="G53" i="132"/>
  <c r="H53" i="132"/>
  <c r="J53" i="132"/>
  <c r="K53" i="132"/>
  <c r="L53" i="132"/>
  <c r="M53" i="132"/>
  <c r="O53" i="132"/>
  <c r="F54" i="132"/>
  <c r="G54" i="132"/>
  <c r="H54" i="132"/>
  <c r="J54" i="132"/>
  <c r="K54" i="132"/>
  <c r="L54" i="132"/>
  <c r="M54" i="132"/>
  <c r="O54" i="132"/>
  <c r="F57" i="132"/>
  <c r="G57" i="132"/>
  <c r="H57" i="132"/>
  <c r="J57" i="132"/>
  <c r="K57" i="132"/>
  <c r="L57" i="132"/>
  <c r="M57" i="132"/>
  <c r="O57" i="132"/>
  <c r="F58" i="132"/>
  <c r="G58" i="132"/>
  <c r="H58" i="132"/>
  <c r="J58" i="132"/>
  <c r="K58" i="132"/>
  <c r="L58" i="132"/>
  <c r="M58" i="132"/>
  <c r="O58" i="132"/>
  <c r="F59" i="132"/>
  <c r="G59" i="132"/>
  <c r="H59" i="132"/>
  <c r="J59" i="132"/>
  <c r="K59" i="132"/>
  <c r="L59" i="132"/>
  <c r="M59" i="132"/>
  <c r="O59" i="132"/>
  <c r="F60" i="132"/>
  <c r="G60" i="132"/>
  <c r="H60" i="132"/>
  <c r="J60" i="132"/>
  <c r="K60" i="132"/>
  <c r="L60" i="132"/>
  <c r="M60" i="132"/>
  <c r="O60" i="132"/>
  <c r="F61" i="132"/>
  <c r="G61" i="132"/>
  <c r="H61" i="132"/>
  <c r="J61" i="132"/>
  <c r="K61" i="132"/>
  <c r="L61" i="132"/>
  <c r="M61" i="132"/>
  <c r="O61" i="132"/>
  <c r="F64" i="132"/>
  <c r="G64" i="132"/>
  <c r="H64" i="132"/>
  <c r="J64" i="132"/>
  <c r="K64" i="132"/>
  <c r="L64" i="132"/>
  <c r="M64" i="132"/>
  <c r="O64" i="132"/>
  <c r="F65" i="132"/>
  <c r="G65" i="132"/>
  <c r="H65" i="132"/>
  <c r="J65" i="132"/>
  <c r="K65" i="132"/>
  <c r="L65" i="132"/>
  <c r="M65" i="132"/>
  <c r="O65" i="132"/>
  <c r="F67" i="132"/>
  <c r="G67" i="132"/>
  <c r="H67" i="132"/>
  <c r="J67" i="132"/>
  <c r="K67" i="132"/>
  <c r="L67" i="132"/>
  <c r="M67" i="132"/>
  <c r="O67" i="132"/>
  <c r="F68" i="132"/>
  <c r="G68" i="132"/>
  <c r="H68" i="132"/>
  <c r="J68" i="132"/>
  <c r="K68" i="132"/>
  <c r="L68" i="132"/>
  <c r="M68" i="132"/>
  <c r="O68" i="132"/>
  <c r="F69" i="132"/>
  <c r="G69" i="132"/>
  <c r="H69" i="132"/>
  <c r="J69" i="132"/>
  <c r="K69" i="132"/>
  <c r="L69" i="132"/>
  <c r="M69" i="132"/>
  <c r="O69" i="132"/>
  <c r="F70" i="132"/>
  <c r="G70" i="132"/>
  <c r="H70" i="132"/>
  <c r="I70" i="132"/>
  <c r="J70" i="132"/>
  <c r="K70" i="132"/>
  <c r="L70" i="132"/>
  <c r="M70" i="132"/>
  <c r="O70" i="132"/>
  <c r="F71" i="132"/>
  <c r="G71" i="132"/>
  <c r="H71" i="132"/>
  <c r="J71" i="132"/>
  <c r="K71" i="132"/>
  <c r="L71" i="132"/>
  <c r="M71" i="132"/>
  <c r="O71" i="132"/>
  <c r="F72" i="132"/>
  <c r="G72" i="132"/>
  <c r="H72" i="132"/>
  <c r="J72" i="132"/>
  <c r="K72" i="132"/>
  <c r="L72" i="132"/>
  <c r="M72" i="132"/>
  <c r="O72" i="132"/>
  <c r="F73" i="132"/>
  <c r="G73" i="132"/>
  <c r="H73" i="132"/>
  <c r="J73" i="132"/>
  <c r="K73" i="132"/>
  <c r="L73" i="132"/>
  <c r="M73" i="132"/>
  <c r="O73" i="132"/>
  <c r="F74" i="132"/>
  <c r="G74" i="132"/>
  <c r="H74" i="132"/>
  <c r="J74" i="132"/>
  <c r="K74" i="132"/>
  <c r="L74" i="132"/>
  <c r="M74" i="132"/>
  <c r="O74" i="132"/>
  <c r="F75" i="132"/>
  <c r="G75" i="132"/>
  <c r="H75" i="132"/>
  <c r="J75" i="132"/>
  <c r="K75" i="132"/>
  <c r="L75" i="132"/>
  <c r="M75" i="132"/>
  <c r="O75" i="132"/>
  <c r="F76" i="132"/>
  <c r="G76" i="132"/>
  <c r="H76" i="132"/>
  <c r="J76" i="132"/>
  <c r="K76" i="132"/>
  <c r="L76" i="132"/>
  <c r="M76" i="132"/>
  <c r="O76" i="132"/>
  <c r="F77" i="132"/>
  <c r="G77" i="132"/>
  <c r="H77" i="132"/>
  <c r="J77" i="132"/>
  <c r="K77" i="132"/>
  <c r="L77" i="132"/>
  <c r="M77" i="132"/>
  <c r="O77" i="132"/>
  <c r="F78" i="132"/>
  <c r="G78" i="132"/>
  <c r="H78" i="132"/>
  <c r="J78" i="132"/>
  <c r="K78" i="132"/>
  <c r="L78" i="132"/>
  <c r="M78" i="132"/>
  <c r="O78" i="132"/>
  <c r="F79" i="132"/>
  <c r="G79" i="132"/>
  <c r="H79" i="132"/>
  <c r="J79" i="132"/>
  <c r="K79" i="132"/>
  <c r="L79" i="132"/>
  <c r="M79" i="132"/>
  <c r="O79" i="132"/>
  <c r="F80" i="132"/>
  <c r="G80" i="132"/>
  <c r="H80" i="132"/>
  <c r="J80" i="132"/>
  <c r="K80" i="132"/>
  <c r="L80" i="132"/>
  <c r="M80" i="132"/>
  <c r="O80" i="132"/>
  <c r="F82" i="132"/>
  <c r="G82" i="132"/>
  <c r="H82" i="132"/>
  <c r="J82" i="132"/>
  <c r="K82" i="132"/>
  <c r="L82" i="132"/>
  <c r="M82" i="132"/>
  <c r="O82" i="132"/>
  <c r="F84" i="132"/>
  <c r="G84" i="132"/>
  <c r="H84" i="132"/>
  <c r="J84" i="132"/>
  <c r="K84" i="132"/>
  <c r="L84" i="132"/>
  <c r="M84" i="132"/>
  <c r="O84" i="132"/>
  <c r="F86" i="132"/>
  <c r="G86" i="132"/>
  <c r="H86" i="132"/>
  <c r="J86" i="132"/>
  <c r="K86" i="132"/>
  <c r="L86" i="132"/>
  <c r="M86" i="132"/>
  <c r="O86" i="132"/>
  <c r="F87" i="132"/>
  <c r="G87" i="132"/>
  <c r="H87" i="132"/>
  <c r="J87" i="132"/>
  <c r="K87" i="132"/>
  <c r="L87" i="132"/>
  <c r="M87" i="132"/>
  <c r="O87" i="132"/>
  <c r="F89" i="132"/>
  <c r="G89" i="132"/>
  <c r="H89" i="132"/>
  <c r="J89" i="132"/>
  <c r="K89" i="132"/>
  <c r="L89" i="132"/>
  <c r="M89" i="132"/>
  <c r="O89" i="132"/>
  <c r="F90" i="132"/>
  <c r="G90" i="132"/>
  <c r="H90" i="132"/>
  <c r="J90" i="132"/>
  <c r="K90" i="132"/>
  <c r="L90" i="132"/>
  <c r="M90" i="132"/>
  <c r="O90" i="132"/>
  <c r="F91" i="132"/>
  <c r="G91" i="132"/>
  <c r="H91" i="132"/>
  <c r="J91" i="132"/>
  <c r="K91" i="132"/>
  <c r="L91" i="132"/>
  <c r="M91" i="132"/>
  <c r="O91" i="132"/>
  <c r="F92" i="132"/>
  <c r="G92" i="132"/>
  <c r="H92" i="132"/>
  <c r="I92" i="132"/>
  <c r="J92" i="132"/>
  <c r="K92" i="132"/>
  <c r="L92" i="132"/>
  <c r="M92" i="132"/>
  <c r="O92" i="132"/>
  <c r="F93" i="132"/>
  <c r="G93" i="132"/>
  <c r="H93" i="132"/>
  <c r="J93" i="132"/>
  <c r="K93" i="132"/>
  <c r="L93" i="132"/>
  <c r="M93" i="132"/>
  <c r="O93" i="132"/>
  <c r="F94" i="132"/>
  <c r="G94" i="132"/>
  <c r="H94" i="132"/>
  <c r="J94" i="132"/>
  <c r="K94" i="132"/>
  <c r="L94" i="132"/>
  <c r="M94" i="132"/>
  <c r="O94" i="132"/>
  <c r="F95" i="132"/>
  <c r="G95" i="132"/>
  <c r="H95" i="132"/>
  <c r="J95" i="132"/>
  <c r="K95" i="132"/>
  <c r="L95" i="132"/>
  <c r="M95" i="132"/>
  <c r="O95" i="132"/>
  <c r="F96" i="132"/>
  <c r="G96" i="132"/>
  <c r="H96" i="132"/>
  <c r="J96" i="132"/>
  <c r="K96" i="132"/>
  <c r="L96" i="132"/>
  <c r="M96" i="132"/>
  <c r="O96" i="132"/>
  <c r="F97" i="132"/>
  <c r="G97" i="132"/>
  <c r="H97" i="132"/>
  <c r="J97" i="132"/>
  <c r="K97" i="132"/>
  <c r="L97" i="132"/>
  <c r="M97" i="132"/>
  <c r="O97" i="132"/>
  <c r="F98" i="132"/>
  <c r="G98" i="132"/>
  <c r="H98" i="132"/>
  <c r="J98" i="132"/>
  <c r="K98" i="132"/>
  <c r="L98" i="132"/>
  <c r="M98" i="132"/>
  <c r="O98" i="132"/>
  <c r="F99" i="132"/>
  <c r="G99" i="132"/>
  <c r="H99" i="132"/>
  <c r="J99" i="132"/>
  <c r="K99" i="132"/>
  <c r="L99" i="132"/>
  <c r="M99" i="132"/>
  <c r="O99" i="132"/>
  <c r="F101" i="132"/>
  <c r="G101" i="132"/>
  <c r="H101" i="132"/>
  <c r="J101" i="132"/>
  <c r="K101" i="132"/>
  <c r="L101" i="132"/>
  <c r="M101" i="132"/>
  <c r="O101" i="132"/>
  <c r="F103" i="132"/>
  <c r="G103" i="132"/>
  <c r="H103" i="132"/>
  <c r="J103" i="132"/>
  <c r="K103" i="132"/>
  <c r="L103" i="132"/>
  <c r="M103" i="132"/>
  <c r="O103" i="132"/>
  <c r="F105" i="132"/>
  <c r="G105" i="132"/>
  <c r="H105" i="132"/>
  <c r="J105" i="132"/>
  <c r="K105" i="132"/>
  <c r="L105" i="132"/>
  <c r="M105" i="132"/>
  <c r="O105" i="132"/>
  <c r="F106" i="132"/>
  <c r="G106" i="132"/>
  <c r="H106" i="132"/>
  <c r="J106" i="132"/>
  <c r="K106" i="132"/>
  <c r="L106" i="132"/>
  <c r="M106" i="132"/>
  <c r="O106" i="132"/>
  <c r="F107" i="132"/>
  <c r="G107" i="132"/>
  <c r="H107" i="132"/>
  <c r="J107" i="132"/>
  <c r="K107" i="132"/>
  <c r="L107" i="132"/>
  <c r="M107" i="132"/>
  <c r="O107" i="132"/>
  <c r="F109" i="132"/>
  <c r="G109" i="132"/>
  <c r="H109" i="132"/>
  <c r="J109" i="132"/>
  <c r="K109" i="132"/>
  <c r="L109" i="132"/>
  <c r="M109" i="132"/>
  <c r="O109" i="132"/>
  <c r="E111" i="132"/>
  <c r="F111" i="132"/>
  <c r="G111" i="132"/>
  <c r="H111" i="132"/>
  <c r="I111" i="132"/>
  <c r="J111" i="132"/>
  <c r="K111" i="132"/>
  <c r="L111" i="132"/>
  <c r="M111" i="132"/>
  <c r="O111" i="132"/>
  <c r="E112" i="132"/>
  <c r="F112" i="132"/>
  <c r="G112" i="132"/>
  <c r="H112" i="132"/>
  <c r="I112" i="132"/>
  <c r="J112" i="132"/>
  <c r="K112" i="132"/>
  <c r="L112" i="132"/>
  <c r="M112" i="132"/>
  <c r="O112" i="132"/>
  <c r="F114" i="132"/>
  <c r="G114" i="132"/>
  <c r="H114" i="132"/>
  <c r="J114" i="132"/>
  <c r="K114" i="132"/>
  <c r="L114" i="132"/>
  <c r="M114" i="132"/>
  <c r="O114" i="132"/>
  <c r="F115" i="132"/>
  <c r="G115" i="132"/>
  <c r="H115" i="132"/>
  <c r="J115" i="132"/>
  <c r="K115" i="132"/>
  <c r="L115" i="132"/>
  <c r="M115" i="132"/>
  <c r="O115" i="132"/>
  <c r="F116" i="132"/>
  <c r="G116" i="132"/>
  <c r="H116" i="132"/>
  <c r="J116" i="132"/>
  <c r="K116" i="132"/>
  <c r="L116" i="132"/>
  <c r="M116" i="132"/>
  <c r="O116" i="132"/>
  <c r="F118" i="132"/>
  <c r="G118" i="132"/>
  <c r="H118" i="132"/>
  <c r="J118" i="132"/>
  <c r="K118" i="132"/>
  <c r="L118" i="132"/>
  <c r="M118" i="132"/>
  <c r="O118" i="132"/>
  <c r="F119" i="132"/>
  <c r="G119" i="132"/>
  <c r="H119" i="132"/>
  <c r="J119" i="132"/>
  <c r="K119" i="132"/>
  <c r="L119" i="132"/>
  <c r="M119" i="132"/>
  <c r="O119" i="132"/>
  <c r="F120" i="132"/>
  <c r="G120" i="132"/>
  <c r="H120" i="132"/>
  <c r="J120" i="132"/>
  <c r="K120" i="132"/>
  <c r="L120" i="132"/>
  <c r="M120" i="132"/>
  <c r="O120" i="132"/>
  <c r="F123" i="132"/>
  <c r="H123" i="132"/>
  <c r="J123" i="132"/>
  <c r="M124" i="132"/>
  <c r="O124" i="132"/>
  <c r="M127" i="132"/>
  <c r="O127" i="132"/>
  <c r="M129" i="132"/>
  <c r="O129" i="132"/>
  <c r="M131" i="132"/>
  <c r="O131" i="132"/>
  <c r="L133" i="132"/>
  <c r="M133" i="132"/>
  <c r="O135" i="132"/>
  <c r="M137" i="132"/>
  <c r="O137" i="132"/>
  <c r="M139" i="132"/>
  <c r="O139" i="132"/>
  <c r="M141" i="132"/>
  <c r="N141" i="132"/>
  <c r="O141" i="132"/>
  <c r="N142" i="132"/>
  <c r="P142" i="132"/>
  <c r="K143" i="132"/>
  <c r="M143" i="132"/>
  <c r="N143" i="132"/>
  <c r="O143" i="132"/>
  <c r="P143" i="132"/>
  <c r="Q143" i="132"/>
  <c r="T143" i="132"/>
  <c r="G145" i="132"/>
  <c r="K145" i="132"/>
  <c r="M145" i="132"/>
  <c r="N145" i="132"/>
  <c r="O145" i="132"/>
  <c r="P145" i="132"/>
  <c r="Q145" i="132"/>
  <c r="G146" i="132"/>
  <c r="I146" i="132"/>
  <c r="K147" i="132"/>
  <c r="M147" i="132"/>
  <c r="N147" i="132"/>
  <c r="O147" i="132"/>
  <c r="P147" i="132"/>
  <c r="Q147" i="132"/>
  <c r="K149" i="132"/>
  <c r="M149" i="132"/>
  <c r="Q149" i="132"/>
  <c r="D153" i="132"/>
  <c r="E153" i="132"/>
  <c r="K153" i="132"/>
  <c r="L153" i="132"/>
  <c r="E155" i="132"/>
  <c r="L155" i="132"/>
  <c r="E156" i="132"/>
  <c r="L156" i="132"/>
  <c r="E157" i="132"/>
  <c r="L157" i="132"/>
  <c r="D159" i="132"/>
  <c r="E159" i="132"/>
  <c r="K159" i="132"/>
  <c r="L159" i="132"/>
  <c r="E160" i="132"/>
  <c r="L160" i="132"/>
  <c r="E164" i="132"/>
  <c r="F164" i="132"/>
  <c r="C117" i="11"/>
  <c r="I117" i="11"/>
  <c r="J117" i="11"/>
  <c r="K117" i="11"/>
  <c r="L117" i="11"/>
  <c r="O117" i="11"/>
  <c r="P117" i="11"/>
  <c r="C119" i="11"/>
  <c r="I119" i="11"/>
  <c r="J119" i="11"/>
  <c r="K119" i="11"/>
  <c r="L119" i="11"/>
  <c r="O119" i="11"/>
  <c r="P119" i="11"/>
  <c r="C121" i="11"/>
  <c r="I121" i="11"/>
  <c r="J121" i="11"/>
  <c r="K121" i="11"/>
  <c r="L121" i="11"/>
  <c r="O121" i="11"/>
  <c r="P121" i="11"/>
  <c r="C123" i="11"/>
  <c r="I123" i="11"/>
  <c r="J123" i="11"/>
  <c r="K123" i="11"/>
  <c r="L123" i="11"/>
  <c r="O123" i="11"/>
  <c r="P123" i="11"/>
  <c r="C125" i="11"/>
  <c r="I125" i="11"/>
  <c r="J125" i="11"/>
  <c r="K125" i="11"/>
  <c r="L125" i="11"/>
  <c r="O125" i="11"/>
  <c r="P125" i="11"/>
  <c r="C127" i="11"/>
  <c r="I127" i="11"/>
  <c r="L127" i="11"/>
  <c r="O127" i="11"/>
  <c r="P127" i="11"/>
  <c r="C129" i="11"/>
  <c r="I129" i="11"/>
  <c r="J129" i="11"/>
  <c r="K129" i="11"/>
  <c r="L129" i="11"/>
  <c r="O129" i="11"/>
  <c r="P129" i="11"/>
  <c r="C131" i="11"/>
  <c r="I131" i="11"/>
  <c r="J131" i="11"/>
  <c r="K131" i="11"/>
  <c r="L131" i="11"/>
  <c r="O131" i="11"/>
  <c r="P131" i="11"/>
  <c r="I133" i="11"/>
  <c r="C135" i="11"/>
  <c r="I135" i="11"/>
  <c r="J135" i="11"/>
  <c r="K135" i="11"/>
  <c r="L135" i="11"/>
  <c r="O135" i="11"/>
  <c r="P135" i="11"/>
  <c r="C146" i="11"/>
  <c r="F146" i="11"/>
  <c r="G146" i="11"/>
  <c r="H146" i="11"/>
  <c r="I146" i="11"/>
  <c r="J146" i="11"/>
  <c r="K146" i="11"/>
  <c r="L146" i="11"/>
  <c r="M146" i="11"/>
  <c r="N146" i="11"/>
  <c r="C148" i="11"/>
  <c r="F148" i="11"/>
  <c r="G148" i="11"/>
  <c r="H148" i="11"/>
  <c r="I148" i="11"/>
  <c r="J148" i="11"/>
  <c r="K148" i="11"/>
  <c r="L148" i="11"/>
  <c r="N148" i="11"/>
  <c r="C149" i="11"/>
  <c r="F149" i="11"/>
  <c r="G149" i="11"/>
  <c r="H149" i="11"/>
  <c r="I149" i="11"/>
  <c r="J149" i="11"/>
  <c r="K149" i="11"/>
  <c r="L149" i="11"/>
  <c r="N149" i="11"/>
  <c r="C150" i="11"/>
  <c r="F150" i="11"/>
  <c r="G150" i="11"/>
  <c r="H150" i="11"/>
  <c r="I150" i="11"/>
  <c r="J150" i="11"/>
  <c r="K150" i="11"/>
  <c r="L150" i="11"/>
  <c r="N150" i="11"/>
  <c r="C151" i="11"/>
  <c r="F151" i="11"/>
  <c r="G151" i="11"/>
  <c r="H151" i="11"/>
  <c r="I151" i="11"/>
  <c r="J151" i="11"/>
  <c r="K151" i="11"/>
  <c r="L151" i="11"/>
  <c r="N151" i="11"/>
  <c r="C152" i="11"/>
  <c r="F152" i="11"/>
  <c r="G152" i="11"/>
  <c r="H152" i="11"/>
  <c r="I152" i="11"/>
  <c r="J152" i="11"/>
  <c r="K152" i="11"/>
  <c r="L152" i="11"/>
  <c r="M152" i="11"/>
  <c r="N152" i="11"/>
  <c r="O152" i="11"/>
  <c r="C153" i="11"/>
  <c r="F153" i="11"/>
  <c r="G153" i="11"/>
  <c r="H153" i="11"/>
  <c r="I153" i="11"/>
  <c r="J153" i="11"/>
  <c r="K153" i="11"/>
  <c r="L153" i="11"/>
  <c r="N153" i="11"/>
  <c r="C154" i="11"/>
  <c r="F154" i="11"/>
  <c r="G154" i="11"/>
  <c r="H154" i="11"/>
  <c r="I154" i="11"/>
  <c r="J154" i="11"/>
  <c r="K154" i="11"/>
  <c r="L154" i="11"/>
  <c r="C157" i="11"/>
  <c r="F157" i="11"/>
  <c r="G157" i="11"/>
  <c r="H157" i="11"/>
  <c r="I157" i="11"/>
  <c r="L157" i="11"/>
  <c r="C158" i="11"/>
  <c r="F158" i="11"/>
  <c r="G158" i="11"/>
  <c r="H158" i="11"/>
  <c r="I158" i="11"/>
  <c r="L158" i="11"/>
  <c r="C159" i="11"/>
  <c r="F159" i="11"/>
  <c r="G159" i="11"/>
  <c r="H159" i="11"/>
  <c r="I159" i="11"/>
  <c r="J159" i="11"/>
  <c r="K159" i="11"/>
  <c r="L159" i="11"/>
  <c r="C160" i="11"/>
  <c r="F160" i="11"/>
  <c r="G160" i="11"/>
  <c r="H160" i="11"/>
  <c r="I160" i="11"/>
  <c r="J160" i="11"/>
  <c r="K160" i="11"/>
  <c r="L160" i="11"/>
  <c r="N160" i="11"/>
  <c r="I164" i="11"/>
  <c r="J164" i="11"/>
  <c r="I165" i="11"/>
  <c r="J165" i="11"/>
  <c r="I167" i="11"/>
  <c r="J167" i="11"/>
  <c r="J168" i="11"/>
  <c r="F197" i="11"/>
  <c r="G197" i="11"/>
  <c r="H197" i="11"/>
  <c r="I197" i="11"/>
  <c r="J197" i="11"/>
  <c r="F198" i="11"/>
  <c r="G198" i="11"/>
  <c r="H198" i="11"/>
  <c r="I198" i="11"/>
  <c r="J198" i="11"/>
  <c r="F201" i="11"/>
  <c r="G201" i="11"/>
  <c r="H201" i="11"/>
  <c r="I201" i="11"/>
  <c r="J201" i="11"/>
  <c r="F202" i="11"/>
  <c r="G202" i="11"/>
  <c r="H202" i="11"/>
  <c r="I202" i="11"/>
  <c r="J202" i="11"/>
  <c r="K202" i="11"/>
  <c r="F203" i="11"/>
  <c r="G203" i="11"/>
  <c r="H203" i="11"/>
  <c r="I203" i="11"/>
  <c r="J203" i="11"/>
  <c r="K203" i="11"/>
  <c r="F205" i="11"/>
  <c r="G205" i="11"/>
  <c r="H205" i="11"/>
  <c r="I205" i="11"/>
  <c r="J205" i="11"/>
  <c r="F206" i="11"/>
  <c r="G206" i="11"/>
  <c r="H206" i="11"/>
  <c r="I206" i="11"/>
  <c r="J206" i="11"/>
  <c r="K206" i="11"/>
  <c r="F207" i="11"/>
  <c r="G207" i="11"/>
  <c r="H207" i="11"/>
  <c r="I207" i="11"/>
  <c r="J207" i="11"/>
  <c r="K207" i="11"/>
  <c r="C218" i="11"/>
  <c r="C220" i="11"/>
  <c r="C233" i="11"/>
  <c r="C235" i="11"/>
  <c r="K198" i="137"/>
  <c r="L198" i="137"/>
  <c r="M198" i="137"/>
  <c r="O198" i="137"/>
  <c r="K157" i="137"/>
  <c r="L157" i="137"/>
  <c r="M157" i="137"/>
  <c r="O157" i="137"/>
  <c r="K291" i="137"/>
  <c r="L291" i="137"/>
  <c r="M291" i="137"/>
  <c r="O291" i="137"/>
  <c r="M8" i="137"/>
  <c r="J408" i="137"/>
  <c r="K346" i="137"/>
  <c r="L346" i="137"/>
  <c r="M346" i="137"/>
  <c r="O346" i="137"/>
  <c r="H408" i="137"/>
  <c r="F429" i="137"/>
  <c r="F430" i="137"/>
  <c r="F431" i="137"/>
  <c r="G431" i="137"/>
  <c r="H431" i="137"/>
  <c r="J431" i="137"/>
  <c r="M418" i="137"/>
  <c r="K22" i="137"/>
  <c r="L22" i="137"/>
  <c r="M22" i="137"/>
  <c r="K265" i="137"/>
  <c r="L265" i="137"/>
  <c r="M265" i="137"/>
  <c r="K99" i="137"/>
  <c r="L99" i="137"/>
  <c r="M99" i="137"/>
  <c r="O99" i="137"/>
  <c r="K60" i="137"/>
  <c r="L60" i="137"/>
  <c r="M60" i="137"/>
  <c r="O60" i="137"/>
  <c r="M7" i="137"/>
  <c r="O150" i="137"/>
  <c r="K208" i="137"/>
  <c r="L208" i="137"/>
  <c r="M208" i="137"/>
  <c r="O208" i="137"/>
  <c r="K77" i="137"/>
  <c r="L77" i="137"/>
  <c r="M77" i="137"/>
  <c r="O77" i="137"/>
  <c r="K57" i="137"/>
  <c r="L57" i="137"/>
  <c r="M57" i="137"/>
  <c r="O57" i="137"/>
  <c r="K145" i="137"/>
  <c r="L145" i="137"/>
  <c r="M145" i="137"/>
  <c r="O145" i="137"/>
  <c r="K312" i="137"/>
  <c r="L312" i="137"/>
  <c r="M312" i="137"/>
  <c r="O312" i="137"/>
  <c r="K432" i="137"/>
  <c r="M159" i="11"/>
  <c r="O159" i="11"/>
  <c r="Q159" i="11"/>
  <c r="R159" i="11"/>
  <c r="S159" i="11"/>
  <c r="K332" i="137"/>
  <c r="L332" i="137"/>
  <c r="M332" i="137"/>
  <c r="O332" i="137"/>
  <c r="K178" i="137"/>
  <c r="L178" i="137"/>
  <c r="M178" i="137"/>
  <c r="O178" i="137"/>
  <c r="K129" i="137"/>
  <c r="L129" i="137"/>
  <c r="M129" i="137"/>
  <c r="O129" i="137"/>
  <c r="K377" i="137"/>
  <c r="L377" i="137"/>
  <c r="M377" i="137"/>
  <c r="O377" i="137"/>
  <c r="K91" i="137"/>
  <c r="L91" i="137"/>
  <c r="M91" i="137"/>
  <c r="O91" i="137"/>
  <c r="T8" i="137"/>
  <c r="K210" i="137"/>
  <c r="L210" i="137"/>
  <c r="M210" i="137"/>
  <c r="O210" i="137"/>
  <c r="K185" i="137"/>
  <c r="L185" i="137"/>
  <c r="M185" i="137"/>
  <c r="O185" i="137"/>
  <c r="K49" i="137"/>
  <c r="L49" i="137"/>
  <c r="M49" i="137"/>
  <c r="O49" i="137"/>
  <c r="K278" i="137"/>
  <c r="L278" i="137"/>
  <c r="M278" i="137"/>
  <c r="O278" i="137"/>
  <c r="K164" i="137"/>
  <c r="L164" i="137"/>
  <c r="M164" i="137"/>
  <c r="O164" i="137"/>
  <c r="K28" i="137"/>
  <c r="L28" i="137"/>
  <c r="M28" i="137"/>
  <c r="O28" i="137"/>
  <c r="K370" i="137"/>
  <c r="L370" i="137"/>
  <c r="M370" i="137"/>
  <c r="O370" i="137"/>
  <c r="K353" i="137"/>
  <c r="L353" i="137"/>
  <c r="M353" i="137"/>
  <c r="O353" i="137"/>
  <c r="K335" i="137"/>
  <c r="L335" i="137"/>
  <c r="M335" i="137"/>
  <c r="O335" i="137"/>
  <c r="K204" i="137"/>
  <c r="L204" i="137"/>
  <c r="M204" i="137"/>
  <c r="O204" i="137"/>
  <c r="K70" i="137"/>
  <c r="L70" i="137"/>
  <c r="M70" i="137"/>
  <c r="O70" i="137"/>
  <c r="K428" i="137"/>
  <c r="F408" i="137"/>
  <c r="E449" i="137"/>
  <c r="F449" i="137"/>
  <c r="K430" i="137"/>
  <c r="M158" i="11"/>
  <c r="O158" i="11"/>
  <c r="Q158" i="11"/>
  <c r="R158" i="11"/>
  <c r="S158" i="11"/>
  <c r="M430" i="137"/>
  <c r="O265" i="137"/>
  <c r="M432" i="137"/>
  <c r="K434" i="137"/>
  <c r="M157" i="11"/>
  <c r="M409" i="137"/>
  <c r="M428" i="137"/>
  <c r="O22" i="137"/>
  <c r="O409" i="137"/>
  <c r="M151" i="11"/>
  <c r="O151" i="11"/>
  <c r="L418" i="137"/>
  <c r="N427" i="137"/>
  <c r="M412" i="137"/>
  <c r="M148" i="11"/>
  <c r="M414" i="137"/>
  <c r="M149" i="11"/>
  <c r="O149" i="11"/>
  <c r="M416" i="137"/>
  <c r="M150" i="11"/>
  <c r="O150" i="11"/>
  <c r="N428" i="137"/>
  <c r="O428" i="137"/>
  <c r="M434" i="137"/>
  <c r="M160" i="11"/>
  <c r="O160" i="11"/>
  <c r="O157" i="11"/>
  <c r="Q157" i="11"/>
  <c r="R157" i="11"/>
  <c r="S157" i="11"/>
  <c r="N432" i="137"/>
  <c r="O432" i="137"/>
  <c r="N430" i="137"/>
  <c r="O430" i="137"/>
  <c r="P428" i="137"/>
  <c r="Q428" i="137"/>
  <c r="O148" i="11"/>
  <c r="O414" i="137"/>
  <c r="P430" i="137"/>
  <c r="Q430" i="137"/>
  <c r="K133" i="11"/>
  <c r="K139" i="11"/>
  <c r="P432" i="137"/>
  <c r="Q432" i="137"/>
  <c r="L133" i="11"/>
  <c r="L139" i="11"/>
  <c r="M422" i="137"/>
  <c r="O416" i="137"/>
  <c r="O412" i="137"/>
  <c r="O422" i="137"/>
  <c r="M424" i="137"/>
  <c r="M153" i="11"/>
  <c r="M426" i="137"/>
  <c r="C133" i="11"/>
  <c r="F139" i="11"/>
  <c r="Q434" i="137"/>
  <c r="J133" i="11"/>
  <c r="P133" i="11"/>
  <c r="O133" i="11"/>
  <c r="J139" i="11"/>
  <c r="P139" i="11"/>
  <c r="O139" i="11"/>
  <c r="O153" i="11"/>
  <c r="M154" i="11"/>
  <c r="O424" i="137"/>
  <c r="O426" i="137"/>
  <c r="N426" i="1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Damo</author>
  </authors>
  <commentList>
    <comment ref="D120" authorId="0" shapeId="0" xr:uid="{18E3F8F5-AE64-473A-B80C-0A36EA43EF94}">
      <text>
        <r>
          <rPr>
            <b/>
            <sz val="9"/>
            <color indexed="81"/>
            <rFont val="Tahoma"/>
            <family val="2"/>
          </rPr>
          <t>Damo:Will change depending on height of wall</t>
        </r>
      </text>
    </comment>
    <comment ref="C228" authorId="0" shapeId="0" xr:uid="{B93FC919-2725-4681-8459-4B2A24EE96C5}">
      <text>
        <r>
          <rPr>
            <b/>
            <sz val="9"/>
            <color indexed="81"/>
            <rFont val="Tahoma"/>
            <family val="2"/>
          </rPr>
          <t>Damo:Will change depending on height of wall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Damo</author>
  </authors>
  <commentList>
    <comment ref="D120" authorId="0" shapeId="0" xr:uid="{663C1FE4-19F3-4032-99E8-CE486D2D58F9}">
      <text>
        <r>
          <rPr>
            <b/>
            <sz val="9"/>
            <color indexed="81"/>
            <rFont val="Tahoma"/>
            <family val="2"/>
          </rPr>
          <t>Damo:Will change depending on height of wall</t>
        </r>
      </text>
    </comment>
    <comment ref="C228" authorId="0" shapeId="0" xr:uid="{57A85687-CF02-49BD-8AB8-A1318ED83DEE}">
      <text>
        <r>
          <rPr>
            <b/>
            <sz val="9"/>
            <color indexed="81"/>
            <rFont val="Tahoma"/>
            <family val="2"/>
          </rPr>
          <t>Damo:Will change depending on height of wall</t>
        </r>
      </text>
    </comment>
  </commentList>
</comments>
</file>

<file path=xl/sharedStrings.xml><?xml version="1.0" encoding="utf-8"?>
<sst xmlns="http://schemas.openxmlformats.org/spreadsheetml/2006/main" count="4185" uniqueCount="1032">
  <si>
    <t>Item</t>
  </si>
  <si>
    <t>Description</t>
  </si>
  <si>
    <t>Qty</t>
  </si>
  <si>
    <t>Unit</t>
  </si>
  <si>
    <t>Total</t>
  </si>
  <si>
    <t>Sum</t>
  </si>
  <si>
    <t>Ceilings Unlimited</t>
  </si>
  <si>
    <t>Clarifications:</t>
  </si>
  <si>
    <t>P&amp;G - Admin / Supervision</t>
  </si>
  <si>
    <t>P&amp;G - Site Establishment</t>
  </si>
  <si>
    <t xml:space="preserve">P&amp;G - Access Equip </t>
  </si>
  <si>
    <t>Margin</t>
  </si>
  <si>
    <t>Miscellaneous</t>
  </si>
  <si>
    <t>Summary</t>
  </si>
  <si>
    <t>Total of all items priced</t>
  </si>
  <si>
    <t>* No allowance for GST</t>
  </si>
  <si>
    <t>Total of above</t>
  </si>
  <si>
    <t xml:space="preserve">Sub total </t>
  </si>
  <si>
    <t xml:space="preserve">Margin </t>
  </si>
  <si>
    <t>Constant</t>
  </si>
  <si>
    <t>Total Materials</t>
  </si>
  <si>
    <t>Total Labour</t>
  </si>
  <si>
    <t>Total Labour &amp; Materials</t>
  </si>
  <si>
    <t>Total Labour &amp; Materials Per Unit</t>
  </si>
  <si>
    <t>Claim</t>
  </si>
  <si>
    <t>% Complete</t>
  </si>
  <si>
    <t>Constant X Unit = Total HRS</t>
  </si>
  <si>
    <t>Materials per Unit</t>
  </si>
  <si>
    <t xml:space="preserve">$ Lab per Unit </t>
  </si>
  <si>
    <t xml:space="preserve"> </t>
  </si>
  <si>
    <t>Rate build for travel by car</t>
  </si>
  <si>
    <t>Travel there and back based on 1</t>
  </si>
  <si>
    <t xml:space="preserve">hrs travel per person </t>
  </si>
  <si>
    <t>Rate /Km</t>
  </si>
  <si>
    <t xml:space="preserve">Total </t>
  </si>
  <si>
    <t>Number of people</t>
  </si>
  <si>
    <t xml:space="preserve">km </t>
  </si>
  <si>
    <t>There and back</t>
  </si>
  <si>
    <t>Amount of trips needed</t>
  </si>
  <si>
    <t>Accom/per day</t>
  </si>
  <si>
    <t xml:space="preserve">days </t>
  </si>
  <si>
    <t>Times amount of people</t>
  </si>
  <si>
    <t>P&amp;G - Parking</t>
  </si>
  <si>
    <t>Travel there and back based on 4</t>
  </si>
  <si>
    <t>P&amp;G Travel</t>
  </si>
  <si>
    <t>Parking</t>
  </si>
  <si>
    <t>*  Allowed for works within normal works hours Monday to Friday 7.30am - 5pm.</t>
  </si>
  <si>
    <t>* Penetrations to acoustic walls by respective service trades.</t>
  </si>
  <si>
    <t>$17.50 per day</t>
  </si>
  <si>
    <t>* This trade pricing is based on the acceptance as a  package and if individual trades were selected we would need to be contacted to discuss before acceptance.</t>
  </si>
  <si>
    <t>* No allowance for access equipment over 3000 or any scaffold/access to stair wells, atrium voids or lift shafts including edge protection.  To be supplied by Main Contractor</t>
  </si>
  <si>
    <t>* Rubbish disposal to be provided by main contractor/others on each level or works</t>
  </si>
  <si>
    <t>* Protection of existing building elements provided my main contractor.</t>
  </si>
  <si>
    <t>Suspended Ceilings</t>
  </si>
  <si>
    <t>TOTAL OF SUSPENDED CEILINGS</t>
  </si>
  <si>
    <t>Tauranga</t>
  </si>
  <si>
    <t>Partitions</t>
  </si>
  <si>
    <t>Gib Wall and Ceiling Linings</t>
  </si>
  <si>
    <t>Level 4:</t>
  </si>
  <si>
    <t>Level 5:</t>
  </si>
  <si>
    <t>Level 6:</t>
  </si>
  <si>
    <t>Stopping to Gib Wall and Ceilings</t>
  </si>
  <si>
    <t>Stopping</t>
  </si>
  <si>
    <t>Wall Linings:</t>
  </si>
  <si>
    <t>Ceiling Stopping:</t>
  </si>
  <si>
    <t>Wall Stopping:</t>
  </si>
  <si>
    <t>Ceiling:</t>
  </si>
  <si>
    <t>D4.04.A - Double Action Aluminium Frame Glass Door (Café)</t>
  </si>
  <si>
    <t>D4.04.B  - Double Action Aluminium Frame Glass Door (Café)</t>
  </si>
  <si>
    <t>2400 + 500 Top Panel x 860</t>
  </si>
  <si>
    <t>2400 x 860</t>
  </si>
  <si>
    <t>D4.08 - Single Flush Solid Hinged Door (TV-01) Veneer (Cafe Store)</t>
  </si>
  <si>
    <t>D4.09 - Cavity Slider (TV-01) Veneer (Marketing Store)</t>
  </si>
  <si>
    <t>D4.10 - Single Flush Hinged Door (TV-01) Veneer (Meeting 4P)</t>
  </si>
  <si>
    <t>Single Glazing to Above</t>
  </si>
  <si>
    <t>item</t>
  </si>
  <si>
    <t>Refer Potters Workings</t>
  </si>
  <si>
    <t>Refer Glazing</t>
  </si>
  <si>
    <t>TOTAL DOORS PRICE:</t>
  </si>
  <si>
    <t>TOTAL DOORS DELIVERY:</t>
  </si>
  <si>
    <t>TOTAL DOOR:</t>
  </si>
  <si>
    <t>CRANAGE:</t>
  </si>
  <si>
    <t>LOADIN/MOVE ONTO LEVEL:</t>
  </si>
  <si>
    <t>Acoustic Seal</t>
  </si>
  <si>
    <t>D4.11 - Single Flush Hinged Door (TV-01) Veneer (Focus 2P)</t>
  </si>
  <si>
    <t>D4.12 - Single Flush Hinged Door (TV-01) Veneer (Meeting 4P)</t>
  </si>
  <si>
    <t>D4.13 - Single Timber Framed Glass Hinged Door (TV-01) Border with Glass Panel (PH)</t>
  </si>
  <si>
    <t>D4.12, Adjoining P-11 Aluminium Unit - 2900 x 1300</t>
  </si>
  <si>
    <t>D4.11, Adjoining P-11 Aluminium Unit - 2900 x 1200</t>
  </si>
  <si>
    <t>D4.10, Adjoining P-11 Aluminium Unit - 2900 x 1300</t>
  </si>
  <si>
    <t>D4.13, Adjoining P-11 Aluminium Unit - 2900 x 450</t>
  </si>
  <si>
    <t>D4.14 - Single Timber Framed Glass Hinged Door (TV-01) Border with Glass Panel (PH)</t>
  </si>
  <si>
    <t>D4.14, Adjoining P-11 Aluminium Unit - 2900 x 450</t>
  </si>
  <si>
    <t>D4.16 - Single Flush Solid Hinged Door (TV-01) Veneer (IT Store)</t>
  </si>
  <si>
    <t>D4.18 - Single Flush Hinged Door (TV-01) Veneer (Meeting 5P)</t>
  </si>
  <si>
    <t>D4.18, Adjoining P-11 Aluminium Unit - 2900 x 2300</t>
  </si>
  <si>
    <t>D4.19 - Single Flush Hinged Door (TV-01) Veneer (Focus)</t>
  </si>
  <si>
    <t>D4.19, Adjoining P-11 Aluminium Unit - 2900 x 1000</t>
  </si>
  <si>
    <t>D4.20, Adjoining P-11 Aluminium Unit - 2900 x 1000</t>
  </si>
  <si>
    <t>D4.20 - Single Flush Hinged Door (TV-01) Veneer (Focus 2P)</t>
  </si>
  <si>
    <t>D4.21 - Single Timber Framed Glass Hinged Door (TV-01) Border with Glass Panel (Focus 2P)</t>
  </si>
  <si>
    <t>D4.21, Adjoining P-11 Aluminium Unit - 2900 x 500</t>
  </si>
  <si>
    <t>D4.22 - Single Flush Hinged Door (TV-01) Veneer (Meeting 5P)</t>
  </si>
  <si>
    <t>D4.22, Adjoining P-11 Aluminium Unit - 2900 x 2300</t>
  </si>
  <si>
    <t>D4.22, Adjoining P-10 Aluminium Unit - 2900 x 1900</t>
  </si>
  <si>
    <t>D4.23 - Single Flush Hinged Door (TV-01) Veneer (Meeting 4-6P)</t>
  </si>
  <si>
    <t>D4.23, Adjoining P-10 Aluminium Unit - 2900 x 700</t>
  </si>
  <si>
    <t>D4.23, Adjoining P-10 Aluminium Unit - 2900 x 800</t>
  </si>
  <si>
    <t>D4.24 - Single Flush Hinged Door Paint Finish (Server 02)</t>
  </si>
  <si>
    <t>2400 x 960</t>
  </si>
  <si>
    <t>D4.25 - Single Flush Hinged Door (TV-01) Veneer (PH Focus)</t>
  </si>
  <si>
    <t>D4.25, Adjoining P-11 Aluminium Unit - 2900 x 1150</t>
  </si>
  <si>
    <t>D4.26 - Single Flush Hinged Door (TV-01) Veneer (Property Storage)</t>
  </si>
  <si>
    <t>2400 + 500 Top Panel x 960</t>
  </si>
  <si>
    <t>Skirting - 25mm Powdercoated Flat Skirting</t>
  </si>
  <si>
    <t>EV Rolled Angle/2 Piece Flat and Cut Curved</t>
  </si>
  <si>
    <t>m</t>
  </si>
  <si>
    <t>Metro</t>
  </si>
  <si>
    <t>Bayglaze</t>
  </si>
  <si>
    <t>Featurecraft</t>
  </si>
  <si>
    <t>D5.06 - Single Flush Hinged Door (TV-01) Veneer (Meeting 4P)</t>
  </si>
  <si>
    <t>D5.06, Adjoining P-10 Aluminium Unit - 2900 x 1650</t>
  </si>
  <si>
    <t>D5.07, Adjoining P-10 Aluminium Unit - 2900 x 1100</t>
  </si>
  <si>
    <t>D5.07 - Single Flush Hinged Door (TV-01) Veneer (Focus)</t>
  </si>
  <si>
    <t>D5.10 - Single Timber Framed Glass Hinged Door (TV-01) Border with Glass Panel (PH)</t>
  </si>
  <si>
    <t>D5.10, Adjoining P-11 Aluminium Unit - 2900 x 700</t>
  </si>
  <si>
    <t>D5.11 - Single Timber Framed Glass Hinged Door (TV-01) Border with Glass Panel (PH)</t>
  </si>
  <si>
    <t>D5.11, Adjoining P-11 Aluminium Unit - 2900 x 700</t>
  </si>
  <si>
    <t>D5.12 - Single Flush Hinged Door (TV-01) Veneer (Focus)</t>
  </si>
  <si>
    <t>D5.12, Adjoining P-11 Aluminium Unit - 2900 x 700</t>
  </si>
  <si>
    <t>D5.13 - Single Flush Hinged Door (TV-01) Veneer (Focus)</t>
  </si>
  <si>
    <t>D5.13, Adjoining P-11 Aluminium Unit - 2900 x 700</t>
  </si>
  <si>
    <t>2/610 x 2400</t>
  </si>
  <si>
    <t>D5.15A - Frameless Double Cupboard Doors (Workspace 03)</t>
  </si>
  <si>
    <t>D5.15B - Frameless Double Cupboard Doors (Workspace 03)</t>
  </si>
  <si>
    <t>D5.16 - Single Flush Hinged Door (TV-01) Veneer (Wellness)</t>
  </si>
  <si>
    <t>D5.17 - Single Flush Hinged Door (TV-01) Veneer (Meeting 4-6P)</t>
  </si>
  <si>
    <t>D5.16, Adjoining P-11 Aluminium Unit - 2900 x 1900</t>
  </si>
  <si>
    <t>D5.18 - Single Flush Hinged Door (TV-01) Veneer (Meeting 4P)</t>
  </si>
  <si>
    <t>D5.18, Adjoining P-10 Aluminium Unit - 2900 x 1900</t>
  </si>
  <si>
    <t>D5.18, Adjoining P-10 Aluminium Unit - 2900 x 1400</t>
  </si>
  <si>
    <t>D5.19 - Single Flush Hinged Door (TV-01) Veneer (Meeting 8P)</t>
  </si>
  <si>
    <t>D5.19, Adjoining P-11 Aluminium Unit - 2900 x 600</t>
  </si>
  <si>
    <t>D5.21 - Single Flush Hinged Door (TV-01) Veneer (Conference)</t>
  </si>
  <si>
    <t>D5.21, Adjoining P-10 Aluminium Unit - 2900 x 2200</t>
  </si>
  <si>
    <t>D5.22 - Single Flush Hinged Door (TV-01) Veneer (Meeting 8P)</t>
  </si>
  <si>
    <t>D5.22, Adjoining P-10 Aluminium Unit - 2900 x 1800</t>
  </si>
  <si>
    <t>D5.23 - Single Flush Hinged Door (TV-01) Veneer (Branch Store)</t>
  </si>
  <si>
    <t>no</t>
  </si>
  <si>
    <t>Nil</t>
  </si>
  <si>
    <t>(C-02) 13mm Gib Standard</t>
  </si>
  <si>
    <t>m2</t>
  </si>
  <si>
    <t>Trim to Floor Above</t>
  </si>
  <si>
    <t>Ceiling/Bulkhead Linings:</t>
  </si>
  <si>
    <t>Bulkhead to C-02/C-04 13mm Gib Standard</t>
  </si>
  <si>
    <t>Bulkhead to C-01/C-04 13mm Gib Standard</t>
  </si>
  <si>
    <t>EV to Bottom Edge Return</t>
  </si>
  <si>
    <t>Sealant to Floor</t>
  </si>
  <si>
    <t xml:space="preserve">(C-01B) </t>
  </si>
  <si>
    <t>Basebuild - By Others</t>
  </si>
  <si>
    <t>(C-02) Concealed Ceiling Grid @ 600 crs</t>
  </si>
  <si>
    <t>Perimeter to Above</t>
  </si>
  <si>
    <t>Caulking to Sheet Joints</t>
  </si>
  <si>
    <t>Stopping of Screw Holes</t>
  </si>
  <si>
    <t>(C-09) 13mm Gib Aqualine</t>
  </si>
  <si>
    <t>(C-11) Potters Rigitone Matrix 12mm</t>
  </si>
  <si>
    <t>(C-03) 13mm Gib Noiseline</t>
  </si>
  <si>
    <t>Autex Quietspace 50mm Black - Behind above Mesh</t>
  </si>
  <si>
    <t xml:space="preserve">(C-01A) </t>
  </si>
  <si>
    <t>Ambitec</t>
  </si>
  <si>
    <t>SENT</t>
  </si>
  <si>
    <t>Total Doors</t>
  </si>
  <si>
    <t>3000 x 6500</t>
  </si>
  <si>
    <t>D6.02. Adjoining P-12 Aluminium Unit - 3000 x 1700</t>
  </si>
  <si>
    <r>
      <rPr>
        <u/>
        <sz val="10"/>
        <rFont val="Arial"/>
        <family val="2"/>
      </rPr>
      <t>DOUBLE</t>
    </r>
    <r>
      <rPr>
        <sz val="10"/>
        <rFont val="Arial"/>
        <family val="2"/>
      </rPr>
      <t xml:space="preserve"> Glazing to Above</t>
    </r>
  </si>
  <si>
    <t>D6.05 - Single Flush Hinged Door (TV-01) Veneer (Workspace)</t>
  </si>
  <si>
    <r>
      <t xml:space="preserve">2400 + </t>
    </r>
    <r>
      <rPr>
        <u/>
        <sz val="10"/>
        <rFont val="Arial"/>
        <family val="2"/>
      </rPr>
      <t>600</t>
    </r>
    <r>
      <rPr>
        <sz val="10"/>
        <rFont val="Arial"/>
        <family val="2"/>
      </rPr>
      <t xml:space="preserve"> Top Panel x 860</t>
    </r>
  </si>
  <si>
    <t>D6.08.A - Double Action Aluminium Frame Glass Door (Mobile Workspace)</t>
  </si>
  <si>
    <t>3000 x 1000 PLUS Adjoining Sidelight</t>
  </si>
  <si>
    <t>2900 x 1000 PLUS Adjoining Sidelight</t>
  </si>
  <si>
    <t>D6.09 - Double Action Aluminium Frame Glass Door (Mobile Workspace)</t>
  </si>
  <si>
    <t>Timber Batten Overlay to Above</t>
  </si>
  <si>
    <t>Smoke Seals</t>
  </si>
  <si>
    <t>D6.11A - Solid Double Hinged Doors (Store)</t>
  </si>
  <si>
    <t>D6.11B - Solid Double Hinged Doors (Mobile Workspace)</t>
  </si>
  <si>
    <t>D6.03 - Glazed Stacking Sliding Doors (Boardroom 20P)</t>
  </si>
  <si>
    <r>
      <t>2/2400 +</t>
    </r>
    <r>
      <rPr>
        <u/>
        <sz val="10"/>
        <rFont val="Arial"/>
        <family val="2"/>
      </rPr>
      <t xml:space="preserve"> 600</t>
    </r>
    <r>
      <rPr>
        <sz val="10"/>
        <rFont val="Arial"/>
        <family val="2"/>
      </rPr>
      <t xml:space="preserve"> Top Panel x 660</t>
    </r>
  </si>
  <si>
    <r>
      <t xml:space="preserve">2/2400 + </t>
    </r>
    <r>
      <rPr>
        <u/>
        <sz val="10"/>
        <rFont val="Arial"/>
        <family val="2"/>
      </rPr>
      <t>600</t>
    </r>
    <r>
      <rPr>
        <sz val="10"/>
        <rFont val="Arial"/>
        <family val="2"/>
      </rPr>
      <t xml:space="preserve"> Top Panel x 660</t>
    </r>
  </si>
  <si>
    <r>
      <t xml:space="preserve">2400 + </t>
    </r>
    <r>
      <rPr>
        <u/>
        <sz val="10"/>
        <rFont val="Arial"/>
        <family val="2"/>
      </rPr>
      <t>600</t>
    </r>
    <r>
      <rPr>
        <sz val="10"/>
        <rFont val="Arial"/>
        <family val="2"/>
      </rPr>
      <t xml:space="preserve"> Top Panel x 960</t>
    </r>
  </si>
  <si>
    <t>D6.12 - Single Flush Hinged Door (TV-01) Veneer (IT Store)</t>
  </si>
  <si>
    <t>D6.13 - Single Flush Hinged Door (TV-01) Veneer (Meeting 5P)</t>
  </si>
  <si>
    <t>D6.13, Adjoining P-10 Aluminium Unit - 3000 x 1800</t>
  </si>
  <si>
    <t>D6.14 - Single Flush Hinged Door (TV-01) Veneer (Meeting 4P)</t>
  </si>
  <si>
    <t>D6.14, Adjoining P-10 Aluminium Unit - 3000 x 2000</t>
  </si>
  <si>
    <t>D6.15, Adjoining P-10 Aluminium Unit - 3000 x 2000</t>
  </si>
  <si>
    <t>D6.15 - Single Flush Hinged Door (TV-01) Veneer (Meeting 5P)</t>
  </si>
  <si>
    <t>D6.16 - Single Flush Hinged Door (TV-01) Veneer (Meeting 2P)</t>
  </si>
  <si>
    <t>D6.16, Adjoining P-10 Aluminium Unit - 3000 x 2000</t>
  </si>
  <si>
    <t>D6.17, Adjoining P-10 Aluminium Unit - 3000 x 2000</t>
  </si>
  <si>
    <t>D6.17 - Single Flush Hinged Door (TV-01) Veneer (Meeting 5P)</t>
  </si>
  <si>
    <t>D6.18A - Single Flush Hinged Door (TV-01) Veneer (Kitchen)</t>
  </si>
  <si>
    <t>D6.18B - Single Flush Hinged Door (TV-01) Veneer (Kitchen)</t>
  </si>
  <si>
    <t>D6.18C - Cavity Slider (Kitchen)</t>
  </si>
  <si>
    <t>2400 x 810</t>
  </si>
  <si>
    <t>D6.20 - Solid Single Door (Utility/Store)</t>
  </si>
  <si>
    <t>D6.21, Adjoining P-10 Aluminium Unit - 3000 x 2000</t>
  </si>
  <si>
    <t>D6.22, Adjoining P-10 Aluminium Unit - 3000 x 1600</t>
  </si>
  <si>
    <t>D6.22 - Single Flush Hinged Door (TV-01) Veneer (Meeting 2P)</t>
  </si>
  <si>
    <t>D6.21 - Single Flush Hinged Door (TV-01) Veneer (Meetin 8P)</t>
  </si>
  <si>
    <t>D6.23 - Single Flush Hinged Door (TV-01) Veneer (Meeting 2P)</t>
  </si>
  <si>
    <t>D6.23, Adjoining P-10 Aluminium Unit - 3000 x 1200</t>
  </si>
  <si>
    <t>D6.23, Adjoining P-10 Aluminium Unit - 3000 x 2400</t>
  </si>
  <si>
    <t>D6.24 - Single Flush Hinged Door (TV-01) Veneer (Meeting 8P)</t>
  </si>
  <si>
    <t>D6.24, Adjoining P-10 Aluminium Unit - 3000 x 2800</t>
  </si>
  <si>
    <t>D6.25 - Single Flush Hinged Door (TV-01) Veneer (Meeting 2P)</t>
  </si>
  <si>
    <t>D6.25, Adjoining P-10 Aluminium Unit - 3000 x 3200</t>
  </si>
  <si>
    <t>D6.26 - Single Flush Hinged Door (TV-01) Veneer (Meeting 2P)</t>
  </si>
  <si>
    <t>D6.26, Adjoining P-10 Aluminium Unit - 3000 x 1700</t>
  </si>
  <si>
    <t>D6.27 - Single Flush Hinged Door (TV-01) Veneer (Meeting 2P)</t>
  </si>
  <si>
    <t>D6.27, Adjoining P-10 Aluminium Unit - 3000 x 1200</t>
  </si>
  <si>
    <t>D6.27, Adjoining P-10 Aluminium Unit - 3000 x 2300</t>
  </si>
  <si>
    <t>661m2</t>
  </si>
  <si>
    <t>183m2</t>
  </si>
  <si>
    <t>98m2</t>
  </si>
  <si>
    <t>102m2</t>
  </si>
  <si>
    <t>(C-02) Concealed Grid @ 600 crs</t>
  </si>
  <si>
    <t>(C-06) Illuminated Membrane and Frame</t>
  </si>
  <si>
    <t>50mm Autex Quietspace above Mesh</t>
  </si>
  <si>
    <t>Service Penetrations to Above</t>
  </si>
  <si>
    <t>(C-09) Concealed Grid @ 600 crs</t>
  </si>
  <si>
    <t>Trim Out Service Penetrations</t>
  </si>
  <si>
    <t>(C-11) Concealed Grid @ 300 crs - WIDE FACE BATTEN</t>
  </si>
  <si>
    <t>Asona</t>
  </si>
  <si>
    <t>(C-10) Ceiling Hatches to Above</t>
  </si>
  <si>
    <t>(C-08) Ceiling Hatches to Above</t>
  </si>
  <si>
    <t>PF-01</t>
  </si>
  <si>
    <t>PF-02</t>
  </si>
  <si>
    <t>TOTAL OF MISC WALL AND CEILING</t>
  </si>
  <si>
    <t>TOTAL OF STOPPING</t>
  </si>
  <si>
    <t>TOTAL OF GIB LININGS</t>
  </si>
  <si>
    <t>TOTAL OF PARTITIONS</t>
  </si>
  <si>
    <t>TOTAL OF POTTERS ALUMINUM</t>
  </si>
  <si>
    <t>Walls/Columns:</t>
  </si>
  <si>
    <t>Walls:</t>
  </si>
  <si>
    <t>Refer Suspended Ceiling Trade</t>
  </si>
  <si>
    <t>Insulation</t>
  </si>
  <si>
    <t>Bulkhead to C-01/C-02 13mm Gib Standard</t>
  </si>
  <si>
    <t>Caulking to Above</t>
  </si>
  <si>
    <t>Bulkhead to C-03/C-11 13mm Gib Standard</t>
  </si>
  <si>
    <t>Square Stopping</t>
  </si>
  <si>
    <t>Stop Edge of C-10 Ceiling to Perforated C-11</t>
  </si>
  <si>
    <t>Level 4 Stopping to Gib Board</t>
  </si>
  <si>
    <t>P13/P26</t>
  </si>
  <si>
    <t>Level 4 to Bulkhead</t>
  </si>
  <si>
    <t>(P-21) 92mm x 0.75 Stud @ 400 crs with 1.15 Head Track and 0.70 Base Track</t>
  </si>
  <si>
    <t>P01 Trim - Plasterboard Strip</t>
  </si>
  <si>
    <t>(P-21A) 92mm x 0.75 Stud @ 400 crs with 1.15 Head Track and 0.70 Base Track</t>
  </si>
  <si>
    <t>13mm Gib Overlay to Above</t>
  </si>
  <si>
    <t>MDF Capping Strip - 241mm Wide</t>
  </si>
  <si>
    <t>MDF Capping Strip - 228mm Wide</t>
  </si>
  <si>
    <t>(P-23A) 92mm x 0.75 Stud @ 400 crs with 1.15 Head Track and 0.70 Base Track</t>
  </si>
  <si>
    <t>(P-11) Potters Aluminium Glazing</t>
  </si>
  <si>
    <t>Refer Potters Trade</t>
  </si>
  <si>
    <t>MDF Capping Strip - 242mm Wide</t>
  </si>
  <si>
    <t>Two Way Back Braces</t>
  </si>
  <si>
    <t>92 x 1.15 Head Track</t>
  </si>
  <si>
    <t>64mm x 0.55 Head Track</t>
  </si>
  <si>
    <t>LENGTH</t>
  </si>
  <si>
    <t>Hilti Hus 4-H 70mm Fixing to above</t>
  </si>
  <si>
    <t>HEIGHT</t>
  </si>
  <si>
    <t>64 x 0.70 Dropper Stud</t>
  </si>
  <si>
    <t>92 x 0.75 Dropper Stud</t>
  </si>
  <si>
    <t>Teks</t>
  </si>
  <si>
    <t>92 x 0.75 Bridge Stud</t>
  </si>
  <si>
    <t>BC90 Brackets</t>
  </si>
  <si>
    <t>92 x 0.70 Boxed Stud Lintel</t>
  </si>
  <si>
    <t>Double Rate</t>
  </si>
  <si>
    <t>92 x 1.15 DHT</t>
  </si>
  <si>
    <t>Level 4</t>
  </si>
  <si>
    <t>Level 5</t>
  </si>
  <si>
    <t>Level 6</t>
  </si>
  <si>
    <t>90 x 45 SG8 Timber Support</t>
  </si>
  <si>
    <t>Rate</t>
  </si>
  <si>
    <t>Wastage</t>
  </si>
  <si>
    <t>Loadin</t>
  </si>
  <si>
    <t>(P-11) Bulkhead Structure</t>
  </si>
  <si>
    <t>(P-23) 92mm x 0.75 Stud @ 400 crs with 0.70 Head Track and 0.70 Base Track</t>
  </si>
  <si>
    <t>(P-23AS) 92mm x 0.75 Stud @ 400 crs with 1.15 Head Track and 0.70 Base Track</t>
  </si>
  <si>
    <t>(P-23S) 92mm x 0.75 Stud @ 400 crs with 0.70 Head Track and 0.70 Base Track</t>
  </si>
  <si>
    <t>(P-21S)  92mm x 0.75 Stud @ 400 crs with 1.15 Head Track and 0.70 Base Track</t>
  </si>
  <si>
    <t>(P-23B) Bulkhead Structure</t>
  </si>
  <si>
    <t>(P-23B) 92mm x 0.75 Stud @ 400 crs with 1.15 Head Track and 0.70 Base Track</t>
  </si>
  <si>
    <t>P23B - Bulkhead Structure Make Up</t>
  </si>
  <si>
    <t>64 x 0.70 Bridge Stud</t>
  </si>
  <si>
    <t>(P-20A) Bulkhead Structure</t>
  </si>
  <si>
    <t>(P-20A) 92mm x 0.75 Stud @ 400 crs with 1.15 Head Track and 0.70 Base Track with Nogging Track</t>
  </si>
  <si>
    <t>P20A - Bulkhead Structure Make Up</t>
  </si>
  <si>
    <t>Bridge to Confloor</t>
  </si>
  <si>
    <t>64mm Nogging Track @ 400 crs</t>
  </si>
  <si>
    <t>(P-10) Potters Aluminium Glazing</t>
  </si>
  <si>
    <t>(P-10) Bulkhead Structure</t>
  </si>
  <si>
    <t>P10 or P11 - Bulkhead Structure Make Up</t>
  </si>
  <si>
    <t>(P-21) 2/13mm Gib Noiseline</t>
  </si>
  <si>
    <t>(P-21) 13mm Gib Noiseline</t>
  </si>
  <si>
    <t>Soundseal</t>
  </si>
  <si>
    <t>(P-21A) 2/13mm Gib Noiseline</t>
  </si>
  <si>
    <t>(P-21A) 13mm Gib Noiseline</t>
  </si>
  <si>
    <t>(P-23A) 13mm Gib Standard</t>
  </si>
  <si>
    <t>(P-11) 13mm Gib Overlay</t>
  </si>
  <si>
    <t>Refer Partitions</t>
  </si>
  <si>
    <t>(P-23) 13mm Gib Standard</t>
  </si>
  <si>
    <t>(P-23AS) 13mm Gib Standard</t>
  </si>
  <si>
    <t>(P-23S) 13mm Gib Standard</t>
  </si>
  <si>
    <t>(P-21S) 2/13mm Gib Noiseline</t>
  </si>
  <si>
    <t>(P-21S) 13mm Gib Noiseline</t>
  </si>
  <si>
    <t>(P-23B) 13mm Gib Standard</t>
  </si>
  <si>
    <t>(P-23B) 13mm Gib Bulkhead/Upstand</t>
  </si>
  <si>
    <t>(P-20A) 2/13mm Gib Noiseline</t>
  </si>
  <si>
    <t>(P-20A) 13mm Gib Noiseline</t>
  </si>
  <si>
    <t>(P-20A) 13mm Noiseline Bulkhead/Upstand</t>
  </si>
  <si>
    <t>EV less then 300 bottom edge</t>
  </si>
  <si>
    <t>(P-10) 2/13mm Gib Noiseline</t>
  </si>
  <si>
    <t>(P-10) 13mm Gib Noiseline</t>
  </si>
  <si>
    <t>Level 4 - Potters Aluminium</t>
  </si>
  <si>
    <t>Level 5 - Potters Aluminium</t>
  </si>
  <si>
    <t>Level 6 - Potters Aluminium</t>
  </si>
  <si>
    <t>Cap to Wall Ends Abutting Curtain Wall</t>
  </si>
  <si>
    <t>(P-20) 92mm x 0.75 Stud @ 400 crs with 1.15 Head Track and 0.70 Base Track with Nogging Track</t>
  </si>
  <si>
    <t>LEVEL 4</t>
  </si>
  <si>
    <t>LEVEL 5</t>
  </si>
  <si>
    <t>LEVEL 6</t>
  </si>
  <si>
    <t>(P-20) 2/13mm Gib Noiseline</t>
  </si>
  <si>
    <t>(P-20) 13mm Gib Noiseline</t>
  </si>
  <si>
    <t>Level 4 Stopping - Walls</t>
  </si>
  <si>
    <t>Level 4 Stopping - Upstand</t>
  </si>
  <si>
    <t>External Corners</t>
  </si>
  <si>
    <t>EV Stud to Corners/Intersections</t>
  </si>
  <si>
    <t>D6.05, Adjoining P-10 Aluminium Unit - 3000 x 8900</t>
  </si>
  <si>
    <t>Two Way Wire Back Braces</t>
  </si>
  <si>
    <t>(C-03) Concealed Grid @ 600 crs</t>
  </si>
  <si>
    <t>(P-13)</t>
  </si>
  <si>
    <t>Refer Potters Trade/Suspended Ceilings</t>
  </si>
  <si>
    <t>FP-01</t>
  </si>
  <si>
    <t>(P-24) TWIN WALL - 64mm x 0.75 Stud @ 400 crs with 0.70 Head Track and 0.70 Base Track</t>
  </si>
  <si>
    <t>(P-12) Bulkhead Structure</t>
  </si>
  <si>
    <t>P12 - Bulkhead Structure Make Up</t>
  </si>
  <si>
    <t>BC45 Brackets</t>
  </si>
  <si>
    <t>92 x 0.75 Stud Brace</t>
  </si>
  <si>
    <t>(P-24) 13mm Gib Noisleine</t>
  </si>
  <si>
    <t>(P-12) 2/13mm Gib Noiseline</t>
  </si>
  <si>
    <t>(P-12) 13mm Gib Noiseline</t>
  </si>
  <si>
    <t>Refer Suspended Ceilings/Potters</t>
  </si>
  <si>
    <t>Ceiling Insulation:</t>
  </si>
  <si>
    <t>Wall and Baffle Stack Insulation:</t>
  </si>
  <si>
    <t>(P-21) Autex R1.8 Sound Solution</t>
  </si>
  <si>
    <t>(P-21A) Autex R1.8 Sound Solution</t>
  </si>
  <si>
    <t>Autex Baffle Block to Above</t>
  </si>
  <si>
    <t>(P-11) Autex Baffle Block</t>
  </si>
  <si>
    <t>(P-23AS) Autex R1.8 Sound Solution</t>
  </si>
  <si>
    <t>(P-21S) Autex R1.8 Sound Solution</t>
  </si>
  <si>
    <t>(P-20A) Autex R1.8 Sound Solution</t>
  </si>
  <si>
    <t>(P-10) Autex R1.8 Sound Solution</t>
  </si>
  <si>
    <t>(P-20) Autex R1.8 Sound Solution</t>
  </si>
  <si>
    <t>(P-24) TWIN WALL - Autex R1.8 Sound Solution</t>
  </si>
  <si>
    <t>DOUBLE RATE</t>
  </si>
  <si>
    <t>(P-12) Autex R1.8 Sound Solution</t>
  </si>
  <si>
    <t>Walls</t>
  </si>
  <si>
    <t>Ceiling</t>
  </si>
  <si>
    <t>Baffle</t>
  </si>
  <si>
    <t>Roll</t>
  </si>
  <si>
    <t>Freight</t>
  </si>
  <si>
    <t>Bales</t>
  </si>
  <si>
    <t>(C-04) 50mm Autex Quietpsace</t>
  </si>
  <si>
    <t>(C-02) R1.8 Autex Sound Solution on top</t>
  </si>
  <si>
    <t>Nil, By Others Basebuid</t>
  </si>
  <si>
    <t>(C-03) R1.8 Autex Sound Solutuion on top</t>
  </si>
  <si>
    <t>(C-08) 50mm Autex Quietspace Black Above Mesh</t>
  </si>
  <si>
    <t>(C-10) 50mm Autex Quietspace Black Above Mesh</t>
  </si>
  <si>
    <t>Trackloks - Part Height Walls</t>
  </si>
  <si>
    <t>Trackloks - TB-02</t>
  </si>
  <si>
    <t>92mm x 1.15 Head Track</t>
  </si>
  <si>
    <t>92mm x 0.75 Stud</t>
  </si>
  <si>
    <t>Rondo</t>
  </si>
  <si>
    <t>SRP</t>
  </si>
  <si>
    <t>List</t>
  </si>
  <si>
    <t>Job Special</t>
  </si>
  <si>
    <t>92mm x 1.15 DHT</t>
  </si>
  <si>
    <t>90 x 45 SG8</t>
  </si>
  <si>
    <t>Hilti Hus 4-H 70mm</t>
  </si>
  <si>
    <t>64mm x 0.70 Stud</t>
  </si>
  <si>
    <t>Trim Openings to Above</t>
  </si>
  <si>
    <t>Stud spacing</t>
  </si>
  <si>
    <t>With DH</t>
  </si>
  <si>
    <t>Material</t>
  </si>
  <si>
    <t>Length of wall</t>
  </si>
  <si>
    <t>Height of wall</t>
  </si>
  <si>
    <t>Total stud LM</t>
  </si>
  <si>
    <t>Total track LM</t>
  </si>
  <si>
    <t>M2 of wall</t>
  </si>
  <si>
    <t>$/m</t>
  </si>
  <si>
    <t>Stud</t>
  </si>
  <si>
    <t xml:space="preserve">Nog </t>
  </si>
  <si>
    <t xml:space="preserve">Number of nogs </t>
  </si>
  <si>
    <t>Unload</t>
  </si>
  <si>
    <t>Fixings</t>
  </si>
  <si>
    <t>say 4 each stud</t>
  </si>
  <si>
    <t>L of wl ÷ spacings = ttl studs</t>
  </si>
  <si>
    <t xml:space="preserve">add 1 for end of wall </t>
  </si>
  <si>
    <t xml:space="preserve">total studs in wall </t>
  </si>
  <si>
    <t>Studs x 4 screws per stud = ttl screws</t>
  </si>
  <si>
    <t>total screws</t>
  </si>
  <si>
    <t>Screws @ $15.00/1000 = .015</t>
  </si>
  <si>
    <t>Cost of fixings per LM</t>
  </si>
  <si>
    <t>waste 5%</t>
  </si>
  <si>
    <t xml:space="preserve">Stud </t>
  </si>
  <si>
    <t>Labour per m as per rates</t>
  </si>
  <si>
    <t>Lab rate</t>
  </si>
  <si>
    <t>m/hr</t>
  </si>
  <si>
    <t>Labour cost per m</t>
  </si>
  <si>
    <t>per m2</t>
  </si>
  <si>
    <t>Plant</t>
  </si>
  <si>
    <t>Material cost per m</t>
  </si>
  <si>
    <t xml:space="preserve"> per m</t>
  </si>
  <si>
    <t xml:space="preserve">Total cost of stud job is </t>
  </si>
  <si>
    <t>To get the medium of the two</t>
  </si>
  <si>
    <t>Track</t>
  </si>
  <si>
    <t xml:space="preserve">Top </t>
  </si>
  <si>
    <t xml:space="preserve">Avge </t>
  </si>
  <si>
    <t>DPC</t>
  </si>
  <si>
    <t xml:space="preserve">Fixings for track </t>
  </si>
  <si>
    <t>Spaced @ 0.6 1.7 @ 2.50 each</t>
  </si>
  <si>
    <t>add extra for ends</t>
  </si>
  <si>
    <t>total fixings</t>
  </si>
  <si>
    <t xml:space="preserve">Total cost of track is </t>
  </si>
  <si>
    <t xml:space="preserve">Total cost of Job is </t>
  </si>
  <si>
    <t>per m</t>
  </si>
  <si>
    <t>Labour/m2</t>
  </si>
  <si>
    <t>Materials</t>
  </si>
  <si>
    <t>Material/m2</t>
  </si>
  <si>
    <t>Labour</t>
  </si>
  <si>
    <t>92mm steel studs @</t>
  </si>
  <si>
    <t>92 0.75 bmt</t>
  </si>
  <si>
    <t>92mm Nogging Track</t>
  </si>
  <si>
    <t>64mm Nogging Track</t>
  </si>
  <si>
    <t>Top 1.15</t>
  </si>
  <si>
    <t>Bot 0.70</t>
  </si>
  <si>
    <t>92mm x 0.70 Base Track</t>
  </si>
  <si>
    <t>Not Required, Refer Brevity Design</t>
  </si>
  <si>
    <t>92 x 0.75 Stud</t>
  </si>
  <si>
    <t>64mm x 0.75 DHT</t>
  </si>
  <si>
    <t>64mm x 0.75 Head Track</t>
  </si>
  <si>
    <t>92mm x 0.75 DHT</t>
  </si>
  <si>
    <t xml:space="preserve">Cutting sheets into strips </t>
  </si>
  <si>
    <t xml:space="preserve">Rate </t>
  </si>
  <si>
    <t>mat</t>
  </si>
  <si>
    <t xml:space="preserve">1200 X 2400 sheet cost </t>
  </si>
  <si>
    <t xml:space="preserve">Width of the strips </t>
  </si>
  <si>
    <t xml:space="preserve">LM needed </t>
  </si>
  <si>
    <t>mm</t>
  </si>
  <si>
    <t xml:space="preserve">Sheet width </t>
  </si>
  <si>
    <t xml:space="preserve">Sheet len </t>
  </si>
  <si>
    <t xml:space="preserve">Ttl LM per sheet </t>
  </si>
  <si>
    <t xml:space="preserve">strips needed </t>
  </si>
  <si>
    <t>Sheets needed</t>
  </si>
  <si>
    <t xml:space="preserve">Total mat </t>
  </si>
  <si>
    <t xml:space="preserve">Div into LM </t>
  </si>
  <si>
    <t xml:space="preserve">Fixings to sheet screws/nails </t>
  </si>
  <si>
    <t xml:space="preserve">Glue </t>
  </si>
  <si>
    <t>waste 10%</t>
  </si>
  <si>
    <t xml:space="preserve">mat </t>
  </si>
  <si>
    <t xml:space="preserve">ttl mat </t>
  </si>
  <si>
    <t xml:space="preserve">Lab </t>
  </si>
  <si>
    <t xml:space="preserve">Allow to cut into strips allow min per strip </t>
  </si>
  <si>
    <t xml:space="preserve">cost per strip </t>
  </si>
  <si>
    <t xml:space="preserve">No of strips needed </t>
  </si>
  <si>
    <t xml:space="preserve">Ttl  above per LM </t>
  </si>
  <si>
    <t xml:space="preserve">Lab to fit </t>
  </si>
  <si>
    <t xml:space="preserve">Say 10 min per LM </t>
  </si>
  <si>
    <t xml:space="preserve">LM </t>
  </si>
  <si>
    <t xml:space="preserve">hrs </t>
  </si>
  <si>
    <t>188 EX KKBS</t>
  </si>
  <si>
    <t>Plus Loadin and Handling</t>
  </si>
  <si>
    <t>64mm steel studs @</t>
  </si>
  <si>
    <t>64 .55 bmt</t>
  </si>
  <si>
    <t>Screws @ $20.00/1000 = .015</t>
  </si>
  <si>
    <t xml:space="preserve">hrs allowed </t>
  </si>
  <si>
    <t xml:space="preserve">studs </t>
  </si>
  <si>
    <t>track</t>
  </si>
  <si>
    <t>Total cost</t>
  </si>
  <si>
    <t>Total m2 a day</t>
  </si>
  <si>
    <t>64mm</t>
  </si>
  <si>
    <t>Tracklok</t>
  </si>
  <si>
    <t xml:space="preserve">Grid lock brace </t>
  </si>
  <si>
    <t xml:space="preserve">92 steel stud </t>
  </si>
  <si>
    <t>Compression posts (change height)</t>
  </si>
  <si>
    <t xml:space="preserve">Angled braces 2 x roughly 50% more in len than comp post </t>
  </si>
  <si>
    <t xml:space="preserve">lab </t>
  </si>
  <si>
    <t xml:space="preserve">Labour </t>
  </si>
  <si>
    <t>hr</t>
  </si>
  <si>
    <t>Material Cost</t>
  </si>
  <si>
    <t>Labour Cost</t>
  </si>
  <si>
    <t>ttl lengths</t>
  </si>
  <si>
    <t>Lngth Price</t>
  </si>
  <si>
    <t>PVC Capping to Above</t>
  </si>
  <si>
    <t>Hinges</t>
  </si>
  <si>
    <t>Roller Kit - Bottom Rolled</t>
  </si>
  <si>
    <t>Mohair 6.9 - Black</t>
  </si>
  <si>
    <t>l/m</t>
  </si>
  <si>
    <t>Mohair 12.7 - Black</t>
  </si>
  <si>
    <t>Hinged Door/Sider</t>
  </si>
  <si>
    <t>Corner Braces 4 per Door</t>
  </si>
  <si>
    <t>Stacking Angles</t>
  </si>
  <si>
    <t>Glazing</t>
  </si>
  <si>
    <t>REFER SPERATE PRICING IN MAIN SCHEDULE</t>
  </si>
  <si>
    <t>Final Clean</t>
  </si>
  <si>
    <t>P &amp; G Admin / Supervision / Loadin</t>
  </si>
  <si>
    <t>P &amp; G Parking</t>
  </si>
  <si>
    <t>`</t>
  </si>
  <si>
    <t>PAS 033</t>
  </si>
  <si>
    <t>PAS 310/A</t>
  </si>
  <si>
    <t>PAS 338</t>
  </si>
  <si>
    <t>External Corners - Abutting Ali Edge</t>
  </si>
  <si>
    <t>Level 4 - Total Doors</t>
  </si>
  <si>
    <t>Refer Individual Items Above</t>
  </si>
  <si>
    <t>Level 5 - Total Doors</t>
  </si>
  <si>
    <t>Level 6 - Total Doors</t>
  </si>
  <si>
    <t>4500 l/m</t>
  </si>
  <si>
    <t>375 l/m</t>
  </si>
  <si>
    <t>Linear Tray Items in C-03</t>
  </si>
  <si>
    <t>Workings Below</t>
  </si>
  <si>
    <t>Paint Shadowline/Edge of MDF</t>
  </si>
  <si>
    <t>Trim Services into Above</t>
  </si>
  <si>
    <t>** TWIN GLAZED**</t>
  </si>
  <si>
    <t>** Size of Unit??**</t>
  </si>
  <si>
    <t>Acoustic Seal - RP8</t>
  </si>
  <si>
    <t>Included - By Total Doors</t>
  </si>
  <si>
    <t>Level 4 - Total Doors EV Items</t>
  </si>
  <si>
    <t>Level 5 - Total Doors EV Items</t>
  </si>
  <si>
    <t>Potters Aluminium, Doors, Glazing and Skirting</t>
  </si>
  <si>
    <t>Tray ex Industrial Sheet Metals</t>
  </si>
  <si>
    <t>Install Tray</t>
  </si>
  <si>
    <t>Alaska</t>
  </si>
  <si>
    <t>Impact</t>
  </si>
  <si>
    <t>CBC</t>
  </si>
  <si>
    <t>W&amp;H</t>
  </si>
  <si>
    <t>Friday 19th</t>
  </si>
  <si>
    <t>9th January</t>
  </si>
  <si>
    <t>13th Janaury</t>
  </si>
  <si>
    <t>D4.13 Door Frame</t>
  </si>
  <si>
    <t>D4.14 Door Frame</t>
  </si>
  <si>
    <t>D4.21 Door Frame</t>
  </si>
  <si>
    <t>Potters Aluminium Frame</t>
  </si>
  <si>
    <t>PAS 314/SD</t>
  </si>
  <si>
    <t>PAS 023</t>
  </si>
  <si>
    <t>D5.10 Door Frame</t>
  </si>
  <si>
    <t>D5.11 Door Frame</t>
  </si>
  <si>
    <t>D6.03 Slider Unit</t>
  </si>
  <si>
    <t>PAS 339</t>
  </si>
  <si>
    <t>PAS 336</t>
  </si>
  <si>
    <t>PAS 005</t>
  </si>
  <si>
    <t>DOOR LEAF:</t>
  </si>
  <si>
    <t>PAS 503-F</t>
  </si>
  <si>
    <t>PAS 504</t>
  </si>
  <si>
    <t>PAS 503/100</t>
  </si>
  <si>
    <t>PAS 500/100</t>
  </si>
  <si>
    <t>PAS 501</t>
  </si>
  <si>
    <t>PAS 502</t>
  </si>
  <si>
    <t>PAS 509/T</t>
  </si>
  <si>
    <t>PAS 506</t>
  </si>
  <si>
    <t>Roller Kit - TOP ROLLED</t>
  </si>
  <si>
    <t>PAS 532</t>
  </si>
  <si>
    <t>PAS 531</t>
  </si>
  <si>
    <t>PAS 522/D</t>
  </si>
  <si>
    <t>PAS 530/4</t>
  </si>
  <si>
    <t>PAS 004/100GP</t>
  </si>
  <si>
    <t>PAS 003/100GP</t>
  </si>
  <si>
    <t>Mohair 4.8 - Black</t>
  </si>
  <si>
    <t>PAS 507/AS</t>
  </si>
  <si>
    <t>PAS 334</t>
  </si>
  <si>
    <t>Bulkheads:</t>
  </si>
  <si>
    <t>Suspended Ceilings:</t>
  </si>
  <si>
    <t>* Manifestations, Visual Bands to Glazing along and Signage by others.</t>
  </si>
  <si>
    <t xml:space="preserve">P&amp;G </t>
  </si>
  <si>
    <t>Man</t>
  </si>
  <si>
    <t xml:space="preserve">Wires </t>
  </si>
  <si>
    <t>Suspended system Rondo</t>
  </si>
  <si>
    <t>Dis between TCR</t>
  </si>
  <si>
    <t xml:space="preserve">Across TCR wire </t>
  </si>
  <si>
    <t>28mm furring channel @</t>
  </si>
  <si>
    <t xml:space="preserve">TCR spacing </t>
  </si>
  <si>
    <t>40 x 40</t>
  </si>
  <si>
    <t>M2</t>
  </si>
  <si>
    <t>Total furring LM</t>
  </si>
  <si>
    <t>Total Perim LM</t>
  </si>
  <si>
    <t>M2 of ceiling</t>
  </si>
  <si>
    <t>Area</t>
  </si>
  <si>
    <t>M/No</t>
  </si>
  <si>
    <t xml:space="preserve">Waste </t>
  </si>
  <si>
    <t>28mm furring channel</t>
  </si>
  <si>
    <t>Change on spacings</t>
  </si>
  <si>
    <t xml:space="preserve">Joiner </t>
  </si>
  <si>
    <t>Joiner</t>
  </si>
  <si>
    <t xml:space="preserve">Locking clip </t>
  </si>
  <si>
    <t>Locking Clip</t>
  </si>
  <si>
    <t>TCR .75 BMT</t>
  </si>
  <si>
    <t>TCR 0.75</t>
  </si>
  <si>
    <t>Hanging wire</t>
  </si>
  <si>
    <t>Fixings (to substrate)</t>
  </si>
  <si>
    <t>Wall Track/Angle</t>
  </si>
  <si>
    <t>Material cost per m2</t>
  </si>
  <si>
    <t>Fixings (screws)</t>
  </si>
  <si>
    <t xml:space="preserve">lab rate </t>
  </si>
  <si>
    <t xml:space="preserve">m/hr </t>
  </si>
  <si>
    <t>Furring channel</t>
  </si>
  <si>
    <t>TCR</t>
  </si>
  <si>
    <t xml:space="preserve">40 x 40 </t>
  </si>
  <si>
    <t>Labour cost per m2</t>
  </si>
  <si>
    <t xml:space="preserve"> Total cost per m2</t>
  </si>
  <si>
    <t xml:space="preserve">Total cost of ceiling job is </t>
  </si>
  <si>
    <t>Cost per m2</t>
  </si>
  <si>
    <t>hrs</t>
  </si>
  <si>
    <t>Insulation:</t>
  </si>
  <si>
    <t>* No allowance for Wall Paper.</t>
  </si>
  <si>
    <t>Gib Wall and Ceiling Linings:</t>
  </si>
  <si>
    <t>Stopping to Gib Wall and Ceilings:</t>
  </si>
  <si>
    <t>Potters Aluminium, Doors, Glazing and Skirting:</t>
  </si>
  <si>
    <t>* Allowed Level 4 Stopping Only.</t>
  </si>
  <si>
    <t>* No allowance for detailed drawings/shop drawings, Prototypes, Samples and Resource and Consent fees etc.  By Others.</t>
  </si>
  <si>
    <t>Wall Track 141</t>
  </si>
  <si>
    <t>40 x 40 x 1.15 Angle</t>
  </si>
  <si>
    <t>127 or 128</t>
  </si>
  <si>
    <t>Potters 4% Increase</t>
  </si>
  <si>
    <t>28mm Furring</t>
  </si>
  <si>
    <t>* Door hardware including handles, closers, kick plates, stops etc. By others.</t>
  </si>
  <si>
    <t>Partitions:</t>
  </si>
  <si>
    <t>* Curtains/Blinds by others.</t>
  </si>
  <si>
    <t>39m2</t>
  </si>
  <si>
    <t>(C-02) 530 x 530 Set Bead Ceiling Hatches to Above</t>
  </si>
  <si>
    <t>(C-03) 530 x 530 Set Bead Ceiling Hatches to Above</t>
  </si>
  <si>
    <t>WIDE FACE</t>
  </si>
  <si>
    <t>* Allowed 530 x 530 Standard Set Bead Hatch to C-02 and C-03.</t>
  </si>
  <si>
    <t>* Allowed 500 x 500 Hard Edge Hatch to C-11.</t>
  </si>
  <si>
    <t>(C-11) 500 x 500 Hard Edge Hatch to Above</t>
  </si>
  <si>
    <t>Nil, Supplied and Installed By Others</t>
  </si>
  <si>
    <t>EV Cut to Curves/Columns</t>
  </si>
  <si>
    <t>EV Cut to C-06</t>
  </si>
  <si>
    <t>EV Powdercoat to Grid</t>
  </si>
  <si>
    <t>Nil, Within Tiles Ceiling</t>
  </si>
  <si>
    <t>(C-10) Rondo Grid 1200 x 600</t>
  </si>
  <si>
    <t>(C-08) Rondo Heavy Weight Grid 1200 x 600</t>
  </si>
  <si>
    <t>* C-08 and C-10 Mesh has been allowed with respective two way grid system as per PS1.  We note conflicting details shown throughout.</t>
  </si>
  <si>
    <t>Perimeter - Columns</t>
  </si>
  <si>
    <t>Perimeter 90 x 40 - Board Room External Edge</t>
  </si>
  <si>
    <t>Perimeter 20 x 40 - Board Room C-06 Edge</t>
  </si>
  <si>
    <t>Perimeter 20 x 40 - Mobile Workspace</t>
  </si>
  <si>
    <t>* Allowed GS10 Gripple Wire Bracing, spec unclear.</t>
  </si>
  <si>
    <t>3 Mains and 5 Nogs</t>
  </si>
  <si>
    <t>1 Mains and 1 Nogs</t>
  </si>
  <si>
    <t>Job Name</t>
  </si>
  <si>
    <t>Waste</t>
  </si>
  <si>
    <t>total sqm</t>
  </si>
  <si>
    <t>Standard grid</t>
  </si>
  <si>
    <t>Cost Plus Margin</t>
  </si>
  <si>
    <t xml:space="preserve">Nett cost </t>
  </si>
  <si>
    <t>admin</t>
  </si>
  <si>
    <t>Wall angle</t>
  </si>
  <si>
    <t>hourly rate</t>
  </si>
  <si>
    <t>Mains</t>
  </si>
  <si>
    <t xml:space="preserve">wall trim </t>
  </si>
  <si>
    <t xml:space="preserve">1200 Nogs </t>
  </si>
  <si>
    <t>tile type</t>
  </si>
  <si>
    <t>Tiles</t>
  </si>
  <si>
    <t>tile price</t>
  </si>
  <si>
    <t>per tile</t>
  </si>
  <si>
    <t>Module</t>
  </si>
  <si>
    <t>1200 x 600</t>
  </si>
  <si>
    <t>Total Cost</t>
  </si>
  <si>
    <t>Total Revenue</t>
  </si>
  <si>
    <t>Price</t>
  </si>
  <si>
    <t>Profit</t>
  </si>
  <si>
    <t>Peakform</t>
  </si>
  <si>
    <t>Waste 10% on product include in cost</t>
  </si>
  <si>
    <t>Adminstration</t>
  </si>
  <si>
    <t>COST</t>
  </si>
  <si>
    <t>HOURS</t>
  </si>
  <si>
    <t xml:space="preserve">COST </t>
  </si>
  <si>
    <t>BPT1932H</t>
  </si>
  <si>
    <t>BP734042P</t>
  </si>
  <si>
    <t>BP313052P</t>
  </si>
  <si>
    <t>Wire</t>
  </si>
  <si>
    <t>ea</t>
  </si>
  <si>
    <t>Grid Only</t>
  </si>
  <si>
    <t>lab</t>
  </si>
  <si>
    <t>Ceiling Tiles</t>
  </si>
  <si>
    <t>Tiles Only</t>
  </si>
  <si>
    <t xml:space="preserve">tot hours </t>
  </si>
  <si>
    <t>Cost</t>
  </si>
  <si>
    <t xml:space="preserve">Actual cost of ceiling </t>
  </si>
  <si>
    <t>Contract rate</t>
  </si>
  <si>
    <t xml:space="preserve">Actual cost </t>
  </si>
  <si>
    <t xml:space="preserve">Contract cost </t>
  </si>
  <si>
    <t>difference</t>
  </si>
  <si>
    <t>gain from contract rate</t>
  </si>
  <si>
    <t xml:space="preserve">Loading </t>
  </si>
  <si>
    <t>packs</t>
  </si>
  <si>
    <t>Nogs</t>
  </si>
  <si>
    <t>$236 + 7.5% freight</t>
  </si>
  <si>
    <t>$269 + 7.5% freight</t>
  </si>
  <si>
    <t>$229 + 7.5% freight</t>
  </si>
  <si>
    <t>$199 + 7.5% freight</t>
  </si>
  <si>
    <t>28mm furring channel  **WIDE FACE**</t>
  </si>
  <si>
    <t>(C-09)  530 x 530 Set Bead Ceiling Hatches to Above</t>
  </si>
  <si>
    <t>Control Joints</t>
  </si>
  <si>
    <t>C-08</t>
  </si>
  <si>
    <t>C-10</t>
  </si>
  <si>
    <t>MDF Upstand/Surround - 200mm</t>
  </si>
  <si>
    <t>MDF Upstand/Surround - 100mm</t>
  </si>
  <si>
    <t>12mm MDF Substrate and Packing</t>
  </si>
  <si>
    <t xml:space="preserve">Grid Lock brace </t>
  </si>
  <si>
    <t xml:space="preserve">92mm x 0.75 steel stud </t>
  </si>
  <si>
    <t>* No allowance for Detail 5 Perimeter Diffuser Detail Sheet ID 502.  Futher detail required on how this works with Ceiling Design and is supported etc.</t>
  </si>
  <si>
    <t>* We note C-08 Ceiling PS1 Design is noted as small sections of ceilings above the Mobile Workspace.  The architectural drawings show these as two distinct ceilings and this is how we have allowed it with all items to underside of ceiling not breaking the ceilng.  This needs to be reviewed further and might result in addditonal cost (back bracing being required).</t>
  </si>
  <si>
    <t>m10 Thraded Rod</t>
  </si>
  <si>
    <t>Brackets</t>
  </si>
  <si>
    <t>GS10 Gripples</t>
  </si>
  <si>
    <t>EV to Core Koolterm/Gib to pick up Fixing</t>
  </si>
  <si>
    <t>* Detailed Programming to be to be discussed prior to acceptance.</t>
  </si>
  <si>
    <t>Bulkhead 2900 - 3900 (Detail 9 - ID 502)</t>
  </si>
  <si>
    <t>Bulkhead 2900 - 3900 (Detail 4 - ID 502)</t>
  </si>
  <si>
    <t>Bulkhead 2900 - 3900 (Detail 4 -  ID 401)</t>
  </si>
  <si>
    <t>Bulkhead 2900 - 3900 (Detail 9 -  ID 502)</t>
  </si>
  <si>
    <t>Bulkhead 3000 - 4400 (Detail 4 - ID 401)</t>
  </si>
  <si>
    <t>Bulkhead 3000 - 4400 (Sides of Ceiling C-10)</t>
  </si>
  <si>
    <t>Inseal Tape</t>
  </si>
  <si>
    <t>ID 502 Detail 9</t>
  </si>
  <si>
    <t>64mm x 0.55 Head Track &amp; Bottom Track</t>
  </si>
  <si>
    <t>64mm x 0.75 Brace</t>
  </si>
  <si>
    <t>ID 401 Detail 4 (P13)</t>
  </si>
  <si>
    <t>Deflok</t>
  </si>
  <si>
    <t>BC90</t>
  </si>
  <si>
    <t>BC45</t>
  </si>
  <si>
    <t>64 x 0.70 Dropper Stud - Brace</t>
  </si>
  <si>
    <t>EV Curveline to P-20A</t>
  </si>
  <si>
    <t>EV Curveline to P-23B</t>
  </si>
  <si>
    <t>EV Curveline to P-21A</t>
  </si>
  <si>
    <t>TOTAL OF INSULATION</t>
  </si>
  <si>
    <t>P01 Trim - Linear Tray Edge</t>
  </si>
  <si>
    <t>External Corner - Bulkhead</t>
  </si>
  <si>
    <t>* Seismic and support structure to kitchen hood including nogging/bridging by others.</t>
  </si>
  <si>
    <t>Plywood Nogging</t>
  </si>
  <si>
    <t>Sheet</t>
  </si>
  <si>
    <t>No</t>
  </si>
  <si>
    <t>12mm Plywood</t>
  </si>
  <si>
    <t>Nogging Brackets</t>
  </si>
  <si>
    <t>* Kitchen specific nogging to partitions to be installed by others.</t>
  </si>
  <si>
    <t>Plywood Support/Nogging - TV's</t>
  </si>
  <si>
    <t>Plywood Support/Nogging - Focus Shelf</t>
  </si>
  <si>
    <t>EV for Service Pentrations</t>
  </si>
  <si>
    <t>Rigitone Matrix</t>
  </si>
  <si>
    <t>SQ area</t>
  </si>
  <si>
    <t>Rigitone Caulking</t>
  </si>
  <si>
    <t>waste 15%</t>
  </si>
  <si>
    <t>lab rate</t>
  </si>
  <si>
    <t>total area</t>
  </si>
  <si>
    <t>roundup</t>
  </si>
  <si>
    <t>Say 600 lm tube does 8m</t>
  </si>
  <si>
    <t>÷ SHEET</t>
  </si>
  <si>
    <t>No sheets</t>
  </si>
  <si>
    <t xml:space="preserve">sheet cost </t>
  </si>
  <si>
    <t>Standard</t>
  </si>
  <si>
    <t xml:space="preserve">x sheet </t>
  </si>
  <si>
    <t>÷ SQ area</t>
  </si>
  <si>
    <t>Actual cost/m²</t>
  </si>
  <si>
    <t>6 x 32 screws @ 700/100m² @ $18.00 per 500 =&gt; m2</t>
  </si>
  <si>
    <t>23 screw per m2</t>
  </si>
  <si>
    <t>Stopping of Joint</t>
  </si>
  <si>
    <t>18.00 ÷ 500  x 700 ÷ 100 = 0.11</t>
  </si>
  <si>
    <t xml:space="preserve">Cartage </t>
  </si>
  <si>
    <t>Unload and stack 15 min a sheet</t>
  </si>
  <si>
    <t xml:space="preserve">  </t>
  </si>
  <si>
    <t>15 ÷ 60 = 0.25 x 45 = 11.25</t>
  </si>
  <si>
    <t>11.25 ÷ 2.4 = 4.69 per m2</t>
  </si>
  <si>
    <t>600ml tube covers 28m2 PB @ $8.17</t>
  </si>
  <si>
    <t>$8.17 ÷ 28m2 = 0.29, per m2</t>
  </si>
  <si>
    <t>Material cost</t>
  </si>
  <si>
    <t>hr/m2</t>
  </si>
  <si>
    <t>1200 x 2000</t>
  </si>
  <si>
    <t>Pirce Increase 4%</t>
  </si>
  <si>
    <t>Sheet Price</t>
  </si>
  <si>
    <t>600ml Filler</t>
  </si>
  <si>
    <t>Misc - Caulking attachements, guns, spacers, primer etc</t>
  </si>
  <si>
    <t>Powdercoated Perimeter Angle to Cap Off Perforation to Perimeter</t>
  </si>
  <si>
    <t>* Allowed C-11 in either Rigitone Matrix 8/18 Round or Rigitone Matrix 15/30 Round both with White Backing.  Allowed 40 x 40 Powdercoated Angle to Perimeter of C-11 Ceiling to cap edge to adjoining surface.</t>
  </si>
  <si>
    <t>* No allowance for Special Effects paint finish to C-11.</t>
  </si>
  <si>
    <t>Nil, By Others Door Type 3</t>
  </si>
  <si>
    <t>* Where glazing is oversize silicone joints will be installed to break glass.  Mark up can be provided for review.</t>
  </si>
  <si>
    <t>Level 4 - Glazing, Metro</t>
  </si>
  <si>
    <t>Level 5 - Glazing, Metro</t>
  </si>
  <si>
    <t>Level 6 - Glazing, Metro</t>
  </si>
  <si>
    <t>* No allowance for Door Type 3/P13 and Glazing and associated side panels, by others.</t>
  </si>
  <si>
    <t>(C-04) 50mm Autexquiet Space (AP04)</t>
  </si>
  <si>
    <t>* Pricing is based on Brevity PS1 Designs.  We have not allowed for any construction monitoring or PS4 sign off, if required to carried out by othes.</t>
  </si>
  <si>
    <t xml:space="preserve">Level 4 </t>
  </si>
  <si>
    <t>25mm Flat</t>
  </si>
  <si>
    <t>Wall Covering: Asona Quicklock (FP-01)</t>
  </si>
  <si>
    <t>Wall Coverings:  Asona Quicklook</t>
  </si>
  <si>
    <t>4.10 Meeting 4P</t>
  </si>
  <si>
    <t>FP -01</t>
  </si>
  <si>
    <t>Penetrations</t>
  </si>
  <si>
    <t>Level 4 - FP-01 Asona Quicklock</t>
  </si>
  <si>
    <t>Level 5 - FP-01 Asona Quicklock</t>
  </si>
  <si>
    <t>Level 6 - FP-01 Asona Quicklock</t>
  </si>
  <si>
    <t>4.12 Meeting 4P</t>
  </si>
  <si>
    <t>4.18 Meeting 5P</t>
  </si>
  <si>
    <t>4.21 Focus 2P</t>
  </si>
  <si>
    <t>4.22 Meeting 5P</t>
  </si>
  <si>
    <t>4.23 Meeting 4-6P</t>
  </si>
  <si>
    <t>5.06 Meeting 4P</t>
  </si>
  <si>
    <t>5.07 Focus</t>
  </si>
  <si>
    <t>5.17 Meeting 4-6P</t>
  </si>
  <si>
    <t>5.18 Meeting 4P</t>
  </si>
  <si>
    <t>5.19 Meeting 8P</t>
  </si>
  <si>
    <t>5.22 Meeting 8P</t>
  </si>
  <si>
    <t>6.13 Meeting 5P</t>
  </si>
  <si>
    <t>6.14 Meeting 4P</t>
  </si>
  <si>
    <t>6.15 Meeting 5P</t>
  </si>
  <si>
    <t>6.17 Meeting 6P</t>
  </si>
  <si>
    <t>6.21 Meeting 8P</t>
  </si>
  <si>
    <t>6.22 Meeting 2P</t>
  </si>
  <si>
    <t>6.23 Meeting 2P</t>
  </si>
  <si>
    <t>6.24 Meeting 8P</t>
  </si>
  <si>
    <t>6.25 Meeting 8P</t>
  </si>
  <si>
    <t>Skirting - 25mm x 30mm Powdercoated Angle (Timber Batten Location)</t>
  </si>
  <si>
    <t>25 x 30 Angle</t>
  </si>
  <si>
    <t>* Pricing validity as per cover letter.  We have not allowed for any escalation of costs after this point and will be claimed as a variation accordingly if required (We have taken into consideration known price increases on Potters Aluminum and Gib Linings in the first half of 2026).</t>
  </si>
  <si>
    <t>* Passive Fire to for Services to wall, floor and ceilings including Smoke Barrier above selected partitions all by others (Passive Fire Contractor).</t>
  </si>
  <si>
    <t>261 l/m</t>
  </si>
  <si>
    <t>* Pricing based on sliding scale retention basis.</t>
  </si>
  <si>
    <t>* Pricing has been split  across levels but based on all works proceeding.  Removal of items may come at cost premium affecting cost to other levels.</t>
  </si>
  <si>
    <t>* We have allowed for Partitions centres and gauges as per CAN01A for Levels 4, 5 and 6.  We note some of the specs conflict with early design for Level 6 as well as specified .</t>
  </si>
  <si>
    <t>PAS 317</t>
  </si>
  <si>
    <t>PAS 316</t>
  </si>
  <si>
    <t>PAS 315</t>
  </si>
  <si>
    <t>Powdercoating</t>
  </si>
  <si>
    <t>**Mill Finish**</t>
  </si>
  <si>
    <t>65 Jayden</t>
  </si>
  <si>
    <t>75 davy</t>
  </si>
  <si>
    <t>RP 540</t>
  </si>
  <si>
    <t>* Allowed Powdercoat Colour from PC01 Colour Range.</t>
  </si>
  <si>
    <t>AMF Expanded Mesh Rhombic 4 1200 x 600 - Colour PC02</t>
  </si>
  <si>
    <t>LEAD TIMES/INSTALL:</t>
  </si>
  <si>
    <t>** Asona Quicklock (FP-01) has an 8 week manufacture lead time and subject to stock availability at time of order.  Install allowd in 1 consecutive install period of approximately 2 weeks.</t>
  </si>
  <si>
    <t>Job Duration</t>
  </si>
  <si>
    <t>Onsite Supervise</t>
  </si>
  <si>
    <t>PM</t>
  </si>
  <si>
    <t>QS</t>
  </si>
  <si>
    <t>* Staining/Painting and Finishing of Door leafs and Frames by Others.</t>
  </si>
  <si>
    <t>* We have allowed for RP540 perimeter/Acoustic Seals to Potter aluminium frame with timber door leaf.  This needs to be confirmed as acceptable.</t>
  </si>
  <si>
    <t>TOTAL OF POTTERS RIGITONE MATRIX</t>
  </si>
  <si>
    <t>TOTAL OF FEATURECRAFT</t>
  </si>
  <si>
    <t>Featurecraft (TB-01 and TB-02)</t>
  </si>
  <si>
    <t>Ambitec (PF-01 and PF-02 to Wall and Bulkheads Only)</t>
  </si>
  <si>
    <t>* No allowance for any of the following finishes: AP-01, AP-02, AP-03, AP-04 (including "Exposed Ceiling" that is called up as AP-04 on RCP under C-04 and then a different colour again with in finish schedule under "Exposed Ceilings".</t>
  </si>
  <si>
    <t>Potters Rigitone Matrix Ceiling Lining</t>
  </si>
  <si>
    <t>Potters Rigitone Matrix Ceiling Lining:</t>
  </si>
  <si>
    <t>* No allowance for any Ambitec to joinery items.</t>
  </si>
  <si>
    <t>PF-01, Walls to 2.9m</t>
  </si>
  <si>
    <t>PF-01, Columns (1x)</t>
  </si>
  <si>
    <t>PF-01, Columns (11x)</t>
  </si>
  <si>
    <t>* No allowance for Whiteboards (WB-01 and WB-02).</t>
  </si>
  <si>
    <t>Stop Curveline Columns</t>
  </si>
  <si>
    <t>Battening to Columns</t>
  </si>
  <si>
    <t>74 Sheets @ $330</t>
  </si>
  <si>
    <t>15 Sheets @ $360 Curved</t>
  </si>
  <si>
    <t>89 Sheets @ $5 freight</t>
  </si>
  <si>
    <t>89 Sheets @ $2.50 Glue</t>
  </si>
  <si>
    <t>Loadin 10 mins per sheet 15.0 hr @ $50</t>
  </si>
  <si>
    <t>TB.01</t>
  </si>
  <si>
    <t>TB.02</t>
  </si>
  <si>
    <t>L4</t>
  </si>
  <si>
    <t>L5</t>
  </si>
  <si>
    <t>L6</t>
  </si>
  <si>
    <t>Batten</t>
  </si>
  <si>
    <t>Infill</t>
  </si>
  <si>
    <t>Connector</t>
  </si>
  <si>
    <t>TB.01, 30mm x 30mm Square Finish Batten with Intumescent Coating @ 30mm Gaps</t>
  </si>
  <si>
    <t>Fixings to Connector</t>
  </si>
  <si>
    <t>Base Plate and Fin Fixing for TB.02</t>
  </si>
  <si>
    <t>* MDF TV surrounds and associated angle and flat bar by others (joiner).</t>
  </si>
  <si>
    <t>Bronze Finishing Trim to Above, BR-01 (ID 363)</t>
  </si>
  <si>
    <t>Bronze Finishing Coffer Trim and Skirting to Above, BR-01 (ID 501)</t>
  </si>
  <si>
    <t>* We have note allowed for any finishes to joinery units.  We note some finishes cross over between walls/ceilings and joinery units.</t>
  </si>
  <si>
    <t>* No allowance for BR-02, BR-03 and BR-04.</t>
  </si>
  <si>
    <t>* No allowance for glass splash backs.</t>
  </si>
  <si>
    <t>* GF-01 to GF-03 by others.</t>
  </si>
  <si>
    <t>Ambitec (PF-01 and PF-02 to Wall and Bulkheads Only):</t>
  </si>
  <si>
    <t>TB.02 L/m</t>
  </si>
  <si>
    <t>@</t>
  </si>
  <si>
    <t>Featurecraft Supply of Material</t>
  </si>
  <si>
    <t>Loadin/Handling</t>
  </si>
  <si>
    <t>Basebuild?? Colour??</t>
  </si>
  <si>
    <t>Nil, By Others</t>
  </si>
  <si>
    <t>* Concealed Grid and Steel Stud Bulkheads etc allowed as a combination of Rondo and SRP.</t>
  </si>
  <si>
    <t>* No allowance for any works item within Wildfire Documentation as well as heat shield back board if and where required.</t>
  </si>
  <si>
    <t>P-10</t>
  </si>
  <si>
    <t>External</t>
  </si>
  <si>
    <t>Cap</t>
  </si>
  <si>
    <t>P-01</t>
  </si>
  <si>
    <t>P-11</t>
  </si>
  <si>
    <t>P-12</t>
  </si>
  <si>
    <t>P-13</t>
  </si>
  <si>
    <t>P-20</t>
  </si>
  <si>
    <t>P-20a</t>
  </si>
  <si>
    <t>P-21</t>
  </si>
  <si>
    <t>P-21s</t>
  </si>
  <si>
    <t>P-21a</t>
  </si>
  <si>
    <t>P-23</t>
  </si>
  <si>
    <t>P-23s</t>
  </si>
  <si>
    <t>P-23a</t>
  </si>
  <si>
    <t>P-23as</t>
  </si>
  <si>
    <t>P-23b</t>
  </si>
  <si>
    <t>P-24</t>
  </si>
  <si>
    <t>* Steel Stud allowed from SRP.</t>
  </si>
  <si>
    <t>* Refer scehdule for allowance of Autex R1.8 Sound Solution to walls and ceilings and Baffle Stack above Partitions.</t>
  </si>
  <si>
    <t>(C-02) R1.8 Autex Sound Solutuion on top</t>
  </si>
  <si>
    <t>(C-09) R1.8 Autex Sound Solutuion on top</t>
  </si>
  <si>
    <t>*  Allowed for 50mm Autex Quietspace Panel over C-08 and C-10 mesh as per detail.</t>
  </si>
  <si>
    <t>C-11) AAB 35-50</t>
  </si>
  <si>
    <t>*  Allowed AAB 35 - 50 to back of C-11 only as per note on ID 001 under ceiling key.  No allowance for AAB to any other location.</t>
  </si>
  <si>
    <t>DEPOSITS/PAYMENTS ON MATERIALS:</t>
  </si>
  <si>
    <t>** Featurecraft shops Drawings : 2 Weeks.  Product/Material Lead Time: 12 Weeks.  Fabrication of Product (Machining, Coating): 3 - 6 weeks once raw product is received</t>
  </si>
  <si>
    <t>** Featurecraft raw material to be paid for once procured by supplier prior to fabrication.</t>
  </si>
  <si>
    <t>Base Plate Curved for TB.02</t>
  </si>
  <si>
    <t>Refer Below</t>
  </si>
  <si>
    <t>Featurecraft (TB-01 and TB-02):</t>
  </si>
  <si>
    <t>Trackloks @ 600 crs</t>
  </si>
  <si>
    <t>Parking PM</t>
  </si>
  <si>
    <t>Horizontal Nogging to pick up Featurecarft TB.01</t>
  </si>
  <si>
    <t>Refer Featurecraft Trade</t>
  </si>
  <si>
    <t>* No allowance for any Soffit works (C-05) and asscoiated structure/details.</t>
  </si>
  <si>
    <t>* C-04/Exposed Ceiling By Others (Autex).</t>
  </si>
  <si>
    <t>* No allowance for C-07, not located.</t>
  </si>
  <si>
    <t>* Sample panels must be sighted and signed off prior to manufacture.</t>
  </si>
  <si>
    <t>* No sealer allowed to PF-02, understand none is required.</t>
  </si>
  <si>
    <t>10/0.200 = 50 x 2.9 = 145</t>
  </si>
  <si>
    <t>145 @ $232</t>
  </si>
  <si>
    <t>12/0.200 = 60 x 2.9 = 174</t>
  </si>
  <si>
    <t>174 @ $232</t>
  </si>
  <si>
    <t>TB.02, 140mm x 42mm Square Finish Batten Prefinished with Intumescent Coating @ 200mm centres - 2.9m High/underside of Ceiling</t>
  </si>
  <si>
    <t>TB.01 to Door 6.20</t>
  </si>
  <si>
    <t>TB.01 to Door 6.11B</t>
  </si>
  <si>
    <t>TB.01 to Door 6.11A</t>
  </si>
  <si>
    <t>* We have allowed for TB.01 to Doors D6.11A, D6.11B and D6.20 as per ID801 Door Schedule as well as basebuild door on grid 3-B on level 6 as per elevations.</t>
  </si>
  <si>
    <t>Column PC Steel Rings to Support Coffer</t>
  </si>
  <si>
    <t>Battening to Columns to take Curveline</t>
  </si>
  <si>
    <t>* Refer scehdule for number of full columns per level for number of columns allowed.</t>
  </si>
  <si>
    <t>Labour Hours to Above</t>
  </si>
  <si>
    <t>*  Allowed for American White Oak Veneer to Doors (closest we could obtain to American White Ash Veneer).</t>
  </si>
  <si>
    <t>Men</t>
  </si>
  <si>
    <t>Day</t>
  </si>
  <si>
    <t>Hours/Week</t>
  </si>
  <si>
    <t>EV Trim Services to Bulkheads</t>
  </si>
  <si>
    <t>1/6.5mm Layer of Curveline Gib to Columns</t>
  </si>
  <si>
    <t>2/6.5mm Layer of Curveline Gib to Coumns (PF-01)</t>
  </si>
  <si>
    <t>*  Allowed 2 layers of 6.5mm Curveline to receive PF-01 to columns.  Balance of columns receiving paint finish we have allowed 1 layer of 6.5mm Curveline Gib.  Refer schedule for allowances.</t>
  </si>
  <si>
    <t>* No allowance for C-06 IlluminatedMembrane, supplied, installed and braced by others.</t>
  </si>
  <si>
    <t>Perimeter Bulkhead Structure - Level 6</t>
  </si>
  <si>
    <t>Level 6 Blind Box Structure</t>
  </si>
  <si>
    <t>64mm x 0.5 Track</t>
  </si>
  <si>
    <t>64mm x 0.75 Vertical Stud @ 600 crs</t>
  </si>
  <si>
    <t>64mm x0.75 Horiz Stud @ 600 crs</t>
  </si>
  <si>
    <t>BC45 to above</t>
  </si>
  <si>
    <t>Hilti M8 x 70mm Embedment Fixing to Above</t>
  </si>
  <si>
    <t>EV Bridging to Purlin Area for Structure</t>
  </si>
  <si>
    <t>* Based on Retentions on a sliding scale basis.</t>
  </si>
  <si>
    <t>64mm x 0.50 Track to Sides</t>
  </si>
  <si>
    <t>Custom Blind Pelmet to Above</t>
  </si>
  <si>
    <t>** Ambitec Installation Lead time currently sit at 6 weeks and subject to change pending accepted work (PF-01).  Manufacture time for PF-02 sits at approximately 6 weeks from sign off of samples.</t>
  </si>
  <si>
    <t xml:space="preserve">* We note most material sizes will not fit within the lift indicated for use. Pricing is based on all materials being lifted/removed via crane or hiab to respective Levels to an access point/loadin platform then through facade. Removal/reinstatement of facade as well as Crane/Hiab of materials up and down, Access point/loadin platform to be provided by main contractor along with any associated Traffic Management costs that may be required.  </t>
  </si>
  <si>
    <t>Craigs Investment Partners - Fitout</t>
  </si>
  <si>
    <t>* We understand all perimeter blind boxes and associated supporting structure to Levels 4, 5 are a basebuild item and have made no allowance.  We have allowed for Blind Box (2mm custom aluminium) and associated structure as per Brevity Detail to Level 6 only within as per NTT 10 item 10.11.  We note Brevitys detail shows ceiling fixing to leg of pelmet.  This detail would need to be reviewed and confirmed by Brevity as suitable to 2mm aluminium.</t>
  </si>
  <si>
    <t>* No allowance for any acoustic or timber backing panels to TB.01.  We understand these are individual battens installed to painted Gib Walls.</t>
  </si>
  <si>
    <t>LED COFFER L6</t>
  </si>
  <si>
    <t>64mm x 0.5 Track top and bottom</t>
  </si>
  <si>
    <t>64mm x 0.75 Horizontal Stud @ 600 crs</t>
  </si>
  <si>
    <t>* D5.12 and 5.13 allowed a per elevation for Door Type 01.  We note description (ID 801) speaks of border with glass panel and this conflicts with door elevations and general elevations.</t>
  </si>
  <si>
    <t>(P-10) Bulkhead Structure - Adjust for ID 502, Detail 6 Coffer Detail</t>
  </si>
  <si>
    <t>(P-20A) Bulkhead Structure - Adjust for ID 502, Detail 6 Coffer Detail</t>
  </si>
  <si>
    <t>(P-23) Bulkhead Structure - Adjust for ID 502, Detail 6 Coffer Detail</t>
  </si>
  <si>
    <t>(P-23A) Bulkhead Structure - Adjust for ID 502, Detail 6 Coffer Detail</t>
  </si>
  <si>
    <t>(P-23S) Bulkhead Structure - Adjust for ID 502, Detail 6 Coffer Detail</t>
  </si>
  <si>
    <t>(P-23AS) Bulkhead Structure - Adjust for ID 502, Detail 6 Coffer Detail</t>
  </si>
  <si>
    <t>Bronze Edge</t>
  </si>
  <si>
    <t>MDF Shadow to Above</t>
  </si>
  <si>
    <t>Structure to Coffer Detail to Central bank of Rooms - Detail 6 ID 502</t>
  </si>
  <si>
    <t>PF-01, Walls to 3.0m - 3.1m</t>
  </si>
  <si>
    <t>(P-23AS) MDF Capping Strip -228mm Wide - Adjust for ID 502, Detail 6 Coffer Detail</t>
  </si>
  <si>
    <t>(P-23AS) 13mm Gib Overlay to Above - Adjust for ID 502, Detail 6 Coffer Detail</t>
  </si>
  <si>
    <t>Adjust for ID 502, Detail 6 Coffer Detail</t>
  </si>
  <si>
    <t>* No allowance for Details 8 on Sheet ID 502 (understand these might be to C-05 soffit although not clear)</t>
  </si>
  <si>
    <t>* PF-01 has been allowed to extend up into Coffer where located on level 6 to middle bank of rooms.</t>
  </si>
  <si>
    <t>* We have removed bulkhead detail to side of partitions P-10, P-20A, extended height of P-23, P-23S, P-23A, P-23AS to accommodate Detail 6 on ID 502 to middle bank of rooms on L6.  New structure as per NTT11 has been included within Suspended Ceiling Trade to Level 6 only to middle bank of rooms.  Refer mark ups attached for further clarification of interpretation of detailing.  This needs to be confirmed prior to acceptance.</t>
  </si>
  <si>
    <t>* No allowance for WP-01 wall finish.</t>
  </si>
  <si>
    <t>* We have allowed for BR-01 skirting and coffer trim to columns as per attached schedule to each floor.  Note we have not allowed to all columns.</t>
  </si>
  <si>
    <t>** Mesh Ceiling Lead Time (C-08 and C-10) Lead time is approximately 12 Weeks from Confirmation of Order if product/quantity required is not in stock.</t>
  </si>
  <si>
    <t>** 10% Deposit on Ambitec Material prior to order.</t>
  </si>
  <si>
    <t>* We have allowed for TB.02 to underside of ceiling with Trackloks picking up to fixing plate above ceiling.  We note Elevation 7 on sheet ID 241 shows TB.02 to circa 2.7m.  We believe this is not correct and intention is to underside of ceiling 2.9m so that Trackloks are concealed behind ceiling and not visible (as seen in Brevity Design Detail).</t>
  </si>
  <si>
    <t>* TB-01 to adjoining walls has been extended up into Coffer on Level 6, Detail 6 on ID502.  We have not allowed for it over doors and windows, understand this will be painted up into the coffer and TB-01 will start and stop either side of windows and doors.</t>
  </si>
  <si>
    <t>* We note lack of detail to all door jambs and heads and in particular expectation around Door Type 01.  We attached sketches allowed for.  Further detailing needs to be provided and agreed prior to acceptance.</t>
  </si>
  <si>
    <t xml:space="preserve">* No allowance to supply and install ceilings C-01A and C-01B and associated insulation above, by others. </t>
  </si>
  <si>
    <t>* D6.03 Board Room Potters Sliding Unit has been allowed as top hung.  Not slider build up is wider then that of the P-12 units at either end.  This detailing needs to be confirmed as acceptable.</t>
  </si>
  <si>
    <t>* No allowance for ASL insulation.  Scope and location unknown.</t>
  </si>
  <si>
    <t>* TB-01 has been allowed as 30 x 30 Square Finish Batten Profile at 30mm Gaps in American White Ash.</t>
  </si>
  <si>
    <t>* TB-02 has been allowed  as 140 x 42 Square Finish Batten Profile at 200mm Centres in American White Ash.</t>
  </si>
  <si>
    <t>Ceiling Access Hatches - Plasterboard (Supply &amp; Install)</t>
  </si>
  <si>
    <t xml:space="preserve">530 x 530 Set Bead Ceiling Hatches </t>
  </si>
  <si>
    <t>500 x 500 Hard Edge Hatch to Above</t>
  </si>
  <si>
    <t>Ceiling Access Hatches - Decorative or Perforated (Supply &amp; Install)</t>
  </si>
  <si>
    <t>Suspended Ceiling &amp; Tiles (Supply &amp; Install)</t>
  </si>
  <si>
    <t>Plasterboard Ceiling (Supply &amp; Install)</t>
  </si>
  <si>
    <t>13mm Standard Includes Stopping Level 4</t>
  </si>
  <si>
    <t>13mm Noiseline Includes Stopping Level 4</t>
  </si>
  <si>
    <t>Tagged out of C-01A and C-01B, Mesh and Grid is bespoke so difficult to provide a m2</t>
  </si>
  <si>
    <t>NOTES:</t>
  </si>
  <si>
    <t>Plus GST</t>
  </si>
  <si>
    <t>13mm Noiseline Includes Stopping Level 4 including grid @ 600 crs</t>
  </si>
  <si>
    <t>13mm Standard Includes Stopping Level 4 including grid @ 600 crs</t>
  </si>
  <si>
    <t>PF-01 Plaster System</t>
  </si>
  <si>
    <t>each</t>
  </si>
  <si>
    <r>
      <t>Standard Tile Grid (</t>
    </r>
    <r>
      <rPr>
        <u/>
        <sz val="10"/>
        <rFont val="Arial"/>
        <family val="2"/>
      </rPr>
      <t>Circa Rate</t>
    </r>
    <r>
      <rPr>
        <sz val="10"/>
        <rFont val="Arial"/>
        <family val="2"/>
      </rPr>
      <t>, no specific seismic allowances)</t>
    </r>
  </si>
  <si>
    <r>
      <rPr>
        <u/>
        <sz val="10"/>
        <rFont val="Arial"/>
        <family val="2"/>
      </rPr>
      <t>Circa Rate</t>
    </r>
    <r>
      <rPr>
        <sz val="10"/>
        <rFont val="Arial"/>
        <family val="2"/>
      </rPr>
      <t xml:space="preserve"> Plaster System Only (excludes substrate)</t>
    </r>
  </si>
  <si>
    <t>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</si>
</sst>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Red]\-&quot;$&quot;#,##0"/>
    <numFmt numFmtId="7" formatCode="&quot;$&quot;#,##0.00;\-&quot;$&quot;#,##0.00"/>
    <numFmt numFmtId="8" formatCode="&quot;$&quot;#,##0.00;[Red]\-&quot;$&quot;#,##0.00"/>
    <numFmt numFmtId="44" formatCode="_-&quot;$&quot;* #,##0.00_-;\-&quot;$&quot;* #,##0.00_-;_-&quot;$&quot;* &quot;-&quot;??_-;_-@_-"/>
    <numFmt numFmtId="43" formatCode="_-* #,##0.00_-;\-* #,##0.00_-;_-* &quot;-&quot;??_-;_-@_-"/>
    <numFmt numFmtId="170" formatCode="_(&quot;$&quot;* #,##0.00_);_(&quot;$&quot;* \(#,##0.00\);_(&quot;$&quot;* &quot;-&quot;??_);_(@_)"/>
    <numFmt numFmtId="171" formatCode="_(* #,##0.00_);_(* \(#,##0.00\);_(* &quot;-&quot;??_);_(@_)"/>
    <numFmt numFmtId="172" formatCode="0.00_)"/>
    <numFmt numFmtId="173" formatCode="0.0"/>
    <numFmt numFmtId="174" formatCode="&quot;$&quot;#,##0.00"/>
    <numFmt numFmtId="186" formatCode="_(* #,##0_);_(* \(#,##0\);_(* &quot;-&quot;??_);_(@_)"/>
    <numFmt numFmtId="188" formatCode="_(&quot;$&quot;* #,##0_);_(&quot;$&quot;* \(#,##0\);_(&quot;$&quot;* &quot;-&quot;??_);_(@_)"/>
    <numFmt numFmtId="190" formatCode="0.0%"/>
    <numFmt numFmtId="196" formatCode="0.00_]"/>
    <numFmt numFmtId="201" formatCode="#,##0.0;\-#,##0.0"/>
    <numFmt numFmtId="212" formatCode="#,##0.00_ ;\-#,##0.00\ "/>
    <numFmt numFmtId="215" formatCode="_-&quot;$&quot;* #,##0_-;\-&quot;$&quot;* #,##0_-;_-&quot;$&quot;* &quot;-&quot;??_-;_-@_-"/>
    <numFmt numFmtId="216" formatCode="_-* #,##0_-;\-* #,##0_-;_-* &quot;-&quot;??_-;_-@_-"/>
    <numFmt numFmtId="219" formatCode="&quot;$&quot;#,##0.000;[Red]\-&quot;$&quot;#,##0.000"/>
    <numFmt numFmtId="220" formatCode="&quot;$&quot;#,##0.0"/>
    <numFmt numFmtId="222" formatCode="&quot;$&quot;#,##0.000"/>
  </numFmts>
  <fonts count="52" x14ac:knownFonts="1">
    <font>
      <sz val="10"/>
      <name val="Arial"/>
    </font>
    <font>
      <sz val="10"/>
      <name val="Arial"/>
    </font>
    <font>
      <sz val="10"/>
      <name val="Arial"/>
      <family val="2"/>
    </font>
    <font>
      <b/>
      <sz val="12"/>
      <name val="Arial"/>
      <family val="2"/>
    </font>
    <font>
      <b/>
      <sz val="10"/>
      <name val="Arial"/>
      <family val="2"/>
    </font>
    <font>
      <sz val="8"/>
      <name val="Arial"/>
      <family val="2"/>
    </font>
    <font>
      <sz val="10"/>
      <name val="Arial"/>
      <family val="2"/>
    </font>
    <font>
      <u/>
      <sz val="11"/>
      <color indexed="12"/>
      <name val="Calibri"/>
      <family val="2"/>
    </font>
    <font>
      <sz val="10"/>
      <name val="Arial"/>
      <family val="2"/>
    </font>
    <font>
      <b/>
      <sz val="12"/>
      <name val="Arial"/>
      <family val="2"/>
    </font>
    <font>
      <sz val="10"/>
      <name val="Arial"/>
      <family val="2"/>
    </font>
    <font>
      <b/>
      <sz val="10"/>
      <name val="Arial"/>
      <family val="2"/>
    </font>
    <font>
      <sz val="12"/>
      <name val="Arial"/>
      <family val="2"/>
    </font>
    <font>
      <sz val="10"/>
      <name val="Arial"/>
      <family val="2"/>
    </font>
    <font>
      <sz val="10"/>
      <name val="Arial"/>
      <family val="2"/>
    </font>
    <font>
      <b/>
      <sz val="10"/>
      <name val="Arial"/>
      <family val="2"/>
    </font>
    <font>
      <sz val="24"/>
      <name val="Arial"/>
      <family val="2"/>
    </font>
    <font>
      <sz val="11"/>
      <name val="Arial"/>
      <family val="2"/>
    </font>
    <font>
      <b/>
      <sz val="11"/>
      <name val="Arial"/>
      <family val="2"/>
    </font>
    <font>
      <sz val="10"/>
      <name val="Arial"/>
      <family val="2"/>
    </font>
    <font>
      <sz val="10"/>
      <name val="Arial"/>
      <family val="2"/>
    </font>
    <font>
      <b/>
      <u/>
      <sz val="12"/>
      <name val="Arial"/>
      <family val="2"/>
    </font>
    <font>
      <i/>
      <sz val="10"/>
      <name val="Arial"/>
      <family val="2"/>
    </font>
    <font>
      <b/>
      <u/>
      <sz val="10"/>
      <name val="Arial"/>
      <family val="2"/>
    </font>
    <font>
      <u/>
      <sz val="10"/>
      <name val="Arial"/>
      <family val="2"/>
    </font>
    <font>
      <b/>
      <sz val="9"/>
      <color indexed="81"/>
      <name val="Tahoma"/>
      <family val="2"/>
    </font>
    <font>
      <sz val="10"/>
      <color indexed="10"/>
      <name val="Arial"/>
      <family val="2"/>
    </font>
    <font>
      <sz val="14"/>
      <name val="Arial"/>
      <family val="2"/>
    </font>
    <font>
      <u/>
      <sz val="10"/>
      <name val="Times New Roman"/>
      <family val="1"/>
    </font>
    <font>
      <b/>
      <sz val="10"/>
      <name val="Times New Roman"/>
      <family val="1"/>
    </font>
    <font>
      <b/>
      <u/>
      <sz val="10"/>
      <name val="Times New Roman"/>
      <family val="1"/>
    </font>
    <font>
      <strike/>
      <sz val="10"/>
      <name val="Arial"/>
      <family val="2"/>
    </font>
    <font>
      <sz val="10"/>
      <name val="Avenir Next LT Pro"/>
      <family val="2"/>
    </font>
    <font>
      <sz val="11"/>
      <name val="Avenir Next LT Pro"/>
      <family val="2"/>
    </font>
    <font>
      <sz val="11"/>
      <color theme="1"/>
      <name val="Calibri"/>
      <family val="2"/>
      <scheme val="minor"/>
    </font>
    <font>
      <b/>
      <sz val="11"/>
      <color theme="1"/>
      <name val="Calibri"/>
      <family val="2"/>
      <scheme val="minor"/>
    </font>
    <font>
      <sz val="10"/>
      <color rgb="FFFF0000"/>
      <name val="Arial"/>
      <family val="2"/>
    </font>
    <font>
      <sz val="10"/>
      <color rgb="FF0070C0"/>
      <name val="Arial"/>
      <family val="2"/>
    </font>
    <font>
      <b/>
      <sz val="10"/>
      <color rgb="FF0070C0"/>
      <name val="Arial"/>
      <family val="2"/>
    </font>
    <font>
      <sz val="10"/>
      <color rgb="FF002060"/>
      <name val="Arial"/>
      <family val="2"/>
    </font>
    <font>
      <b/>
      <u/>
      <sz val="12"/>
      <color rgb="FFFF0000"/>
      <name val="Arial"/>
      <family val="2"/>
    </font>
    <font>
      <u/>
      <sz val="10"/>
      <color rgb="FFFF0000"/>
      <name val="Arial"/>
      <family val="2"/>
    </font>
    <font>
      <b/>
      <u/>
      <sz val="11"/>
      <color theme="1"/>
      <name val="Calibri"/>
      <family val="2"/>
      <scheme val="minor"/>
    </font>
    <font>
      <sz val="11"/>
      <name val="Calibri"/>
      <family val="2"/>
      <scheme val="minor"/>
    </font>
    <font>
      <b/>
      <u/>
      <sz val="10"/>
      <color rgb="FF00B050"/>
      <name val="Arial"/>
      <family val="2"/>
    </font>
    <font>
      <b/>
      <sz val="11"/>
      <color rgb="FFFF0000"/>
      <name val="Calibri"/>
      <family val="2"/>
      <scheme val="minor"/>
    </font>
    <font>
      <b/>
      <sz val="10"/>
      <color rgb="FFFF0000"/>
      <name val="Arial"/>
      <family val="2"/>
    </font>
    <font>
      <u/>
      <sz val="11"/>
      <color theme="1"/>
      <name val="Calibri"/>
      <family val="2"/>
      <scheme val="minor"/>
    </font>
    <font>
      <sz val="10"/>
      <color theme="1"/>
      <name val="Arial"/>
      <family val="2"/>
    </font>
    <font>
      <sz val="11"/>
      <color theme="1"/>
      <name val="Arial"/>
      <family val="2"/>
    </font>
    <font>
      <sz val="11"/>
      <color rgb="FFFF0000"/>
      <name val="Arial"/>
      <family val="2"/>
    </font>
    <font>
      <b/>
      <sz val="10"/>
      <color rgb="FF002060"/>
      <name val="Arial"/>
      <family val="2"/>
    </font>
  </fonts>
  <fills count="21">
    <fill>
      <patternFill patternType="none"/>
    </fill>
    <fill>
      <patternFill patternType="gray125"/>
    </fill>
    <fill>
      <patternFill patternType="solid">
        <fgColor indexed="13"/>
        <bgColor indexed="64"/>
      </patternFill>
    </fill>
    <fill>
      <patternFill patternType="solid">
        <fgColor indexed="40"/>
        <bgColor indexed="64"/>
      </patternFill>
    </fill>
    <fill>
      <patternFill patternType="solid">
        <fgColor indexed="53"/>
        <bgColor indexed="64"/>
      </patternFill>
    </fill>
    <fill>
      <patternFill patternType="solid">
        <fgColor rgb="FFFFFF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
      <patternFill patternType="solid">
        <fgColor theme="6" tint="0.59999389629810485"/>
        <bgColor indexed="64"/>
      </patternFill>
    </fill>
    <fill>
      <patternFill patternType="solid">
        <fgColor theme="4" tint="0.79998168889431442"/>
        <bgColor indexed="64"/>
      </patternFill>
    </fill>
  </fills>
  <borders count="44">
    <border>
      <left/>
      <right/>
      <top/>
      <bottom/>
      <diagonal/>
    </border>
    <border>
      <left/>
      <right/>
      <top style="thin">
        <color indexed="64"/>
      </top>
      <bottom/>
      <diagonal/>
    </border>
    <border>
      <left/>
      <right/>
      <top/>
      <bottom style="medium">
        <color indexed="64"/>
      </bottom>
      <diagonal/>
    </border>
    <border>
      <left/>
      <right/>
      <top/>
      <bottom style="thin">
        <color indexed="64"/>
      </bottom>
      <diagonal/>
    </border>
    <border>
      <left style="thin">
        <color indexed="8"/>
      </left>
      <right/>
      <top/>
      <bottom/>
      <diagonal/>
    </border>
    <border>
      <left style="thin">
        <color indexed="8"/>
      </left>
      <right/>
      <top style="thin">
        <color indexed="64"/>
      </top>
      <bottom/>
      <diagonal/>
    </border>
    <border>
      <left style="thin">
        <color indexed="8"/>
      </left>
      <right/>
      <top/>
      <bottom style="thin">
        <color indexed="64"/>
      </bottom>
      <diagonal/>
    </border>
    <border>
      <left style="thin">
        <color indexed="8"/>
      </left>
      <right/>
      <top/>
      <bottom style="thin">
        <color indexed="8"/>
      </bottom>
      <diagonal/>
    </border>
    <border>
      <left/>
      <right/>
      <top/>
      <bottom style="thin">
        <color indexed="8"/>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top style="thin">
        <color indexed="64"/>
      </top>
      <bottom style="thin">
        <color indexed="64"/>
      </bottom>
      <diagonal/>
    </border>
    <border>
      <left style="thin">
        <color indexed="64"/>
      </left>
      <right/>
      <top/>
      <bottom/>
      <diagonal/>
    </border>
    <border>
      <left style="thin">
        <color indexed="8"/>
      </left>
      <right style="thin">
        <color indexed="8"/>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64"/>
      </top>
      <bottom/>
      <diagonal/>
    </border>
    <border>
      <left style="thin">
        <color indexed="64"/>
      </left>
      <right style="thin">
        <color indexed="8"/>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style="thin">
        <color indexed="8"/>
      </left>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hair">
        <color indexed="64"/>
      </right>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s>
  <cellStyleXfs count="23">
    <xf numFmtId="0" fontId="0" fillId="0" borderId="0"/>
    <xf numFmtId="171" fontId="2" fillId="0" borderId="0" applyFont="0" applyFill="0" applyBorder="0" applyAlignment="0" applyProtection="0"/>
    <xf numFmtId="171" fontId="2" fillId="0" borderId="0" applyFont="0" applyFill="0" applyBorder="0" applyAlignment="0" applyProtection="0"/>
    <xf numFmtId="171" fontId="19" fillId="0" borderId="0" applyFont="0" applyFill="0" applyBorder="0" applyAlignment="0" applyProtection="0"/>
    <xf numFmtId="170" fontId="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4" fontId="2" fillId="0" borderId="0" applyFont="0" applyFill="0" applyBorder="0" applyAlignment="0" applyProtection="0"/>
    <xf numFmtId="170" fontId="6"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4" fontId="2" fillId="0" borderId="0" applyFont="0" applyFill="0" applyBorder="0" applyAlignment="0" applyProtection="0"/>
    <xf numFmtId="0" fontId="7" fillId="0" borderId="0" applyNumberFormat="0" applyFill="0" applyBorder="0" applyAlignment="0" applyProtection="0">
      <alignment vertical="top"/>
      <protection locked="0"/>
    </xf>
    <xf numFmtId="0" fontId="2" fillId="0" borderId="0"/>
    <xf numFmtId="0" fontId="2" fillId="0" borderId="0"/>
    <xf numFmtId="0" fontId="2" fillId="0" borderId="0"/>
    <xf numFmtId="0" fontId="34" fillId="0" borderId="0"/>
    <xf numFmtId="0" fontId="2" fillId="0" borderId="0"/>
    <xf numFmtId="0" fontId="2" fillId="0" borderId="0"/>
    <xf numFmtId="9" fontId="1"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cellStyleXfs>
  <cellXfs count="686">
    <xf numFmtId="0" fontId="0" fillId="0" borderId="0" xfId="0"/>
    <xf numFmtId="0" fontId="2" fillId="0" borderId="0" xfId="0" applyFont="1" applyAlignment="1">
      <alignment horizontal="left" vertical="top" wrapText="1"/>
    </xf>
    <xf numFmtId="0" fontId="8" fillId="0" borderId="0" xfId="0" applyFont="1" applyAlignment="1">
      <alignment horizontal="center" vertical="top"/>
    </xf>
    <xf numFmtId="0" fontId="9" fillId="0" borderId="0" xfId="0" applyFont="1" applyAlignment="1">
      <alignment horizontal="left" vertical="top"/>
    </xf>
    <xf numFmtId="37" fontId="8" fillId="0" borderId="0" xfId="0" applyNumberFormat="1" applyFont="1" applyAlignment="1">
      <alignment horizontal="center" vertical="top"/>
    </xf>
    <xf numFmtId="0" fontId="10" fillId="0" borderId="0" xfId="0" applyFont="1"/>
    <xf numFmtId="14" fontId="9" fillId="0" borderId="0" xfId="0" applyNumberFormat="1" applyFont="1" applyAlignment="1">
      <alignment horizontal="left" vertical="top"/>
    </xf>
    <xf numFmtId="0" fontId="11" fillId="0" borderId="0" xfId="0" applyFont="1" applyAlignment="1">
      <alignment horizontal="left" vertical="top" wrapText="1"/>
    </xf>
    <xf numFmtId="0" fontId="9" fillId="0" borderId="0" xfId="0" applyFont="1"/>
    <xf numFmtId="0" fontId="10" fillId="0" borderId="1" xfId="0" applyFont="1" applyBorder="1"/>
    <xf numFmtId="170" fontId="9" fillId="0" borderId="0" xfId="4" applyFont="1"/>
    <xf numFmtId="170" fontId="12" fillId="0" borderId="2" xfId="4" applyFont="1" applyBorder="1"/>
    <xf numFmtId="0" fontId="3" fillId="0" borderId="0" xfId="0" applyFont="1" applyAlignment="1">
      <alignment horizontal="left" vertical="top"/>
    </xf>
    <xf numFmtId="0" fontId="13" fillId="0" borderId="0" xfId="0" applyFont="1" applyAlignment="1">
      <alignment vertical="top"/>
    </xf>
    <xf numFmtId="0" fontId="13" fillId="0" borderId="0" xfId="0" applyFont="1"/>
    <xf numFmtId="0" fontId="14" fillId="0" borderId="0" xfId="0" applyFont="1" applyAlignment="1">
      <alignment horizontal="center" vertical="top"/>
    </xf>
    <xf numFmtId="37" fontId="14" fillId="0" borderId="0" xfId="0" applyNumberFormat="1" applyFont="1" applyAlignment="1">
      <alignment horizontal="center" vertical="top"/>
    </xf>
    <xf numFmtId="170" fontId="14" fillId="0" borderId="0" xfId="9" applyFont="1" applyAlignment="1">
      <alignment horizontal="right" vertical="top"/>
    </xf>
    <xf numFmtId="4" fontId="13" fillId="0" borderId="0" xfId="0" applyNumberFormat="1" applyFont="1"/>
    <xf numFmtId="0" fontId="14" fillId="0" borderId="0" xfId="0" applyFont="1" applyAlignment="1">
      <alignment vertical="top"/>
    </xf>
    <xf numFmtId="49" fontId="14" fillId="0" borderId="0" xfId="0" applyNumberFormat="1" applyFont="1" applyAlignment="1">
      <alignment vertical="top"/>
    </xf>
    <xf numFmtId="0" fontId="15" fillId="0" borderId="3" xfId="0" applyFont="1" applyBorder="1" applyAlignment="1">
      <alignment vertical="top"/>
    </xf>
    <xf numFmtId="49" fontId="15" fillId="0" borderId="3" xfId="0" applyNumberFormat="1" applyFont="1" applyBorder="1" applyAlignment="1">
      <alignment vertical="top"/>
    </xf>
    <xf numFmtId="0" fontId="14" fillId="0" borderId="0" xfId="0" applyFont="1" applyAlignment="1">
      <alignment textRotation="90"/>
    </xf>
    <xf numFmtId="37" fontId="14" fillId="0" borderId="4" xfId="0" applyNumberFormat="1" applyFont="1" applyBorder="1" applyAlignment="1">
      <alignment horizontal="center" vertical="top"/>
    </xf>
    <xf numFmtId="39" fontId="14" fillId="0" borderId="4" xfId="0" applyNumberFormat="1" applyFont="1" applyBorder="1" applyAlignment="1">
      <alignment horizontal="center" vertical="top"/>
    </xf>
    <xf numFmtId="170" fontId="14" fillId="0" borderId="4" xfId="9" applyFont="1" applyBorder="1" applyAlignment="1">
      <alignment horizontal="right" vertical="top"/>
    </xf>
    <xf numFmtId="44" fontId="13" fillId="0" borderId="0" xfId="0" applyNumberFormat="1" applyFont="1"/>
    <xf numFmtId="0" fontId="14" fillId="0" borderId="0" xfId="0" applyFont="1" applyAlignment="1" applyProtection="1">
      <alignment vertical="top" wrapText="1"/>
      <protection locked="0"/>
    </xf>
    <xf numFmtId="0" fontId="36" fillId="0" borderId="0" xfId="0" applyFont="1" applyAlignment="1">
      <alignment horizontal="center" vertical="top"/>
    </xf>
    <xf numFmtId="0" fontId="14" fillId="5" borderId="0" xfId="0" applyFont="1" applyFill="1" applyAlignment="1">
      <alignment horizontal="center" vertical="top"/>
    </xf>
    <xf numFmtId="0" fontId="14" fillId="5" borderId="0" xfId="0" applyFont="1" applyFill="1" applyAlignment="1" applyProtection="1">
      <alignment vertical="top" wrapText="1"/>
      <protection locked="0"/>
    </xf>
    <xf numFmtId="37" fontId="14" fillId="5" borderId="4" xfId="0" applyNumberFormat="1" applyFont="1" applyFill="1" applyBorder="1" applyAlignment="1">
      <alignment horizontal="center" vertical="top"/>
    </xf>
    <xf numFmtId="39" fontId="14" fillId="5" borderId="4" xfId="0" applyNumberFormat="1" applyFont="1" applyFill="1" applyBorder="1" applyAlignment="1">
      <alignment horizontal="center" vertical="top"/>
    </xf>
    <xf numFmtId="170" fontId="14" fillId="0" borderId="4" xfId="5" applyFont="1" applyBorder="1" applyAlignment="1">
      <alignment horizontal="right" vertical="top"/>
    </xf>
    <xf numFmtId="0" fontId="15" fillId="0" borderId="0" xfId="0" applyFont="1" applyAlignment="1">
      <alignment vertical="top" wrapText="1"/>
    </xf>
    <xf numFmtId="0" fontId="14" fillId="0" borderId="4" xfId="0" applyFont="1" applyBorder="1" applyAlignment="1">
      <alignment horizontal="center" vertical="top"/>
    </xf>
    <xf numFmtId="0" fontId="14" fillId="0" borderId="0" xfId="0" applyFont="1" applyAlignment="1">
      <alignment vertical="top" wrapText="1"/>
    </xf>
    <xf numFmtId="0" fontId="13" fillId="0" borderId="0" xfId="0" applyFont="1" applyAlignment="1">
      <alignment horizontal="center" vertical="top"/>
    </xf>
    <xf numFmtId="0" fontId="14" fillId="0" borderId="0" xfId="14" applyFont="1" applyAlignment="1">
      <alignment vertical="top"/>
    </xf>
    <xf numFmtId="37" fontId="14" fillId="0" borderId="4" xfId="14" applyNumberFormat="1" applyFont="1" applyBorder="1" applyAlignment="1">
      <alignment horizontal="center" vertical="top"/>
    </xf>
    <xf numFmtId="0" fontId="14" fillId="0" borderId="4" xfId="14" applyFont="1" applyBorder="1" applyAlignment="1">
      <alignment horizontal="center" vertical="top"/>
    </xf>
    <xf numFmtId="0" fontId="14" fillId="0" borderId="0" xfId="14" applyFont="1"/>
    <xf numFmtId="0" fontId="14" fillId="0" borderId="1" xfId="0" applyFont="1" applyBorder="1" applyAlignment="1">
      <alignment horizontal="center" vertical="top"/>
    </xf>
    <xf numFmtId="0" fontId="14" fillId="0" borderId="1" xfId="0" applyFont="1" applyBorder="1" applyAlignment="1">
      <alignment vertical="top"/>
    </xf>
    <xf numFmtId="37" fontId="14" fillId="0" borderId="5" xfId="0" applyNumberFormat="1" applyFont="1" applyBorder="1" applyAlignment="1">
      <alignment horizontal="center" vertical="top"/>
    </xf>
    <xf numFmtId="0" fontId="14" fillId="0" borderId="5" xfId="0" applyFont="1" applyBorder="1" applyAlignment="1">
      <alignment horizontal="center" vertical="top"/>
    </xf>
    <xf numFmtId="172" fontId="13" fillId="0" borderId="3" xfId="0" applyNumberFormat="1" applyFont="1" applyBorder="1" applyAlignment="1">
      <alignment vertical="top"/>
    </xf>
    <xf numFmtId="0" fontId="14" fillId="0" borderId="3" xfId="0" applyFont="1" applyBorder="1" applyAlignment="1">
      <alignment horizontal="left" vertical="top"/>
    </xf>
    <xf numFmtId="0" fontId="14" fillId="0" borderId="6" xfId="0" applyFont="1" applyBorder="1" applyAlignment="1">
      <alignment horizontal="center" vertical="top"/>
    </xf>
    <xf numFmtId="0" fontId="16" fillId="0" borderId="3" xfId="0" applyFont="1" applyBorder="1" applyAlignment="1">
      <alignment horizontal="center" vertical="top"/>
    </xf>
    <xf numFmtId="37" fontId="14" fillId="0" borderId="7" xfId="0" applyNumberFormat="1" applyFont="1" applyBorder="1" applyAlignment="1">
      <alignment horizontal="center" vertical="top"/>
    </xf>
    <xf numFmtId="0" fontId="14" fillId="0" borderId="7" xfId="0" applyFont="1" applyBorder="1" applyAlignment="1">
      <alignment horizontal="center" vertical="top"/>
    </xf>
    <xf numFmtId="170" fontId="14" fillId="0" borderId="0" xfId="9" applyFont="1"/>
    <xf numFmtId="174" fontId="4" fillId="0" borderId="0" xfId="0" applyNumberFormat="1" applyFont="1"/>
    <xf numFmtId="0" fontId="3" fillId="0" borderId="0" xfId="0" applyFont="1" applyAlignment="1">
      <alignment horizontal="left" vertical="top" wrapText="1"/>
    </xf>
    <xf numFmtId="0" fontId="4" fillId="0" borderId="8" xfId="0" applyFont="1" applyBorder="1" applyAlignment="1">
      <alignment horizontal="left" vertical="top" wrapText="1"/>
    </xf>
    <xf numFmtId="0" fontId="2" fillId="0" borderId="0" xfId="0" applyFont="1" applyAlignment="1">
      <alignment horizontal="center" vertical="top"/>
    </xf>
    <xf numFmtId="0" fontId="37" fillId="0" borderId="0" xfId="0" applyFont="1"/>
    <xf numFmtId="44" fontId="0" fillId="0" borderId="0" xfId="0" applyNumberFormat="1"/>
    <xf numFmtId="174" fontId="13" fillId="0" borderId="0" xfId="0" applyNumberFormat="1" applyFont="1"/>
    <xf numFmtId="174" fontId="2" fillId="0" borderId="0" xfId="0" applyNumberFormat="1" applyFont="1"/>
    <xf numFmtId="170" fontId="9" fillId="0" borderId="0" xfId="5" applyFont="1" applyAlignment="1">
      <alignment vertical="top"/>
    </xf>
    <xf numFmtId="0" fontId="17" fillId="0" borderId="0" xfId="0" applyFont="1" applyAlignment="1">
      <alignment horizontal="centerContinuous" vertical="top"/>
    </xf>
    <xf numFmtId="0" fontId="0" fillId="0" borderId="9" xfId="0" applyBorder="1" applyAlignment="1">
      <alignment horizontal="center" vertical="top"/>
    </xf>
    <xf numFmtId="212" fontId="0" fillId="0" borderId="0" xfId="0" applyNumberFormat="1"/>
    <xf numFmtId="174" fontId="36" fillId="0" borderId="0" xfId="0" applyNumberFormat="1" applyFont="1"/>
    <xf numFmtId="170" fontId="3" fillId="0" borderId="0" xfId="5" applyFont="1" applyAlignment="1">
      <alignment vertical="top"/>
    </xf>
    <xf numFmtId="170" fontId="14" fillId="5" borderId="4" xfId="9" applyFont="1" applyFill="1" applyBorder="1" applyAlignment="1">
      <alignment horizontal="right" vertical="top"/>
    </xf>
    <xf numFmtId="170" fontId="14" fillId="0" borderId="10" xfId="9" applyFont="1" applyBorder="1" applyAlignment="1">
      <alignment horizontal="right" vertical="top"/>
    </xf>
    <xf numFmtId="170" fontId="14" fillId="0" borderId="6" xfId="9" applyFont="1" applyBorder="1" applyAlignment="1">
      <alignment horizontal="right" vertical="top"/>
    </xf>
    <xf numFmtId="170" fontId="14" fillId="0" borderId="11" xfId="9" applyFont="1" applyBorder="1" applyAlignment="1">
      <alignment horizontal="right" vertical="top"/>
    </xf>
    <xf numFmtId="0" fontId="2" fillId="0" borderId="0" xfId="0" applyFont="1"/>
    <xf numFmtId="174" fontId="10" fillId="0" borderId="0" xfId="0" applyNumberFormat="1" applyFont="1"/>
    <xf numFmtId="0" fontId="17" fillId="0" borderId="0" xfId="14" applyFont="1"/>
    <xf numFmtId="0" fontId="2" fillId="0" borderId="12" xfId="0" applyFont="1" applyBorder="1" applyAlignment="1">
      <alignment horizontal="center" vertical="top"/>
    </xf>
    <xf numFmtId="0" fontId="4" fillId="0" borderId="13" xfId="0" applyFont="1" applyBorder="1" applyAlignment="1">
      <alignment horizontal="center" textRotation="90" wrapText="1"/>
    </xf>
    <xf numFmtId="4" fontId="4" fillId="0" borderId="13" xfId="0" applyNumberFormat="1" applyFont="1" applyBorder="1" applyAlignment="1">
      <alignment horizontal="center" textRotation="90" wrapText="1"/>
    </xf>
    <xf numFmtId="44" fontId="14" fillId="5" borderId="4" xfId="0" applyNumberFormat="1" applyFont="1" applyFill="1" applyBorder="1" applyAlignment="1">
      <alignment horizontal="center" vertical="top"/>
    </xf>
    <xf numFmtId="190" fontId="14" fillId="0" borderId="4" xfId="0" applyNumberFormat="1" applyFont="1" applyBorder="1" applyAlignment="1">
      <alignment horizontal="center" vertical="top"/>
    </xf>
    <xf numFmtId="0" fontId="2" fillId="0" borderId="0" xfId="14" applyAlignment="1">
      <alignment vertical="top"/>
    </xf>
    <xf numFmtId="37" fontId="2" fillId="0" borderId="4" xfId="14" applyNumberFormat="1" applyBorder="1" applyAlignment="1">
      <alignment horizontal="center" vertical="top"/>
    </xf>
    <xf numFmtId="0" fontId="2" fillId="0" borderId="4" xfId="14" applyBorder="1" applyAlignment="1">
      <alignment horizontal="center" vertical="top"/>
    </xf>
    <xf numFmtId="190" fontId="2" fillId="0" borderId="4" xfId="0" applyNumberFormat="1" applyFont="1" applyBorder="1" applyAlignment="1">
      <alignment horizontal="center" vertical="top"/>
    </xf>
    <xf numFmtId="44" fontId="14" fillId="0" borderId="4" xfId="9" applyNumberFormat="1" applyFont="1" applyBorder="1" applyAlignment="1">
      <alignment horizontal="right" vertical="top"/>
    </xf>
    <xf numFmtId="170" fontId="2" fillId="0" borderId="4" xfId="5" applyBorder="1" applyAlignment="1">
      <alignment horizontal="right" vertical="top"/>
    </xf>
    <xf numFmtId="44" fontId="38" fillId="5" borderId="4" xfId="0" applyNumberFormat="1" applyFont="1" applyFill="1" applyBorder="1" applyAlignment="1">
      <alignment horizontal="center" vertical="top"/>
    </xf>
    <xf numFmtId="190" fontId="3" fillId="0" borderId="0" xfId="5" applyNumberFormat="1" applyFont="1" applyAlignment="1">
      <alignment horizontal="center" vertical="top"/>
    </xf>
    <xf numFmtId="0" fontId="17" fillId="0" borderId="0" xfId="0" applyFont="1"/>
    <xf numFmtId="0" fontId="18" fillId="0" borderId="0" xfId="0" applyFont="1"/>
    <xf numFmtId="170" fontId="18" fillId="0" borderId="0" xfId="0" applyNumberFormat="1" applyFont="1"/>
    <xf numFmtId="0" fontId="17" fillId="0" borderId="0" xfId="14" applyFont="1" applyAlignment="1">
      <alignment vertical="top"/>
    </xf>
    <xf numFmtId="9" fontId="13" fillId="0" borderId="0" xfId="20" applyFont="1" applyAlignment="1">
      <alignment horizontal="right"/>
    </xf>
    <xf numFmtId="9" fontId="14" fillId="0" borderId="0" xfId="20" applyFont="1" applyAlignment="1">
      <alignment horizontal="right" vertical="top"/>
    </xf>
    <xf numFmtId="9" fontId="13" fillId="5" borderId="9" xfId="20" applyFont="1" applyFill="1" applyBorder="1" applyAlignment="1">
      <alignment horizontal="right"/>
    </xf>
    <xf numFmtId="9" fontId="14" fillId="0" borderId="9" xfId="20" applyFont="1" applyBorder="1" applyAlignment="1">
      <alignment horizontal="right" vertical="top"/>
    </xf>
    <xf numFmtId="9" fontId="14" fillId="0" borderId="0" xfId="20" applyFont="1" applyAlignment="1">
      <alignment horizontal="right"/>
    </xf>
    <xf numFmtId="0" fontId="15" fillId="0" borderId="6" xfId="0" applyFont="1" applyBorder="1" applyAlignment="1">
      <alignment horizontal="center"/>
    </xf>
    <xf numFmtId="170" fontId="15" fillId="0" borderId="6" xfId="9" applyFont="1" applyBorder="1" applyAlignment="1">
      <alignment horizontal="center"/>
    </xf>
    <xf numFmtId="9" fontId="38" fillId="0" borderId="14" xfId="20" applyFont="1" applyBorder="1" applyAlignment="1">
      <alignment horizontal="right" textRotation="90" wrapText="1"/>
    </xf>
    <xf numFmtId="9" fontId="37" fillId="0" borderId="9" xfId="20" applyFont="1" applyBorder="1" applyAlignment="1">
      <alignment horizontal="right"/>
    </xf>
    <xf numFmtId="9" fontId="14" fillId="0" borderId="15" xfId="20" applyFont="1" applyBorder="1" applyAlignment="1">
      <alignment horizontal="right" vertical="top"/>
    </xf>
    <xf numFmtId="170" fontId="38" fillId="0" borderId="14" xfId="9" applyFont="1" applyBorder="1"/>
    <xf numFmtId="170" fontId="37" fillId="0" borderId="9" xfId="9" applyFont="1" applyBorder="1"/>
    <xf numFmtId="170" fontId="14" fillId="5" borderId="9" xfId="9" applyFont="1" applyFill="1" applyBorder="1"/>
    <xf numFmtId="170" fontId="14" fillId="0" borderId="14" xfId="5" applyFont="1" applyBorder="1"/>
    <xf numFmtId="170" fontId="14" fillId="0" borderId="15" xfId="9" applyFont="1" applyBorder="1"/>
    <xf numFmtId="170" fontId="14" fillId="0" borderId="9" xfId="5" applyFont="1" applyBorder="1"/>
    <xf numFmtId="170" fontId="14" fillId="0" borderId="0" xfId="5" applyFont="1"/>
    <xf numFmtId="170" fontId="14" fillId="0" borderId="16" xfId="9" applyFont="1" applyBorder="1" applyAlignment="1">
      <alignment vertical="top"/>
    </xf>
    <xf numFmtId="170" fontId="4" fillId="0" borderId="4" xfId="9" applyFont="1" applyBorder="1" applyAlignment="1">
      <alignment horizontal="right" vertical="top"/>
    </xf>
    <xf numFmtId="2" fontId="2" fillId="0" borderId="0" xfId="14" applyNumberFormat="1"/>
    <xf numFmtId="2" fontId="4" fillId="0" borderId="0" xfId="14" applyNumberFormat="1" applyFont="1"/>
    <xf numFmtId="2" fontId="35" fillId="0" borderId="0" xfId="0" applyNumberFormat="1" applyFont="1"/>
    <xf numFmtId="2" fontId="34" fillId="0" borderId="0" xfId="0" applyNumberFormat="1" applyFont="1"/>
    <xf numFmtId="2" fontId="2" fillId="0" borderId="0" xfId="5" applyNumberFormat="1" applyAlignment="1">
      <alignment horizontal="left" vertical="top"/>
    </xf>
    <xf numFmtId="2" fontId="2" fillId="0" borderId="0" xfId="5" applyNumberFormat="1" applyAlignment="1">
      <alignment horizontal="right" vertical="top"/>
    </xf>
    <xf numFmtId="2" fontId="2" fillId="5" borderId="0" xfId="5" applyNumberFormat="1" applyFill="1" applyAlignment="1">
      <alignment horizontal="left" vertical="top"/>
    </xf>
    <xf numFmtId="2" fontId="2" fillId="5" borderId="0" xfId="14" applyNumberFormat="1" applyFill="1"/>
    <xf numFmtId="2" fontId="2" fillId="5" borderId="0" xfId="5" applyNumberFormat="1" applyFill="1" applyAlignment="1">
      <alignment horizontal="right" vertical="top"/>
    </xf>
    <xf numFmtId="170" fontId="4" fillId="0" borderId="9" xfId="9" applyFont="1" applyBorder="1" applyAlignment="1">
      <alignment horizontal="right" vertical="top"/>
    </xf>
    <xf numFmtId="49" fontId="4" fillId="0" borderId="0" xfId="0" applyNumberFormat="1" applyFont="1" applyAlignment="1">
      <alignment vertical="top"/>
    </xf>
    <xf numFmtId="0" fontId="2" fillId="0" borderId="15" xfId="0" applyFont="1" applyBorder="1" applyAlignment="1">
      <alignment vertical="top"/>
    </xf>
    <xf numFmtId="4" fontId="2" fillId="0" borderId="15" xfId="0" applyNumberFormat="1" applyFont="1" applyBorder="1" applyAlignment="1">
      <alignment vertical="top"/>
    </xf>
    <xf numFmtId="0" fontId="37" fillId="0" borderId="15" xfId="0" applyFont="1" applyBorder="1" applyAlignment="1">
      <alignment vertical="top"/>
    </xf>
    <xf numFmtId="0" fontId="2" fillId="0" borderId="17" xfId="0" applyFont="1" applyBorder="1" applyAlignment="1">
      <alignment vertical="top"/>
    </xf>
    <xf numFmtId="9" fontId="38" fillId="0" borderId="9" xfId="20" applyFont="1" applyBorder="1" applyAlignment="1">
      <alignment horizontal="right" vertical="top"/>
    </xf>
    <xf numFmtId="170" fontId="38" fillId="0" borderId="9" xfId="9" applyFont="1" applyBorder="1" applyAlignment="1">
      <alignment vertical="top"/>
    </xf>
    <xf numFmtId="0" fontId="2" fillId="0" borderId="9" xfId="0" applyFont="1" applyBorder="1" applyAlignment="1">
      <alignment vertical="top"/>
    </xf>
    <xf numFmtId="4" fontId="2" fillId="0" borderId="9" xfId="0" applyNumberFormat="1" applyFont="1" applyBorder="1" applyAlignment="1">
      <alignment vertical="top"/>
    </xf>
    <xf numFmtId="170" fontId="37" fillId="0" borderId="9" xfId="9" applyFont="1" applyBorder="1" applyAlignment="1">
      <alignment vertical="top"/>
    </xf>
    <xf numFmtId="9" fontId="36" fillId="0" borderId="9" xfId="20" applyFont="1" applyBorder="1" applyAlignment="1">
      <alignment horizontal="right" vertical="top"/>
    </xf>
    <xf numFmtId="0" fontId="4" fillId="0" borderId="0" xfId="0" applyFont="1" applyAlignment="1" applyProtection="1">
      <alignment vertical="top" wrapText="1"/>
      <protection locked="0"/>
    </xf>
    <xf numFmtId="212" fontId="0" fillId="0" borderId="9" xfId="0" applyNumberFormat="1" applyBorder="1" applyAlignment="1">
      <alignment horizontal="center" vertical="top"/>
    </xf>
    <xf numFmtId="2" fontId="2" fillId="0" borderId="9" xfId="0" applyNumberFormat="1" applyFont="1" applyBorder="1" applyAlignment="1">
      <alignment horizontal="center" vertical="top"/>
    </xf>
    <xf numFmtId="44" fontId="2" fillId="0" borderId="9" xfId="0" applyNumberFormat="1" applyFont="1" applyBorder="1" applyAlignment="1">
      <alignment vertical="top"/>
    </xf>
    <xf numFmtId="44" fontId="39" fillId="0" borderId="9" xfId="0" applyNumberFormat="1" applyFont="1" applyBorder="1" applyAlignment="1">
      <alignment vertical="top"/>
    </xf>
    <xf numFmtId="44" fontId="2" fillId="0" borderId="9" xfId="9" applyNumberFormat="1" applyBorder="1" applyAlignment="1">
      <alignment horizontal="right" vertical="top"/>
    </xf>
    <xf numFmtId="37" fontId="2" fillId="0" borderId="9" xfId="0" applyNumberFormat="1" applyFont="1" applyBorder="1" applyAlignment="1">
      <alignment horizontal="center" vertical="top"/>
    </xf>
    <xf numFmtId="14" fontId="3" fillId="0" borderId="0" xfId="0" applyNumberFormat="1" applyFont="1" applyAlignment="1">
      <alignment horizontal="left" vertical="top"/>
    </xf>
    <xf numFmtId="14" fontId="40" fillId="0" borderId="0" xfId="0" applyNumberFormat="1" applyFont="1" applyAlignment="1">
      <alignment horizontal="left" vertical="top"/>
    </xf>
    <xf numFmtId="0" fontId="2" fillId="0" borderId="0" xfId="14" applyFont="1" applyAlignment="1">
      <alignment vertical="top"/>
    </xf>
    <xf numFmtId="39" fontId="2" fillId="0" borderId="12" xfId="0" applyNumberFormat="1" applyFont="1" applyBorder="1" applyAlignment="1">
      <alignment horizontal="center" vertical="top"/>
    </xf>
    <xf numFmtId="49" fontId="2" fillId="0" borderId="0" xfId="0" applyNumberFormat="1" applyFont="1" applyAlignment="1">
      <alignment vertical="top"/>
    </xf>
    <xf numFmtId="9" fontId="37" fillId="0" borderId="9" xfId="21" applyFont="1" applyBorder="1" applyAlignment="1">
      <alignment horizontal="right" vertical="top"/>
    </xf>
    <xf numFmtId="0" fontId="21" fillId="0" borderId="0" xfId="0" applyFont="1" applyAlignment="1">
      <alignment horizontal="left" vertical="top" wrapText="1"/>
    </xf>
    <xf numFmtId="0" fontId="3" fillId="0" borderId="3" xfId="0" applyFont="1" applyBorder="1" applyAlignment="1">
      <alignment horizontal="left" vertical="top" wrapText="1"/>
    </xf>
    <xf numFmtId="170" fontId="3" fillId="0" borderId="3" xfId="5" applyFont="1" applyBorder="1" applyAlignment="1">
      <alignment vertical="top"/>
    </xf>
    <xf numFmtId="0" fontId="12" fillId="0" borderId="2" xfId="0" applyFont="1" applyBorder="1"/>
    <xf numFmtId="190" fontId="3" fillId="0" borderId="3" xfId="5" applyNumberFormat="1" applyFont="1" applyBorder="1" applyAlignment="1">
      <alignment horizontal="center" vertical="top"/>
    </xf>
    <xf numFmtId="0" fontId="22" fillId="0" borderId="0" xfId="14" applyFont="1" applyAlignment="1">
      <alignment horizontal="left" vertical="top" wrapText="1"/>
    </xf>
    <xf numFmtId="190" fontId="37" fillId="0" borderId="16" xfId="21" applyNumberFormat="1" applyFont="1" applyBorder="1" applyAlignment="1">
      <alignment horizontal="right" vertical="top"/>
    </xf>
    <xf numFmtId="174" fontId="37" fillId="0" borderId="9" xfId="0" applyNumberFormat="1" applyFont="1" applyBorder="1" applyAlignment="1">
      <alignment horizontal="center" vertical="top"/>
    </xf>
    <xf numFmtId="0" fontId="37" fillId="0" borderId="9" xfId="0" applyFont="1" applyBorder="1" applyAlignment="1">
      <alignment vertical="top"/>
    </xf>
    <xf numFmtId="0" fontId="36" fillId="0" borderId="0" xfId="0" applyFont="1" applyAlignment="1">
      <alignment horizontal="left" vertical="top" wrapText="1"/>
    </xf>
    <xf numFmtId="0" fontId="2" fillId="0" borderId="0" xfId="0" applyFont="1" applyFill="1" applyAlignment="1">
      <alignment horizontal="left" vertical="top" wrapText="1"/>
    </xf>
    <xf numFmtId="170" fontId="14" fillId="0" borderId="0" xfId="9" applyFont="1" applyBorder="1" applyAlignment="1">
      <alignment vertical="top"/>
    </xf>
    <xf numFmtId="37" fontId="2" fillId="0" borderId="0" xfId="0" applyNumberFormat="1" applyFont="1" applyAlignment="1">
      <alignment horizontal="center" vertical="top"/>
    </xf>
    <xf numFmtId="37" fontId="2" fillId="0" borderId="0" xfId="0" applyNumberFormat="1" applyFont="1" applyAlignment="1">
      <alignment horizontal="left" vertical="top"/>
    </xf>
    <xf numFmtId="0" fontId="2" fillId="0" borderId="0" xfId="0" applyFont="1" applyAlignment="1">
      <alignment vertical="top"/>
    </xf>
    <xf numFmtId="0" fontId="41" fillId="0" borderId="0" xfId="0" applyFont="1" applyAlignment="1">
      <alignment horizontal="left" vertical="top" wrapText="1"/>
    </xf>
    <xf numFmtId="0" fontId="16" fillId="0" borderId="0" xfId="0" applyFont="1" applyBorder="1" applyAlignment="1">
      <alignment horizontal="center" vertical="top"/>
    </xf>
    <xf numFmtId="0" fontId="4" fillId="0" borderId="0" xfId="0" applyFont="1" applyBorder="1" applyAlignment="1">
      <alignment horizontal="left" vertical="top" wrapText="1"/>
    </xf>
    <xf numFmtId="37" fontId="14" fillId="0" borderId="0" xfId="0" applyNumberFormat="1" applyFont="1" applyBorder="1" applyAlignment="1">
      <alignment horizontal="center" vertical="top"/>
    </xf>
    <xf numFmtId="0" fontId="14" fillId="0" borderId="0" xfId="0" applyFont="1" applyBorder="1" applyAlignment="1">
      <alignment horizontal="center" vertical="top"/>
    </xf>
    <xf numFmtId="170" fontId="14" fillId="0" borderId="0" xfId="9" applyFont="1" applyBorder="1" applyAlignment="1">
      <alignment horizontal="right" vertical="top"/>
    </xf>
    <xf numFmtId="190" fontId="37" fillId="0" borderId="0" xfId="21" applyNumberFormat="1" applyFont="1" applyBorder="1" applyAlignment="1">
      <alignment horizontal="right" vertical="top"/>
    </xf>
    <xf numFmtId="39" fontId="14" fillId="0" borderId="0" xfId="0" applyNumberFormat="1" applyFont="1" applyBorder="1" applyAlignment="1">
      <alignment horizontal="center" vertical="top"/>
    </xf>
    <xf numFmtId="2" fontId="13" fillId="0" borderId="0" xfId="0" applyNumberFormat="1" applyFont="1" applyAlignment="1">
      <alignment horizontal="center"/>
    </xf>
    <xf numFmtId="0" fontId="2" fillId="0" borderId="0" xfId="0" applyFont="1" applyBorder="1" applyAlignment="1">
      <alignment horizontal="center" vertical="top"/>
    </xf>
    <xf numFmtId="6" fontId="2" fillId="0" borderId="0" xfId="0" applyNumberFormat="1" applyFont="1"/>
    <xf numFmtId="174" fontId="36" fillId="0" borderId="0" xfId="0" applyNumberFormat="1" applyFont="1" applyFill="1" applyAlignment="1">
      <alignment vertical="top"/>
    </xf>
    <xf numFmtId="44" fontId="14" fillId="0" borderId="0" xfId="14" applyNumberFormat="1" applyFont="1"/>
    <xf numFmtId="0" fontId="14" fillId="0" borderId="13" xfId="0" applyFont="1" applyBorder="1" applyAlignment="1">
      <alignment horizontal="center" vertical="top"/>
    </xf>
    <xf numFmtId="0" fontId="13" fillId="0" borderId="18" xfId="0" applyFont="1" applyBorder="1"/>
    <xf numFmtId="49" fontId="2" fillId="0" borderId="0" xfId="0" applyNumberFormat="1" applyFont="1" applyAlignment="1">
      <alignment vertical="top" wrapText="1"/>
    </xf>
    <xf numFmtId="49" fontId="18" fillId="0" borderId="0" xfId="0" applyNumberFormat="1" applyFont="1" applyAlignment="1">
      <alignment vertical="top"/>
    </xf>
    <xf numFmtId="1" fontId="2" fillId="0" borderId="0" xfId="0" applyNumberFormat="1" applyFont="1" applyAlignment="1">
      <alignment vertical="top"/>
    </xf>
    <xf numFmtId="10" fontId="2" fillId="0" borderId="0" xfId="0" applyNumberFormat="1" applyFont="1" applyAlignment="1"/>
    <xf numFmtId="0" fontId="2" fillId="0" borderId="12" xfId="0" applyFont="1" applyBorder="1" applyAlignment="1">
      <alignment vertical="top"/>
    </xf>
    <xf numFmtId="49" fontId="23" fillId="0" borderId="0" xfId="0" applyNumberFormat="1" applyFont="1" applyAlignment="1">
      <alignment vertical="top"/>
    </xf>
    <xf numFmtId="170" fontId="4" fillId="0" borderId="15" xfId="9" applyFont="1" applyBorder="1" applyAlignment="1">
      <alignment horizontal="right" vertical="top"/>
    </xf>
    <xf numFmtId="9" fontId="38" fillId="0" borderId="15" xfId="20" applyFont="1" applyBorder="1" applyAlignment="1">
      <alignment horizontal="right" vertical="top"/>
    </xf>
    <xf numFmtId="170" fontId="38" fillId="0" borderId="15" xfId="9" applyFont="1" applyBorder="1" applyAlignment="1">
      <alignment vertical="top"/>
    </xf>
    <xf numFmtId="2" fontId="36" fillId="0" borderId="9" xfId="0" applyNumberFormat="1" applyFont="1" applyBorder="1" applyAlignment="1">
      <alignment horizontal="left" vertical="top"/>
    </xf>
    <xf numFmtId="4" fontId="38" fillId="0" borderId="0" xfId="0" applyNumberFormat="1" applyFont="1" applyAlignment="1">
      <alignment vertical="top" wrapText="1"/>
    </xf>
    <xf numFmtId="0" fontId="2" fillId="5" borderId="0" xfId="0" applyFont="1" applyFill="1"/>
    <xf numFmtId="1" fontId="2" fillId="0" borderId="0" xfId="0" applyNumberFormat="1" applyFont="1"/>
    <xf numFmtId="0" fontId="2" fillId="5" borderId="0" xfId="0" applyFont="1" applyFill="1" applyAlignment="1">
      <alignment vertical="top"/>
    </xf>
    <xf numFmtId="4" fontId="38" fillId="5" borderId="0" xfId="0" applyNumberFormat="1" applyFont="1" applyFill="1" applyAlignment="1">
      <alignment vertical="top" wrapText="1"/>
    </xf>
    <xf numFmtId="1" fontId="2" fillId="6" borderId="0" xfId="0" applyNumberFormat="1" applyFont="1" applyFill="1" applyAlignment="1">
      <alignment vertical="top"/>
    </xf>
    <xf numFmtId="0" fontId="2" fillId="6" borderId="0" xfId="0" applyFont="1" applyFill="1"/>
    <xf numFmtId="0" fontId="36" fillId="0" borderId="9" xfId="0" applyFont="1" applyBorder="1" applyAlignment="1">
      <alignment horizontal="center" vertical="top"/>
    </xf>
    <xf numFmtId="0" fontId="2" fillId="0" borderId="10" xfId="0" applyFont="1" applyBorder="1" applyAlignment="1">
      <alignment vertical="top"/>
    </xf>
    <xf numFmtId="44" fontId="2" fillId="0" borderId="12" xfId="0" applyNumberFormat="1" applyFont="1" applyBorder="1" applyAlignment="1">
      <alignment vertical="top"/>
    </xf>
    <xf numFmtId="0" fontId="2" fillId="0" borderId="9" xfId="0" applyFont="1" applyBorder="1" applyAlignment="1">
      <alignment horizontal="center" vertical="top"/>
    </xf>
    <xf numFmtId="49" fontId="2" fillId="0" borderId="0" xfId="0" quotePrefix="1" applyNumberFormat="1" applyFont="1" applyAlignment="1">
      <alignment vertical="top"/>
    </xf>
    <xf numFmtId="44" fontId="36" fillId="0" borderId="9" xfId="0" applyNumberFormat="1" applyFont="1" applyBorder="1" applyAlignment="1">
      <alignment vertical="top"/>
    </xf>
    <xf numFmtId="0" fontId="36" fillId="0" borderId="12" xfId="0" applyFont="1" applyBorder="1" applyAlignment="1">
      <alignment horizontal="center" vertical="top"/>
    </xf>
    <xf numFmtId="0" fontId="36" fillId="0" borderId="9" xfId="0" applyFont="1" applyBorder="1" applyAlignment="1">
      <alignment horizontal="left" vertical="top"/>
    </xf>
    <xf numFmtId="49" fontId="2" fillId="5" borderId="0" xfId="0" applyNumberFormat="1" applyFont="1" applyFill="1" applyAlignment="1">
      <alignment vertical="top" wrapText="1"/>
    </xf>
    <xf numFmtId="0" fontId="0" fillId="5" borderId="9" xfId="0" applyFill="1" applyBorder="1" applyAlignment="1">
      <alignment horizontal="center" vertical="top"/>
    </xf>
    <xf numFmtId="0" fontId="2" fillId="0" borderId="0" xfId="0" applyFont="1" applyAlignment="1">
      <alignment wrapText="1"/>
    </xf>
    <xf numFmtId="174" fontId="0" fillId="0" borderId="0" xfId="0" applyNumberFormat="1"/>
    <xf numFmtId="0" fontId="2" fillId="0" borderId="0" xfId="0" applyFont="1" applyFill="1" applyBorder="1"/>
    <xf numFmtId="0" fontId="2" fillId="7" borderId="0" xfId="0" applyFont="1" applyFill="1"/>
    <xf numFmtId="0" fontId="0" fillId="0" borderId="9" xfId="0" applyBorder="1"/>
    <xf numFmtId="173" fontId="2" fillId="0" borderId="9" xfId="0" applyNumberFormat="1" applyFont="1" applyBorder="1" applyAlignment="1">
      <alignment horizontal="center" vertical="top"/>
    </xf>
    <xf numFmtId="173" fontId="0" fillId="0" borderId="9" xfId="0" applyNumberFormat="1" applyBorder="1" applyAlignment="1">
      <alignment horizontal="center"/>
    </xf>
    <xf numFmtId="0" fontId="2" fillId="0" borderId="19" xfId="0" applyFont="1" applyBorder="1"/>
    <xf numFmtId="173" fontId="0" fillId="5" borderId="19" xfId="0" applyNumberFormat="1" applyFill="1" applyBorder="1"/>
    <xf numFmtId="0" fontId="2" fillId="5" borderId="19" xfId="0" applyFont="1" applyFill="1" applyBorder="1"/>
    <xf numFmtId="173" fontId="0" fillId="7" borderId="19" xfId="0" applyNumberFormat="1" applyFill="1" applyBorder="1"/>
    <xf numFmtId="0" fontId="2" fillId="7" borderId="19" xfId="0" applyFont="1" applyFill="1" applyBorder="1"/>
    <xf numFmtId="174" fontId="36" fillId="0" borderId="19" xfId="0" applyNumberFormat="1" applyFont="1" applyBorder="1"/>
    <xf numFmtId="0" fontId="0" fillId="0" borderId="19" xfId="0" applyBorder="1"/>
    <xf numFmtId="0" fontId="0" fillId="0" borderId="3" xfId="0" applyBorder="1"/>
    <xf numFmtId="0" fontId="3" fillId="7" borderId="0" xfId="0" applyFont="1" applyFill="1" applyAlignment="1">
      <alignment horizontal="left" vertical="top" wrapText="1"/>
    </xf>
    <xf numFmtId="0" fontId="3" fillId="6" borderId="0" xfId="0" applyFont="1" applyFill="1" applyAlignment="1">
      <alignment horizontal="left" vertical="top" wrapText="1"/>
    </xf>
    <xf numFmtId="174" fontId="10" fillId="6" borderId="0" xfId="0" applyNumberFormat="1" applyFont="1" applyFill="1" applyAlignment="1">
      <alignment horizontal="center" vertical="top"/>
    </xf>
    <xf numFmtId="0" fontId="3" fillId="8" borderId="0" xfId="0" applyFont="1" applyFill="1" applyAlignment="1">
      <alignment horizontal="left" vertical="top" wrapText="1"/>
    </xf>
    <xf numFmtId="0" fontId="0" fillId="0" borderId="20" xfId="0" applyBorder="1"/>
    <xf numFmtId="2" fontId="0" fillId="0" borderId="20" xfId="0" applyNumberFormat="1" applyBorder="1" applyAlignment="1">
      <alignment horizontal="center"/>
    </xf>
    <xf numFmtId="2" fontId="0" fillId="0" borderId="20" xfId="0" applyNumberFormat="1" applyBorder="1"/>
    <xf numFmtId="174" fontId="0" fillId="0" borderId="20" xfId="0" applyNumberFormat="1" applyBorder="1"/>
    <xf numFmtId="0" fontId="17" fillId="5" borderId="0" xfId="0" applyFont="1" applyFill="1" applyAlignment="1">
      <alignment horizontal="centerContinuous" vertical="top"/>
    </xf>
    <xf numFmtId="0" fontId="2" fillId="5" borderId="12" xfId="0" applyFont="1" applyFill="1" applyBorder="1" applyAlignment="1">
      <alignment horizontal="center" vertical="top"/>
    </xf>
    <xf numFmtId="2" fontId="2" fillId="5" borderId="9" xfId="0" applyNumberFormat="1" applyFont="1" applyFill="1" applyBorder="1" applyAlignment="1">
      <alignment horizontal="center" vertical="top"/>
    </xf>
    <xf numFmtId="44" fontId="2" fillId="5" borderId="9" xfId="0" applyNumberFormat="1" applyFont="1" applyFill="1" applyBorder="1" applyAlignment="1">
      <alignment vertical="top"/>
    </xf>
    <xf numFmtId="174" fontId="37" fillId="5" borderId="9" xfId="0" applyNumberFormat="1" applyFont="1" applyFill="1" applyBorder="1" applyAlignment="1">
      <alignment horizontal="center" vertical="top"/>
    </xf>
    <xf numFmtId="44" fontId="39" fillId="5" borderId="9" xfId="0" applyNumberFormat="1" applyFont="1" applyFill="1" applyBorder="1" applyAlignment="1">
      <alignment vertical="top"/>
    </xf>
    <xf numFmtId="44" fontId="2" fillId="5" borderId="9" xfId="9" applyNumberFormat="1" applyFill="1" applyBorder="1" applyAlignment="1">
      <alignment horizontal="right" vertical="top"/>
    </xf>
    <xf numFmtId="9" fontId="37" fillId="5" borderId="9" xfId="21" applyFont="1" applyFill="1" applyBorder="1" applyAlignment="1">
      <alignment horizontal="right" vertical="top"/>
    </xf>
    <xf numFmtId="170" fontId="37" fillId="5" borderId="9" xfId="9" applyFont="1" applyFill="1" applyBorder="1" applyAlignment="1">
      <alignment vertical="top"/>
    </xf>
    <xf numFmtId="170" fontId="38" fillId="0" borderId="0" xfId="9" applyFont="1" applyBorder="1"/>
    <xf numFmtId="170" fontId="38" fillId="0" borderId="0" xfId="9" applyFont="1" applyBorder="1" applyAlignment="1">
      <alignment vertical="top"/>
    </xf>
    <xf numFmtId="170" fontId="37" fillId="0" borderId="0" xfId="9" applyFont="1" applyBorder="1" applyAlignment="1">
      <alignment vertical="top"/>
    </xf>
    <xf numFmtId="170" fontId="37" fillId="0" borderId="0" xfId="9" applyFont="1" applyBorder="1"/>
    <xf numFmtId="170" fontId="14" fillId="0" borderId="0" xfId="5" applyFont="1" applyBorder="1"/>
    <xf numFmtId="170" fontId="14" fillId="0" borderId="0" xfId="9" applyFont="1" applyBorder="1"/>
    <xf numFmtId="10" fontId="37" fillId="0" borderId="0" xfId="9" applyNumberFormat="1" applyFont="1" applyBorder="1" applyAlignment="1">
      <alignment vertical="top"/>
    </xf>
    <xf numFmtId="0" fontId="17" fillId="0" borderId="0" xfId="0" applyFont="1" applyFill="1" applyAlignment="1">
      <alignment horizontal="centerContinuous" vertical="top"/>
    </xf>
    <xf numFmtId="49" fontId="2" fillId="0" borderId="0" xfId="0" applyNumberFormat="1" applyFont="1" applyFill="1" applyAlignment="1">
      <alignment vertical="top" wrapText="1"/>
    </xf>
    <xf numFmtId="0" fontId="0" fillId="0" borderId="9" xfId="0" applyFill="1" applyBorder="1" applyAlignment="1">
      <alignment horizontal="center" vertical="top"/>
    </xf>
    <xf numFmtId="0" fontId="2" fillId="0" borderId="12" xfId="0" applyFont="1" applyFill="1" applyBorder="1" applyAlignment="1">
      <alignment horizontal="center" vertical="top"/>
    </xf>
    <xf numFmtId="2" fontId="2" fillId="0" borderId="9" xfId="0" applyNumberFormat="1" applyFont="1" applyFill="1" applyBorder="1" applyAlignment="1">
      <alignment horizontal="center" vertical="top"/>
    </xf>
    <xf numFmtId="44" fontId="2" fillId="0" borderId="9" xfId="0" applyNumberFormat="1" applyFont="1" applyFill="1" applyBorder="1" applyAlignment="1">
      <alignment vertical="top"/>
    </xf>
    <xf numFmtId="174" fontId="37" fillId="0" borderId="9" xfId="0" applyNumberFormat="1" applyFont="1" applyFill="1" applyBorder="1" applyAlignment="1">
      <alignment horizontal="center" vertical="top"/>
    </xf>
    <xf numFmtId="44" fontId="39" fillId="0" borderId="9" xfId="0" applyNumberFormat="1" applyFont="1" applyFill="1" applyBorder="1" applyAlignment="1">
      <alignment vertical="top"/>
    </xf>
    <xf numFmtId="44" fontId="2" fillId="0" borderId="9" xfId="9" applyNumberFormat="1" applyFill="1" applyBorder="1" applyAlignment="1">
      <alignment horizontal="right" vertical="top"/>
    </xf>
    <xf numFmtId="9" fontId="37" fillId="0" borderId="9" xfId="21" applyFont="1" applyFill="1" applyBorder="1" applyAlignment="1">
      <alignment horizontal="right" vertical="top"/>
    </xf>
    <xf numFmtId="170" fontId="37" fillId="0" borderId="9" xfId="9" applyFont="1" applyFill="1" applyBorder="1" applyAlignment="1">
      <alignment vertical="top"/>
    </xf>
    <xf numFmtId="0" fontId="0" fillId="0" borderId="9" xfId="0" applyBorder="1" applyAlignment="1">
      <alignment horizontal="center"/>
    </xf>
    <xf numFmtId="49" fontId="2" fillId="5" borderId="0" xfId="0" applyNumberFormat="1" applyFont="1" applyFill="1" applyAlignment="1">
      <alignment vertical="top"/>
    </xf>
    <xf numFmtId="174" fontId="2" fillId="7" borderId="0" xfId="0" applyNumberFormat="1" applyFont="1" applyFill="1"/>
    <xf numFmtId="0" fontId="2" fillId="8" borderId="0" xfId="0" applyFont="1" applyFill="1"/>
    <xf numFmtId="0" fontId="0" fillId="7" borderId="0" xfId="0" applyFill="1"/>
    <xf numFmtId="222" fontId="37" fillId="0" borderId="9" xfId="0" applyNumberFormat="1" applyFont="1" applyBorder="1" applyAlignment="1">
      <alignment horizontal="center" vertical="top"/>
    </xf>
    <xf numFmtId="0" fontId="0" fillId="0" borderId="3" xfId="0" applyBorder="1" applyAlignment="1">
      <alignment horizontal="center"/>
    </xf>
    <xf numFmtId="2" fontId="0" fillId="0" borderId="0" xfId="0" applyNumberFormat="1"/>
    <xf numFmtId="2" fontId="0" fillId="0" borderId="9" xfId="0" applyNumberFormat="1" applyBorder="1" applyAlignment="1">
      <alignment horizontal="center"/>
    </xf>
    <xf numFmtId="0" fontId="0" fillId="9" borderId="0" xfId="0" applyFill="1"/>
    <xf numFmtId="0" fontId="4" fillId="0" borderId="0" xfId="14" applyFont="1"/>
    <xf numFmtId="0" fontId="4" fillId="5" borderId="0" xfId="14" applyFont="1" applyFill="1"/>
    <xf numFmtId="0" fontId="2" fillId="0" borderId="0" xfId="14"/>
    <xf numFmtId="0" fontId="24" fillId="0" borderId="0" xfId="14" applyFont="1"/>
    <xf numFmtId="0" fontId="23" fillId="0" borderId="0" xfId="14" applyFont="1"/>
    <xf numFmtId="0" fontId="42" fillId="0" borderId="0" xfId="0" applyFont="1"/>
    <xf numFmtId="0" fontId="2" fillId="5" borderId="0" xfId="14" applyFill="1"/>
    <xf numFmtId="173" fontId="2" fillId="5" borderId="0" xfId="14" applyNumberFormat="1" applyFill="1"/>
    <xf numFmtId="1" fontId="2" fillId="5" borderId="0" xfId="14" applyNumberFormat="1" applyFill="1"/>
    <xf numFmtId="0" fontId="0" fillId="5" borderId="0" xfId="0" applyFill="1"/>
    <xf numFmtId="2" fontId="36" fillId="0" borderId="0" xfId="14" applyNumberFormat="1" applyFont="1" applyAlignment="1">
      <alignment horizontal="right"/>
    </xf>
    <xf numFmtId="2" fontId="36" fillId="0" borderId="0" xfId="14" applyNumberFormat="1" applyFont="1"/>
    <xf numFmtId="174" fontId="2" fillId="0" borderId="0" xfId="14" applyNumberFormat="1"/>
    <xf numFmtId="2" fontId="2" fillId="0" borderId="0" xfId="14" applyNumberFormat="1" applyAlignment="1">
      <alignment horizontal="right"/>
    </xf>
    <xf numFmtId="174" fontId="23" fillId="0" borderId="0" xfId="14" applyNumberFormat="1" applyFont="1"/>
    <xf numFmtId="0" fontId="2" fillId="0" borderId="0" xfId="14" applyAlignment="1">
      <alignment horizontal="right"/>
    </xf>
    <xf numFmtId="1" fontId="2" fillId="0" borderId="0" xfId="14" applyNumberFormat="1" applyAlignment="1">
      <alignment horizontal="right"/>
    </xf>
    <xf numFmtId="1" fontId="2" fillId="0" borderId="0" xfId="14" applyNumberFormat="1"/>
    <xf numFmtId="8" fontId="0" fillId="0" borderId="0" xfId="0" applyNumberFormat="1"/>
    <xf numFmtId="8" fontId="2" fillId="0" borderId="0" xfId="14" applyNumberFormat="1"/>
    <xf numFmtId="1" fontId="2" fillId="0" borderId="0" xfId="14" applyNumberFormat="1" applyAlignment="1">
      <alignment horizontal="left"/>
    </xf>
    <xf numFmtId="2" fontId="4" fillId="0" borderId="0" xfId="14" applyNumberFormat="1" applyFont="1" applyAlignment="1">
      <alignment horizontal="right"/>
    </xf>
    <xf numFmtId="2" fontId="24" fillId="0" borderId="0" xfId="14" applyNumberFormat="1" applyFont="1" applyAlignment="1">
      <alignment horizontal="right"/>
    </xf>
    <xf numFmtId="0" fontId="35" fillId="0" borderId="0" xfId="0" applyFont="1"/>
    <xf numFmtId="2" fontId="4" fillId="0" borderId="0" xfId="14" applyNumberFormat="1" applyFont="1" applyAlignment="1">
      <alignment horizontal="left"/>
    </xf>
    <xf numFmtId="2" fontId="24" fillId="0" borderId="0" xfId="14" applyNumberFormat="1" applyFont="1"/>
    <xf numFmtId="174" fontId="43" fillId="0" borderId="0" xfId="0" applyNumberFormat="1" applyFont="1"/>
    <xf numFmtId="9" fontId="2" fillId="0" borderId="0" xfId="14" applyNumberFormat="1"/>
    <xf numFmtId="2" fontId="44" fillId="0" borderId="0" xfId="14" applyNumberFormat="1" applyFont="1"/>
    <xf numFmtId="0" fontId="2" fillId="0" borderId="3" xfId="14" applyBorder="1"/>
    <xf numFmtId="0" fontId="24" fillId="0" borderId="3" xfId="14" applyFont="1" applyBorder="1"/>
    <xf numFmtId="2" fontId="4" fillId="0" borderId="3" xfId="14" applyNumberFormat="1" applyFont="1" applyBorder="1"/>
    <xf numFmtId="2" fontId="36" fillId="0" borderId="0" xfId="0" applyNumberFormat="1" applyFont="1"/>
    <xf numFmtId="2" fontId="2" fillId="0" borderId="0" xfId="14" applyNumberFormat="1" applyAlignment="1">
      <alignment horizontal="left"/>
    </xf>
    <xf numFmtId="8" fontId="24" fillId="0" borderId="0" xfId="0" applyNumberFormat="1" applyFont="1"/>
    <xf numFmtId="2" fontId="23" fillId="0" borderId="3" xfId="14" applyNumberFormat="1" applyFont="1" applyBorder="1"/>
    <xf numFmtId="174" fontId="35" fillId="0" borderId="0" xfId="0" applyNumberFormat="1" applyFont="1"/>
    <xf numFmtId="4" fontId="0" fillId="0" borderId="0" xfId="0" applyNumberFormat="1"/>
    <xf numFmtId="2" fontId="35" fillId="10" borderId="20" xfId="0" applyNumberFormat="1" applyFont="1" applyFill="1" applyBorder="1"/>
    <xf numFmtId="2" fontId="35" fillId="10" borderId="0" xfId="0" applyNumberFormat="1" applyFont="1" applyFill="1"/>
    <xf numFmtId="174" fontId="41" fillId="0" borderId="0" xfId="14" applyNumberFormat="1" applyFont="1"/>
    <xf numFmtId="0" fontId="41" fillId="0" borderId="0" xfId="14" applyFont="1"/>
    <xf numFmtId="0" fontId="45" fillId="0" borderId="0" xfId="0" applyFont="1"/>
    <xf numFmtId="2" fontId="46" fillId="0" borderId="0" xfId="14" applyNumberFormat="1" applyFont="1" applyAlignment="1">
      <alignment horizontal="left"/>
    </xf>
    <xf numFmtId="2" fontId="2" fillId="0" borderId="0" xfId="0" applyNumberFormat="1" applyFont="1"/>
    <xf numFmtId="173" fontId="2" fillId="0" borderId="0" xfId="0" applyNumberFormat="1" applyFont="1" applyAlignment="1">
      <alignment vertical="top"/>
    </xf>
    <xf numFmtId="0" fontId="4" fillId="0" borderId="0" xfId="0" applyFont="1"/>
    <xf numFmtId="2" fontId="2" fillId="5" borderId="0" xfId="0" applyNumberFormat="1" applyFont="1" applyFill="1"/>
    <xf numFmtId="2" fontId="0" fillId="5" borderId="0" xfId="0" applyNumberFormat="1" applyFill="1"/>
    <xf numFmtId="0" fontId="43" fillId="5" borderId="0" xfId="0" applyFont="1" applyFill="1"/>
    <xf numFmtId="2" fontId="24" fillId="0" borderId="0" xfId="0" applyNumberFormat="1" applyFont="1"/>
    <xf numFmtId="2" fontId="23" fillId="0" borderId="0" xfId="0" applyNumberFormat="1" applyFont="1"/>
    <xf numFmtId="0" fontId="24" fillId="0" borderId="0" xfId="0" applyFont="1"/>
    <xf numFmtId="2" fontId="23" fillId="0" borderId="21" xfId="0" applyNumberFormat="1" applyFont="1" applyBorder="1"/>
    <xf numFmtId="49" fontId="2" fillId="0" borderId="0" xfId="0" applyNumberFormat="1" applyFont="1" applyFill="1" applyAlignment="1">
      <alignment vertical="top"/>
    </xf>
    <xf numFmtId="0" fontId="0" fillId="11" borderId="0" xfId="0" applyFill="1"/>
    <xf numFmtId="173" fontId="4" fillId="5" borderId="0" xfId="14" applyNumberFormat="1" applyFont="1" applyFill="1"/>
    <xf numFmtId="1" fontId="4" fillId="0" borderId="0" xfId="14" applyNumberFormat="1" applyFont="1"/>
    <xf numFmtId="219" fontId="0" fillId="0" borderId="0" xfId="0" applyNumberFormat="1"/>
    <xf numFmtId="0" fontId="36" fillId="0" borderId="0" xfId="14" applyFont="1" applyAlignment="1">
      <alignment horizontal="right"/>
    </xf>
    <xf numFmtId="0" fontId="2" fillId="0" borderId="22" xfId="14" applyBorder="1" applyAlignment="1">
      <alignment horizontal="center"/>
    </xf>
    <xf numFmtId="0" fontId="4" fillId="0" borderId="23" xfId="14" applyFont="1" applyBorder="1" applyAlignment="1" applyProtection="1">
      <alignment wrapText="1"/>
      <protection locked="0"/>
    </xf>
    <xf numFmtId="37" fontId="2" fillId="0" borderId="22" xfId="14" applyNumberFormat="1" applyBorder="1" applyAlignment="1">
      <alignment horizontal="center"/>
    </xf>
    <xf numFmtId="39" fontId="2" fillId="0" borderId="22" xfId="14" applyNumberFormat="1" applyBorder="1" applyAlignment="1">
      <alignment horizontal="center"/>
    </xf>
    <xf numFmtId="170" fontId="2" fillId="0" borderId="22" xfId="5" applyFont="1" applyBorder="1" applyAlignment="1" applyProtection="1">
      <alignment horizontal="right"/>
    </xf>
    <xf numFmtId="170" fontId="2" fillId="0" borderId="24" xfId="5" applyFont="1" applyBorder="1" applyAlignment="1" applyProtection="1">
      <alignment horizontal="right"/>
    </xf>
    <xf numFmtId="0" fontId="2" fillId="0" borderId="4" xfId="14" applyBorder="1" applyAlignment="1">
      <alignment horizontal="center"/>
    </xf>
    <xf numFmtId="0" fontId="2" fillId="0" borderId="0" xfId="14" applyAlignment="1" applyProtection="1">
      <alignment wrapText="1"/>
      <protection locked="0"/>
    </xf>
    <xf numFmtId="37" fontId="2" fillId="0" borderId="4" xfId="14" applyNumberFormat="1" applyBorder="1" applyAlignment="1">
      <alignment horizontal="center"/>
    </xf>
    <xf numFmtId="39" fontId="2" fillId="0" borderId="4" xfId="14" applyNumberFormat="1" applyBorder="1" applyAlignment="1">
      <alignment horizontal="center"/>
    </xf>
    <xf numFmtId="170" fontId="2" fillId="0" borderId="4" xfId="5" applyFont="1" applyBorder="1" applyAlignment="1" applyProtection="1">
      <alignment horizontal="right"/>
    </xf>
    <xf numFmtId="170" fontId="2" fillId="0" borderId="25" xfId="5" applyFont="1" applyBorder="1" applyAlignment="1" applyProtection="1">
      <alignment horizontal="right"/>
    </xf>
    <xf numFmtId="0" fontId="2" fillId="0" borderId="4" xfId="14" applyBorder="1"/>
    <xf numFmtId="201" fontId="2" fillId="0" borderId="4" xfId="14" applyNumberFormat="1" applyBorder="1" applyAlignment="1">
      <alignment horizontal="center"/>
    </xf>
    <xf numFmtId="170" fontId="2" fillId="0" borderId="0" xfId="14" applyNumberFormat="1"/>
    <xf numFmtId="201" fontId="2" fillId="5" borderId="4" xfId="14" applyNumberFormat="1" applyFill="1" applyBorder="1" applyAlignment="1">
      <alignment horizontal="center"/>
    </xf>
    <xf numFmtId="212" fontId="2" fillId="0" borderId="4" xfId="14" applyNumberFormat="1" applyBorder="1" applyAlignment="1">
      <alignment horizontal="center"/>
    </xf>
    <xf numFmtId="0" fontId="2" fillId="0" borderId="7" xfId="14" applyBorder="1" applyAlignment="1">
      <alignment horizontal="center"/>
    </xf>
    <xf numFmtId="0" fontId="4" fillId="0" borderId="8" xfId="14" applyFont="1" applyBorder="1" applyAlignment="1" applyProtection="1">
      <alignment wrapText="1"/>
      <protection locked="0"/>
    </xf>
    <xf numFmtId="37" fontId="2" fillId="0" borderId="7" xfId="14" applyNumberFormat="1" applyBorder="1" applyAlignment="1">
      <alignment horizontal="center"/>
    </xf>
    <xf numFmtId="39" fontId="2" fillId="0" borderId="7" xfId="14" applyNumberFormat="1" applyBorder="1" applyAlignment="1">
      <alignment horizontal="center"/>
    </xf>
    <xf numFmtId="170" fontId="2" fillId="0" borderId="7" xfId="5" applyFont="1" applyBorder="1" applyAlignment="1" applyProtection="1">
      <alignment horizontal="right"/>
    </xf>
    <xf numFmtId="170" fontId="4" fillId="0" borderId="26" xfId="5" applyFont="1" applyBorder="1" applyAlignment="1" applyProtection="1">
      <alignment horizontal="right"/>
    </xf>
    <xf numFmtId="2" fontId="2" fillId="0" borderId="0" xfId="19" applyNumberFormat="1"/>
    <xf numFmtId="0" fontId="2" fillId="0" borderId="0" xfId="19"/>
    <xf numFmtId="44" fontId="2" fillId="0" borderId="0" xfId="19" applyNumberFormat="1"/>
    <xf numFmtId="0" fontId="0" fillId="0" borderId="0" xfId="0" applyAlignment="1">
      <alignment horizontal="center"/>
    </xf>
    <xf numFmtId="174" fontId="0" fillId="5" borderId="0" xfId="0" applyNumberFormat="1" applyFill="1"/>
    <xf numFmtId="0" fontId="23" fillId="0" borderId="0" xfId="18" applyFont="1"/>
    <xf numFmtId="0" fontId="2" fillId="0" borderId="0" xfId="18"/>
    <xf numFmtId="0" fontId="2" fillId="0" borderId="0" xfId="18" applyAlignment="1">
      <alignment horizontal="center"/>
    </xf>
    <xf numFmtId="0" fontId="0" fillId="0" borderId="0" xfId="0" applyAlignment="1">
      <alignment vertical="top"/>
    </xf>
    <xf numFmtId="0" fontId="2" fillId="0" borderId="3" xfId="14" applyBorder="1" applyAlignment="1">
      <alignment vertical="top"/>
    </xf>
    <xf numFmtId="0" fontId="2" fillId="0" borderId="3" xfId="14" applyBorder="1" applyAlignment="1">
      <alignment horizontal="center" vertical="top"/>
    </xf>
    <xf numFmtId="0" fontId="4" fillId="0" borderId="3" xfId="14" applyFont="1" applyBorder="1" applyAlignment="1">
      <alignment horizontal="center" vertical="top" wrapText="1"/>
    </xf>
    <xf numFmtId="0" fontId="4" fillId="0" borderId="3" xfId="0" applyFont="1" applyBorder="1" applyAlignment="1">
      <alignment horizontal="center" vertical="top" wrapText="1"/>
    </xf>
    <xf numFmtId="0" fontId="2" fillId="0" borderId="3" xfId="0" applyFont="1" applyBorder="1" applyAlignment="1">
      <alignment vertical="top"/>
    </xf>
    <xf numFmtId="0" fontId="2" fillId="0" borderId="0" xfId="14" applyAlignment="1">
      <alignment horizontal="center"/>
    </xf>
    <xf numFmtId="2" fontId="2" fillId="0" borderId="0" xfId="14" applyNumberFormat="1" applyAlignment="1">
      <alignment horizontal="center" vertical="top"/>
    </xf>
    <xf numFmtId="0" fontId="2" fillId="0" borderId="0" xfId="14" applyAlignment="1">
      <alignment horizontal="center" vertical="top"/>
    </xf>
    <xf numFmtId="0" fontId="2" fillId="0" borderId="0" xfId="18" applyAlignment="1">
      <alignment vertical="top"/>
    </xf>
    <xf numFmtId="0" fontId="2" fillId="0" borderId="0" xfId="14" applyAlignment="1">
      <alignment horizontal="left" vertical="top"/>
    </xf>
    <xf numFmtId="2" fontId="0" fillId="0" borderId="0" xfId="0" applyNumberFormat="1" applyAlignment="1">
      <alignment horizontal="center"/>
    </xf>
    <xf numFmtId="174" fontId="2" fillId="0" borderId="0" xfId="14" applyNumberFormat="1" applyAlignment="1">
      <alignment horizontal="right"/>
    </xf>
    <xf numFmtId="174" fontId="2" fillId="0" borderId="0" xfId="14" applyNumberFormat="1" applyAlignment="1">
      <alignment horizontal="center"/>
    </xf>
    <xf numFmtId="2" fontId="2" fillId="0" borderId="0" xfId="18" applyNumberFormat="1" applyAlignment="1">
      <alignment horizontal="center"/>
    </xf>
    <xf numFmtId="174" fontId="2" fillId="0" borderId="0" xfId="18" applyNumberFormat="1"/>
    <xf numFmtId="2" fontId="2" fillId="0" borderId="0" xfId="14" applyNumberFormat="1" applyAlignment="1">
      <alignment vertical="top"/>
    </xf>
    <xf numFmtId="0" fontId="2" fillId="0" borderId="0" xfId="14" applyAlignment="1">
      <alignment horizontal="left"/>
    </xf>
    <xf numFmtId="0" fontId="0" fillId="0" borderId="0" xfId="0" applyAlignment="1">
      <alignment horizontal="center" vertical="top"/>
    </xf>
    <xf numFmtId="174" fontId="2" fillId="0" borderId="0" xfId="14" applyNumberFormat="1" applyAlignment="1">
      <alignment horizontal="right" vertical="top"/>
    </xf>
    <xf numFmtId="174" fontId="2" fillId="0" borderId="0" xfId="14" applyNumberFormat="1" applyAlignment="1">
      <alignment horizontal="center" vertical="top"/>
    </xf>
    <xf numFmtId="2" fontId="2" fillId="5" borderId="0" xfId="14" applyNumberFormat="1" applyFill="1" applyAlignment="1">
      <alignment vertical="top"/>
    </xf>
    <xf numFmtId="0" fontId="2" fillId="0" borderId="0" xfId="18" applyAlignment="1">
      <alignment horizontal="center" vertical="top"/>
    </xf>
    <xf numFmtId="174" fontId="2" fillId="0" borderId="0" xfId="18" applyNumberFormat="1" applyAlignment="1">
      <alignment horizontal="center"/>
    </xf>
    <xf numFmtId="0" fontId="2" fillId="12" borderId="0" xfId="0" applyFont="1" applyFill="1"/>
    <xf numFmtId="0" fontId="0" fillId="12" borderId="0" xfId="0" applyFill="1"/>
    <xf numFmtId="9" fontId="0" fillId="0" borderId="0" xfId="0" applyNumberFormat="1"/>
    <xf numFmtId="190" fontId="2" fillId="13" borderId="4" xfId="0" applyNumberFormat="1" applyFont="1" applyFill="1" applyBorder="1" applyAlignment="1">
      <alignment horizontal="center" vertical="top"/>
    </xf>
    <xf numFmtId="3" fontId="0" fillId="10" borderId="0" xfId="0" applyNumberFormat="1" applyFill="1"/>
    <xf numFmtId="174" fontId="0" fillId="10" borderId="0" xfId="0" applyNumberFormat="1" applyFill="1"/>
    <xf numFmtId="49" fontId="4" fillId="0" borderId="3" xfId="0" applyNumberFormat="1" applyFont="1" applyBorder="1" applyAlignment="1">
      <alignment vertical="top" wrapText="1"/>
    </xf>
    <xf numFmtId="0" fontId="36" fillId="5" borderId="9" xfId="0" applyFont="1" applyFill="1" applyBorder="1" applyAlignment="1">
      <alignment horizontal="left" vertical="top"/>
    </xf>
    <xf numFmtId="0" fontId="2" fillId="10" borderId="0" xfId="0" applyFont="1" applyFill="1"/>
    <xf numFmtId="0" fontId="2" fillId="5" borderId="0" xfId="14" applyFill="1" applyAlignment="1">
      <alignment horizontal="center"/>
    </xf>
    <xf numFmtId="173" fontId="2" fillId="0" borderId="0" xfId="0" applyNumberFormat="1" applyFont="1"/>
    <xf numFmtId="174" fontId="2" fillId="5" borderId="0" xfId="0" applyNumberFormat="1" applyFont="1" applyFill="1" applyAlignment="1">
      <alignment vertical="top"/>
    </xf>
    <xf numFmtId="174" fontId="2" fillId="0" borderId="0" xfId="0" applyNumberFormat="1" applyFont="1" applyAlignment="1">
      <alignment vertical="top"/>
    </xf>
    <xf numFmtId="174" fontId="36" fillId="5" borderId="9" xfId="0" applyNumberFormat="1" applyFont="1" applyFill="1" applyBorder="1" applyAlignment="1">
      <alignment horizontal="center" vertical="top"/>
    </xf>
    <xf numFmtId="49" fontId="2" fillId="0" borderId="0" xfId="0" quotePrefix="1" applyNumberFormat="1" applyFont="1" applyFill="1" applyAlignment="1">
      <alignment vertical="top"/>
    </xf>
    <xf numFmtId="2" fontId="17" fillId="0" borderId="0" xfId="0" applyNumberFormat="1" applyFont="1" applyAlignment="1">
      <alignment horizontal="centerContinuous" vertical="top"/>
    </xf>
    <xf numFmtId="49" fontId="4" fillId="0" borderId="3" xfId="0" applyNumberFormat="1" applyFont="1" applyBorder="1" applyAlignment="1">
      <alignment horizontal="center" vertical="top" wrapText="1"/>
    </xf>
    <xf numFmtId="173" fontId="2" fillId="0" borderId="0" xfId="14" applyNumberFormat="1" applyAlignment="1">
      <alignment horizontal="center" vertical="top"/>
    </xf>
    <xf numFmtId="173" fontId="2" fillId="0" borderId="0" xfId="14" applyNumberFormat="1" applyAlignment="1">
      <alignment horizontal="center"/>
    </xf>
    <xf numFmtId="0" fontId="24" fillId="0" borderId="0" xfId="0" applyFont="1" applyFill="1" applyAlignment="1">
      <alignment horizontal="left" vertical="top" wrapText="1"/>
    </xf>
    <xf numFmtId="170" fontId="18" fillId="0" borderId="3" xfId="4" applyFont="1" applyBorder="1" applyAlignment="1">
      <alignment horizontal="center" vertical="top" wrapText="1"/>
    </xf>
    <xf numFmtId="0" fontId="18" fillId="0" borderId="3" xfId="0" applyFont="1" applyBorder="1" applyAlignment="1">
      <alignment horizontal="center" vertical="top" wrapText="1"/>
    </xf>
    <xf numFmtId="0" fontId="17" fillId="0" borderId="3" xfId="14" applyFont="1" applyBorder="1"/>
    <xf numFmtId="0" fontId="17" fillId="0" borderId="3" xfId="0" applyFont="1" applyBorder="1"/>
    <xf numFmtId="0" fontId="18" fillId="0" borderId="3" xfId="0" applyFont="1" applyBorder="1"/>
    <xf numFmtId="170" fontId="18" fillId="0" borderId="3" xfId="0" applyNumberFormat="1" applyFont="1" applyBorder="1"/>
    <xf numFmtId="174" fontId="18" fillId="0" borderId="0" xfId="4" applyNumberFormat="1" applyFont="1"/>
    <xf numFmtId="174" fontId="17" fillId="0" borderId="0" xfId="0" applyNumberFormat="1" applyFont="1"/>
    <xf numFmtId="174" fontId="17" fillId="0" borderId="0" xfId="4" quotePrefix="1" applyNumberFormat="1" applyFont="1"/>
    <xf numFmtId="174" fontId="17" fillId="0" borderId="0" xfId="4" applyNumberFormat="1" applyFont="1"/>
    <xf numFmtId="174" fontId="17" fillId="0" borderId="3" xfId="4" applyNumberFormat="1" applyFont="1" applyBorder="1"/>
    <xf numFmtId="174" fontId="17" fillId="0" borderId="3" xfId="0" applyNumberFormat="1" applyFont="1" applyBorder="1"/>
    <xf numFmtId="174" fontId="18" fillId="0" borderId="0" xfId="0" applyNumberFormat="1" applyFont="1"/>
    <xf numFmtId="0" fontId="2" fillId="0" borderId="10" xfId="0" applyFont="1" applyBorder="1"/>
    <xf numFmtId="0" fontId="2" fillId="0" borderId="1" xfId="0" applyFont="1" applyBorder="1"/>
    <xf numFmtId="0" fontId="2" fillId="0" borderId="27" xfId="0" applyFont="1" applyBorder="1"/>
    <xf numFmtId="0" fontId="2" fillId="0" borderId="12" xfId="0" applyFont="1" applyBorder="1"/>
    <xf numFmtId="0" fontId="2" fillId="0" borderId="0" xfId="0" applyFont="1" applyAlignment="1">
      <alignment horizontal="right"/>
    </xf>
    <xf numFmtId="0" fontId="2" fillId="0" borderId="28" xfId="0" applyFont="1" applyBorder="1"/>
    <xf numFmtId="173" fontId="2" fillId="5" borderId="0" xfId="0" applyNumberFormat="1" applyFont="1" applyFill="1"/>
    <xf numFmtId="0" fontId="2" fillId="0" borderId="29" xfId="0" applyFont="1" applyBorder="1"/>
    <xf numFmtId="0" fontId="2" fillId="0" borderId="3" xfId="0" applyFont="1" applyBorder="1"/>
    <xf numFmtId="0" fontId="2" fillId="0" borderId="30" xfId="0" applyFont="1" applyBorder="1"/>
    <xf numFmtId="37" fontId="2" fillId="0" borderId="0" xfId="0" applyNumberFormat="1" applyFont="1" applyBorder="1" applyAlignment="1">
      <alignment horizontal="center" vertical="top"/>
    </xf>
    <xf numFmtId="174" fontId="14" fillId="0" borderId="0" xfId="0" applyNumberFormat="1" applyFont="1" applyBorder="1" applyAlignment="1">
      <alignment horizontal="center" vertical="top"/>
    </xf>
    <xf numFmtId="173" fontId="13" fillId="0" borderId="0" xfId="0" applyNumberFormat="1" applyFont="1" applyAlignment="1">
      <alignment horizontal="center"/>
    </xf>
    <xf numFmtId="0" fontId="2" fillId="0" borderId="1" xfId="0" applyFont="1" applyBorder="1" applyAlignment="1">
      <alignment horizontal="right"/>
    </xf>
    <xf numFmtId="173" fontId="2" fillId="0" borderId="12" xfId="0" applyNumberFormat="1" applyFont="1" applyBorder="1"/>
    <xf numFmtId="44" fontId="14" fillId="0" borderId="0" xfId="0" applyNumberFormat="1" applyFont="1" applyBorder="1" applyAlignment="1">
      <alignment horizontal="center" vertical="top"/>
    </xf>
    <xf numFmtId="173" fontId="2" fillId="0" borderId="0" xfId="0" applyNumberFormat="1" applyFont="1" applyFill="1" applyBorder="1" applyAlignment="1">
      <alignment horizontal="center"/>
    </xf>
    <xf numFmtId="0" fontId="0" fillId="0" borderId="31" xfId="0" applyBorder="1"/>
    <xf numFmtId="0" fontId="0" fillId="0" borderId="32" xfId="0" applyBorder="1"/>
    <xf numFmtId="0" fontId="0" fillId="0" borderId="33" xfId="0" applyBorder="1"/>
    <xf numFmtId="0" fontId="35" fillId="0" borderId="34" xfId="0" applyFont="1" applyBorder="1"/>
    <xf numFmtId="0" fontId="0" fillId="0" borderId="35" xfId="0" applyBorder="1"/>
    <xf numFmtId="0" fontId="4" fillId="0" borderId="34" xfId="14" applyFont="1" applyBorder="1"/>
    <xf numFmtId="0" fontId="4" fillId="5" borderId="35" xfId="14" applyFont="1" applyFill="1" applyBorder="1"/>
    <xf numFmtId="0" fontId="2" fillId="0" borderId="35" xfId="14" applyBorder="1"/>
    <xf numFmtId="0" fontId="42" fillId="0" borderId="35" xfId="0" applyFont="1" applyBorder="1"/>
    <xf numFmtId="0" fontId="24" fillId="0" borderId="34" xfId="14" applyFont="1" applyBorder="1"/>
    <xf numFmtId="0" fontId="35" fillId="0" borderId="35" xfId="0" applyFont="1" applyBorder="1"/>
    <xf numFmtId="0" fontId="2" fillId="0" borderId="34" xfId="14" applyBorder="1"/>
    <xf numFmtId="1" fontId="4" fillId="0" borderId="0" xfId="14" applyNumberFormat="1" applyFont="1" applyAlignment="1">
      <alignment horizontal="right"/>
    </xf>
    <xf numFmtId="0" fontId="4" fillId="0" borderId="0" xfId="14" applyFont="1" applyAlignment="1">
      <alignment horizontal="right"/>
    </xf>
    <xf numFmtId="1" fontId="0" fillId="0" borderId="0" xfId="0" applyNumberFormat="1"/>
    <xf numFmtId="10" fontId="0" fillId="0" borderId="35" xfId="21" applyNumberFormat="1" applyFont="1" applyBorder="1"/>
    <xf numFmtId="0" fontId="2" fillId="14" borderId="0" xfId="14" applyFill="1"/>
    <xf numFmtId="2" fontId="2" fillId="0" borderId="35" xfId="14" applyNumberFormat="1" applyBorder="1"/>
    <xf numFmtId="173" fontId="0" fillId="0" borderId="0" xfId="0" applyNumberFormat="1"/>
    <xf numFmtId="44" fontId="2" fillId="0" borderId="0" xfId="14" applyNumberFormat="1"/>
    <xf numFmtId="44" fontId="2" fillId="0" borderId="1" xfId="14" applyNumberFormat="1" applyBorder="1"/>
    <xf numFmtId="2" fontId="42" fillId="0" borderId="0" xfId="0" applyNumberFormat="1" applyFont="1"/>
    <xf numFmtId="170" fontId="4" fillId="0" borderId="0" xfId="14" applyNumberFormat="1" applyFont="1" applyAlignment="1">
      <alignment horizontal="left"/>
    </xf>
    <xf numFmtId="174" fontId="4" fillId="10" borderId="20" xfId="14" applyNumberFormat="1" applyFont="1" applyFill="1" applyBorder="1" applyAlignment="1">
      <alignment horizontal="right"/>
    </xf>
    <xf numFmtId="170" fontId="4" fillId="0" borderId="0" xfId="14" applyNumberFormat="1" applyFont="1"/>
    <xf numFmtId="0" fontId="2" fillId="0" borderId="36" xfId="14" applyBorder="1"/>
    <xf numFmtId="174" fontId="24" fillId="0" borderId="3" xfId="14" applyNumberFormat="1" applyFont="1" applyBorder="1"/>
    <xf numFmtId="170" fontId="4" fillId="0" borderId="3" xfId="14" applyNumberFormat="1" applyFont="1" applyBorder="1"/>
    <xf numFmtId="174" fontId="0" fillId="0" borderId="35" xfId="0" applyNumberFormat="1" applyBorder="1"/>
    <xf numFmtId="174" fontId="24" fillId="0" borderId="0" xfId="14" applyNumberFormat="1" applyFont="1"/>
    <xf numFmtId="0" fontId="0" fillId="0" borderId="34" xfId="0" applyBorder="1"/>
    <xf numFmtId="0" fontId="0" fillId="0" borderId="37" xfId="0" applyBorder="1"/>
    <xf numFmtId="174" fontId="0" fillId="0" borderId="2" xfId="0" applyNumberFormat="1" applyBorder="1"/>
    <xf numFmtId="0" fontId="0" fillId="0" borderId="2" xfId="0" applyBorder="1"/>
    <xf numFmtId="2" fontId="0" fillId="0" borderId="2" xfId="0" applyNumberFormat="1" applyBorder="1"/>
    <xf numFmtId="0" fontId="0" fillId="0" borderId="38" xfId="0" applyBorder="1"/>
    <xf numFmtId="0" fontId="24" fillId="0" borderId="0" xfId="0" applyFont="1" applyAlignment="1">
      <alignment horizontal="left" vertical="top" wrapText="1"/>
    </xf>
    <xf numFmtId="4" fontId="2" fillId="0" borderId="0" xfId="14" applyNumberFormat="1"/>
    <xf numFmtId="0" fontId="36" fillId="0" borderId="0" xfId="0" applyFont="1" applyAlignment="1">
      <alignment vertical="top"/>
    </xf>
    <xf numFmtId="0" fontId="0" fillId="0" borderId="9" xfId="0" applyBorder="1" applyAlignment="1">
      <alignment horizontal="left" vertical="top"/>
    </xf>
    <xf numFmtId="44" fontId="2" fillId="0" borderId="0" xfId="0" applyNumberFormat="1" applyFont="1" applyAlignment="1">
      <alignment vertical="top"/>
    </xf>
    <xf numFmtId="0" fontId="27" fillId="0" borderId="0" xfId="14" applyFont="1"/>
    <xf numFmtId="0" fontId="3" fillId="0" borderId="0" xfId="14" applyFont="1"/>
    <xf numFmtId="14" fontId="27" fillId="0" borderId="0" xfId="14" applyNumberFormat="1" applyFont="1"/>
    <xf numFmtId="0" fontId="27" fillId="4" borderId="0" xfId="14" applyFont="1" applyFill="1"/>
    <xf numFmtId="14" fontId="27" fillId="4" borderId="0" xfId="14" applyNumberFormat="1" applyFont="1" applyFill="1"/>
    <xf numFmtId="0" fontId="2" fillId="2" borderId="39" xfId="14" applyFill="1" applyBorder="1"/>
    <xf numFmtId="186" fontId="2" fillId="2" borderId="39" xfId="14" applyNumberFormat="1" applyFill="1" applyBorder="1"/>
    <xf numFmtId="0" fontId="2" fillId="2" borderId="33" xfId="14" applyFill="1" applyBorder="1"/>
    <xf numFmtId="190" fontId="2" fillId="0" borderId="3" xfId="14" applyNumberFormat="1" applyBorder="1"/>
    <xf numFmtId="0" fontId="2" fillId="2" borderId="40" xfId="14" applyFill="1" applyBorder="1"/>
    <xf numFmtId="9" fontId="2" fillId="2" borderId="40" xfId="14" applyNumberFormat="1" applyFill="1" applyBorder="1"/>
    <xf numFmtId="0" fontId="2" fillId="2" borderId="35" xfId="14" applyFill="1" applyBorder="1"/>
    <xf numFmtId="9" fontId="4" fillId="0" borderId="0" xfId="14" applyNumberFormat="1" applyFont="1"/>
    <xf numFmtId="188" fontId="0" fillId="2" borderId="40" xfId="5" applyNumberFormat="1" applyFont="1" applyFill="1" applyBorder="1"/>
    <xf numFmtId="2" fontId="2" fillId="10" borderId="0" xfId="14" applyNumberFormat="1" applyFill="1"/>
    <xf numFmtId="170" fontId="0" fillId="2" borderId="40" xfId="5" applyFont="1" applyFill="1" applyBorder="1"/>
    <xf numFmtId="171" fontId="2" fillId="10" borderId="0" xfId="1" applyFont="1" applyFill="1"/>
    <xf numFmtId="43" fontId="2" fillId="0" borderId="0" xfId="14" applyNumberFormat="1"/>
    <xf numFmtId="37" fontId="2" fillId="2" borderId="40" xfId="14" applyNumberFormat="1" applyFill="1" applyBorder="1"/>
    <xf numFmtId="0" fontId="4" fillId="2" borderId="41" xfId="14" applyFont="1" applyFill="1" applyBorder="1" applyAlignment="1" applyProtection="1">
      <alignment horizontal="left" vertical="top"/>
      <protection locked="0"/>
    </xf>
    <xf numFmtId="171" fontId="2" fillId="0" borderId="0" xfId="1" applyFont="1"/>
    <xf numFmtId="170" fontId="4" fillId="2" borderId="40" xfId="5" applyFont="1" applyFill="1" applyBorder="1"/>
    <xf numFmtId="0" fontId="2" fillId="2" borderId="42" xfId="14" applyFill="1" applyBorder="1"/>
    <xf numFmtId="0" fontId="4" fillId="2" borderId="42" xfId="14" applyFont="1" applyFill="1" applyBorder="1"/>
    <xf numFmtId="0" fontId="2" fillId="2" borderId="38" xfId="14" applyFill="1" applyBorder="1"/>
    <xf numFmtId="0" fontId="2" fillId="3" borderId="31" xfId="14" applyFill="1" applyBorder="1"/>
    <xf numFmtId="188" fontId="2" fillId="3" borderId="33" xfId="5" applyNumberFormat="1" applyFont="1" applyFill="1" applyBorder="1"/>
    <xf numFmtId="186" fontId="2" fillId="0" borderId="0" xfId="1" applyNumberFormat="1" applyFont="1"/>
    <xf numFmtId="0" fontId="2" fillId="4" borderId="36" xfId="14" applyFill="1" applyBorder="1"/>
    <xf numFmtId="188" fontId="2" fillId="4" borderId="43" xfId="5" applyNumberFormat="1" applyFont="1" applyFill="1" applyBorder="1"/>
    <xf numFmtId="0" fontId="2" fillId="3" borderId="37" xfId="14" applyFill="1" applyBorder="1"/>
    <xf numFmtId="188" fontId="2" fillId="3" borderId="38" xfId="5" applyNumberFormat="1" applyFont="1" applyFill="1" applyBorder="1"/>
    <xf numFmtId="186" fontId="2" fillId="0" borderId="0" xfId="14" applyNumberFormat="1"/>
    <xf numFmtId="186" fontId="4" fillId="0" borderId="0" xfId="1" applyNumberFormat="1" applyFont="1"/>
    <xf numFmtId="188" fontId="26" fillId="0" borderId="0" xfId="5" applyNumberFormat="1" applyFont="1"/>
    <xf numFmtId="170" fontId="2" fillId="0" borderId="0" xfId="5" applyFont="1"/>
    <xf numFmtId="188" fontId="2" fillId="0" borderId="0" xfId="5" applyNumberFormat="1" applyFont="1"/>
    <xf numFmtId="170" fontId="2" fillId="0" borderId="3" xfId="5" applyFont="1" applyBorder="1"/>
    <xf numFmtId="170" fontId="4" fillId="0" borderId="0" xfId="5" applyFont="1"/>
    <xf numFmtId="215" fontId="2" fillId="0" borderId="0" xfId="5" applyNumberFormat="1" applyFont="1"/>
    <xf numFmtId="216" fontId="2" fillId="0" borderId="0" xfId="14" applyNumberFormat="1"/>
    <xf numFmtId="212" fontId="4" fillId="0" borderId="0" xfId="14" applyNumberFormat="1" applyFont="1"/>
    <xf numFmtId="0" fontId="12" fillId="0" borderId="0" xfId="14" applyFont="1"/>
    <xf numFmtId="170" fontId="12" fillId="0" borderId="0" xfId="5" applyFont="1"/>
    <xf numFmtId="44" fontId="4" fillId="0" borderId="0" xfId="14" applyNumberFormat="1" applyFont="1"/>
    <xf numFmtId="9" fontId="2" fillId="0" borderId="0" xfId="21" applyFont="1"/>
    <xf numFmtId="173" fontId="35" fillId="0" borderId="0" xfId="0" applyNumberFormat="1" applyFont="1"/>
    <xf numFmtId="173" fontId="0" fillId="10" borderId="20" xfId="0" applyNumberFormat="1" applyFill="1" applyBorder="1"/>
    <xf numFmtId="43" fontId="35" fillId="0" borderId="0" xfId="0" applyNumberFormat="1" applyFont="1"/>
    <xf numFmtId="170" fontId="36" fillId="0" borderId="0" xfId="14" applyNumberFormat="1" applyFont="1"/>
    <xf numFmtId="174" fontId="2" fillId="0" borderId="0" xfId="19" applyNumberFormat="1"/>
    <xf numFmtId="174" fontId="0" fillId="0" borderId="3" xfId="0" applyNumberFormat="1" applyBorder="1"/>
    <xf numFmtId="0" fontId="35" fillId="15" borderId="0" xfId="0" applyFont="1" applyFill="1"/>
    <xf numFmtId="0" fontId="28" fillId="0" borderId="0" xfId="0" applyFont="1" applyProtection="1">
      <protection locked="0"/>
    </xf>
    <xf numFmtId="196" fontId="0" fillId="0" borderId="0" xfId="0" applyNumberFormat="1" applyProtection="1">
      <protection locked="0"/>
    </xf>
    <xf numFmtId="0" fontId="0" fillId="0" borderId="0" xfId="0" applyProtection="1">
      <protection locked="0"/>
    </xf>
    <xf numFmtId="196" fontId="29" fillId="5" borderId="0" xfId="0" applyNumberFormat="1" applyFont="1" applyFill="1" applyProtection="1">
      <protection locked="0"/>
    </xf>
    <xf numFmtId="0" fontId="2" fillId="0" borderId="0" xfId="0" applyFont="1" applyProtection="1">
      <protection locked="0"/>
    </xf>
    <xf numFmtId="196" fontId="30" fillId="0" borderId="0" xfId="0" applyNumberFormat="1" applyFont="1" applyProtection="1">
      <protection locked="0"/>
    </xf>
    <xf numFmtId="0" fontId="47" fillId="0" borderId="0" xfId="0" applyFont="1"/>
    <xf numFmtId="196" fontId="29" fillId="0" borderId="0" xfId="0" applyNumberFormat="1" applyFont="1" applyProtection="1">
      <protection locked="0"/>
    </xf>
    <xf numFmtId="2" fontId="0" fillId="0" borderId="3" xfId="0" applyNumberFormat="1" applyBorder="1"/>
    <xf numFmtId="0" fontId="47" fillId="0" borderId="0" xfId="0" applyFont="1" applyAlignment="1" applyProtection="1">
      <alignment vertical="top" wrapText="1"/>
      <protection locked="0"/>
    </xf>
    <xf numFmtId="196" fontId="35" fillId="5" borderId="0" xfId="0" applyNumberFormat="1" applyFont="1" applyFill="1" applyProtection="1">
      <protection locked="0"/>
    </xf>
    <xf numFmtId="2" fontId="47" fillId="0" borderId="0" xfId="0" applyNumberFormat="1" applyFont="1"/>
    <xf numFmtId="6" fontId="0" fillId="0" borderId="0" xfId="0" applyNumberFormat="1"/>
    <xf numFmtId="0" fontId="0" fillId="0" borderId="0" xfId="0" applyAlignment="1">
      <alignment horizontal="left"/>
    </xf>
    <xf numFmtId="0" fontId="0" fillId="0" borderId="0" xfId="0" applyAlignment="1">
      <alignment horizontal="right"/>
    </xf>
    <xf numFmtId="0" fontId="0" fillId="0" borderId="0" xfId="0" quotePrefix="1" applyProtection="1">
      <protection locked="0"/>
    </xf>
    <xf numFmtId="0" fontId="0" fillId="0" borderId="0" xfId="0" applyAlignment="1" applyProtection="1">
      <alignment horizontal="left"/>
      <protection locked="0"/>
    </xf>
    <xf numFmtId="196" fontId="0" fillId="0" borderId="0" xfId="0" applyNumberFormat="1"/>
    <xf numFmtId="2" fontId="0" fillId="15" borderId="0" xfId="0" applyNumberFormat="1" applyFill="1" applyProtection="1">
      <protection locked="0"/>
    </xf>
    <xf numFmtId="196" fontId="35" fillId="10" borderId="20" xfId="0" applyNumberFormat="1" applyFont="1" applyFill="1" applyBorder="1"/>
    <xf numFmtId="8" fontId="0" fillId="0" borderId="19" xfId="0" applyNumberFormat="1" applyBorder="1"/>
    <xf numFmtId="49" fontId="2" fillId="0" borderId="0" xfId="0" quotePrefix="1" applyNumberFormat="1" applyFont="1" applyFill="1" applyAlignment="1">
      <alignment vertical="top" wrapText="1"/>
    </xf>
    <xf numFmtId="0" fontId="2" fillId="0" borderId="0" xfId="14" applyFont="1"/>
    <xf numFmtId="44" fontId="2" fillId="0" borderId="0" xfId="14" applyNumberFormat="1" applyFont="1"/>
    <xf numFmtId="0" fontId="2" fillId="0" borderId="3" xfId="14" applyFont="1" applyBorder="1"/>
    <xf numFmtId="0" fontId="14" fillId="0" borderId="3" xfId="14" applyFont="1" applyBorder="1"/>
    <xf numFmtId="49" fontId="24" fillId="0" borderId="0" xfId="0" applyNumberFormat="1" applyFont="1" applyAlignment="1">
      <alignment vertical="top"/>
    </xf>
    <xf numFmtId="0" fontId="2" fillId="0" borderId="0" xfId="0" applyFont="1" applyBorder="1" applyAlignment="1">
      <alignment vertical="top"/>
    </xf>
    <xf numFmtId="2" fontId="0" fillId="0" borderId="9" xfId="0" applyNumberFormat="1" applyBorder="1" applyAlignment="1">
      <alignment horizontal="center" vertical="top"/>
    </xf>
    <xf numFmtId="2" fontId="2" fillId="0" borderId="0" xfId="0" applyNumberFormat="1" applyFont="1" applyAlignment="1">
      <alignment vertical="top"/>
    </xf>
    <xf numFmtId="2" fontId="13" fillId="0" borderId="0" xfId="0" applyNumberFormat="1" applyFont="1" applyAlignment="1">
      <alignment vertical="top"/>
    </xf>
    <xf numFmtId="2" fontId="14" fillId="0" borderId="29" xfId="14" applyNumberFormat="1" applyFont="1" applyBorder="1" applyAlignment="1">
      <alignment vertical="top"/>
    </xf>
    <xf numFmtId="174" fontId="2" fillId="0" borderId="3" xfId="0" applyNumberFormat="1" applyFont="1" applyBorder="1" applyAlignment="1">
      <alignment vertical="top"/>
    </xf>
    <xf numFmtId="174" fontId="2" fillId="0" borderId="0" xfId="0" applyNumberFormat="1" applyFont="1" applyBorder="1" applyAlignment="1">
      <alignment vertical="top"/>
    </xf>
    <xf numFmtId="1" fontId="0" fillId="0" borderId="9" xfId="0" applyNumberFormat="1" applyBorder="1" applyAlignment="1">
      <alignment horizontal="center" vertical="top"/>
    </xf>
    <xf numFmtId="0" fontId="13" fillId="0" borderId="3" xfId="0" applyFont="1" applyBorder="1"/>
    <xf numFmtId="170" fontId="14" fillId="0" borderId="3" xfId="9" applyFont="1" applyBorder="1"/>
    <xf numFmtId="9" fontId="14" fillId="0" borderId="3" xfId="20" applyFont="1" applyBorder="1" applyAlignment="1">
      <alignment horizontal="right"/>
    </xf>
    <xf numFmtId="170" fontId="14" fillId="0" borderId="3" xfId="5" applyFont="1" applyBorder="1"/>
    <xf numFmtId="7" fontId="14" fillId="0" borderId="0" xfId="14" applyNumberFormat="1" applyFont="1"/>
    <xf numFmtId="174" fontId="2" fillId="0" borderId="0" xfId="21" applyNumberFormat="1" applyFont="1" applyBorder="1" applyAlignment="1">
      <alignment horizontal="right" vertical="top"/>
    </xf>
    <xf numFmtId="174" fontId="2" fillId="7" borderId="0" xfId="0" applyNumberFormat="1" applyFont="1" applyFill="1" applyAlignment="1">
      <alignment vertical="top"/>
    </xf>
    <xf numFmtId="0" fontId="2" fillId="0" borderId="3" xfId="0" applyFont="1" applyBorder="1" applyAlignment="1">
      <alignment horizontal="center" vertical="top"/>
    </xf>
    <xf numFmtId="170" fontId="14" fillId="0" borderId="3" xfId="9" applyFont="1" applyBorder="1" applyAlignment="1">
      <alignment vertical="top"/>
    </xf>
    <xf numFmtId="174" fontId="10" fillId="7" borderId="0" xfId="0" applyNumberFormat="1" applyFont="1" applyFill="1" applyAlignment="1">
      <alignment horizontal="center"/>
    </xf>
    <xf numFmtId="174" fontId="14" fillId="0" borderId="0" xfId="14" applyNumberFormat="1" applyFont="1" applyAlignment="1">
      <alignment horizontal="center"/>
    </xf>
    <xf numFmtId="174" fontId="10" fillId="8" borderId="0" xfId="0" applyNumberFormat="1" applyFont="1" applyFill="1" applyAlignment="1">
      <alignment horizontal="center"/>
    </xf>
    <xf numFmtId="174" fontId="2" fillId="0" borderId="0" xfId="14" applyNumberFormat="1" applyFont="1"/>
    <xf numFmtId="174" fontId="14" fillId="0" borderId="0" xfId="14" applyNumberFormat="1" applyFont="1"/>
    <xf numFmtId="220" fontId="2" fillId="0" borderId="0" xfId="21" applyNumberFormat="1" applyFont="1" applyBorder="1" applyAlignment="1">
      <alignment horizontal="right" vertical="top"/>
    </xf>
    <xf numFmtId="0" fontId="4" fillId="0" borderId="0" xfId="14" applyFont="1" applyAlignment="1">
      <alignment horizontal="center" vertical="top"/>
    </xf>
    <xf numFmtId="2" fontId="2" fillId="0" borderId="0" xfId="14" applyNumberFormat="1" applyFont="1" applyAlignment="1">
      <alignment horizontal="center" vertical="top"/>
    </xf>
    <xf numFmtId="2" fontId="4" fillId="0" borderId="0" xfId="14" applyNumberFormat="1" applyFont="1" applyAlignment="1">
      <alignment horizontal="center" vertical="top"/>
    </xf>
    <xf numFmtId="0" fontId="4" fillId="0" borderId="0" xfId="14" applyFont="1" applyAlignment="1">
      <alignment horizontal="left"/>
    </xf>
    <xf numFmtId="0" fontId="4" fillId="0" borderId="0" xfId="14" applyFont="1" applyAlignment="1">
      <alignment vertical="top"/>
    </xf>
    <xf numFmtId="174" fontId="2" fillId="7" borderId="0" xfId="14" applyNumberFormat="1" applyFill="1" applyAlignment="1">
      <alignment horizontal="right"/>
    </xf>
    <xf numFmtId="174" fontId="2" fillId="7" borderId="0" xfId="14" applyNumberFormat="1" applyFont="1" applyFill="1" applyAlignment="1">
      <alignment horizontal="right"/>
    </xf>
    <xf numFmtId="0" fontId="31" fillId="0" borderId="0" xfId="0" applyFont="1"/>
    <xf numFmtId="174" fontId="31" fillId="0" borderId="0" xfId="0" applyNumberFormat="1" applyFont="1"/>
    <xf numFmtId="0" fontId="31" fillId="0" borderId="3" xfId="0" applyFont="1" applyBorder="1"/>
    <xf numFmtId="4" fontId="2" fillId="0" borderId="0" xfId="0" applyNumberFormat="1" applyFont="1"/>
    <xf numFmtId="174" fontId="37" fillId="16" borderId="9" xfId="0" applyNumberFormat="1" applyFont="1" applyFill="1" applyBorder="1" applyAlignment="1">
      <alignment horizontal="center" vertical="top"/>
    </xf>
    <xf numFmtId="44" fontId="2" fillId="0" borderId="0" xfId="0" applyNumberFormat="1" applyFont="1"/>
    <xf numFmtId="0" fontId="2" fillId="0" borderId="0" xfId="0" applyFont="1" applyAlignment="1">
      <alignment horizontal="left"/>
    </xf>
    <xf numFmtId="0" fontId="10" fillId="0" borderId="3" xfId="0" applyFont="1" applyBorder="1"/>
    <xf numFmtId="174" fontId="10" fillId="0" borderId="3" xfId="0" applyNumberFormat="1" applyFont="1" applyBorder="1"/>
    <xf numFmtId="170" fontId="37" fillId="17" borderId="0" xfId="9" applyFont="1" applyFill="1" applyBorder="1" applyAlignment="1">
      <alignment vertical="top"/>
    </xf>
    <xf numFmtId="1" fontId="17" fillId="6" borderId="0" xfId="19" applyNumberFormat="1" applyFont="1" applyFill="1" applyAlignment="1">
      <alignment vertical="top"/>
    </xf>
    <xf numFmtId="174" fontId="2" fillId="6" borderId="9" xfId="19" applyNumberFormat="1" applyFill="1" applyBorder="1" applyAlignment="1">
      <alignment horizontal="center" vertical="top"/>
    </xf>
    <xf numFmtId="0" fontId="2" fillId="0" borderId="9" xfId="19" applyBorder="1" applyAlignment="1">
      <alignment horizontal="center" vertical="top"/>
    </xf>
    <xf numFmtId="212" fontId="48" fillId="0" borderId="9" xfId="0" applyNumberFormat="1" applyFont="1" applyBorder="1" applyAlignment="1">
      <alignment horizontal="center" vertical="top"/>
    </xf>
    <xf numFmtId="9" fontId="17" fillId="6" borderId="0" xfId="19" applyNumberFormat="1" applyFont="1" applyFill="1" applyAlignment="1">
      <alignment vertical="top"/>
    </xf>
    <xf numFmtId="9" fontId="17" fillId="6" borderId="3" xfId="19" applyNumberFormat="1" applyFont="1" applyFill="1" applyBorder="1" applyAlignment="1">
      <alignment vertical="top"/>
    </xf>
    <xf numFmtId="174" fontId="2" fillId="6" borderId="14" xfId="19" applyNumberFormat="1" applyFill="1" applyBorder="1" applyAlignment="1">
      <alignment horizontal="center" vertical="top"/>
    </xf>
    <xf numFmtId="0" fontId="2" fillId="0" borderId="14" xfId="19" applyBorder="1" applyAlignment="1">
      <alignment horizontal="center" vertical="top"/>
    </xf>
    <xf numFmtId="174" fontId="2" fillId="0" borderId="9" xfId="19" applyNumberFormat="1" applyBorder="1" applyAlignment="1">
      <alignment horizontal="center" vertical="top"/>
    </xf>
    <xf numFmtId="9" fontId="17" fillId="0" borderId="0" xfId="19" applyNumberFormat="1" applyFont="1" applyFill="1" applyAlignment="1">
      <alignment vertical="top"/>
    </xf>
    <xf numFmtId="174" fontId="2" fillId="0" borderId="9" xfId="19" applyNumberFormat="1" applyFill="1" applyBorder="1" applyAlignment="1">
      <alignment horizontal="center" vertical="top"/>
    </xf>
    <xf numFmtId="212" fontId="48" fillId="0" borderId="9" xfId="0" applyNumberFormat="1" applyFont="1" applyFill="1" applyBorder="1" applyAlignment="1">
      <alignment horizontal="center" vertical="top"/>
    </xf>
    <xf numFmtId="9" fontId="2" fillId="6" borderId="0" xfId="19" applyNumberFormat="1" applyFont="1" applyFill="1" applyAlignment="1">
      <alignment vertical="top"/>
    </xf>
    <xf numFmtId="9" fontId="2" fillId="0" borderId="0" xfId="19" applyNumberFormat="1" applyFont="1" applyFill="1" applyAlignment="1">
      <alignment vertical="top"/>
    </xf>
    <xf numFmtId="49" fontId="2" fillId="18" borderId="0" xfId="0" applyNumberFormat="1" applyFont="1" applyFill="1" applyAlignment="1">
      <alignment vertical="top"/>
    </xf>
    <xf numFmtId="0" fontId="0" fillId="18" borderId="9" xfId="0" applyFill="1" applyBorder="1" applyAlignment="1">
      <alignment horizontal="center" vertical="top"/>
    </xf>
    <xf numFmtId="0" fontId="2" fillId="18" borderId="12" xfId="0" applyFont="1" applyFill="1" applyBorder="1" applyAlignment="1">
      <alignment horizontal="center" vertical="top"/>
    </xf>
    <xf numFmtId="173" fontId="0" fillId="0" borderId="9" xfId="0" applyNumberFormat="1" applyBorder="1" applyAlignment="1">
      <alignment horizontal="center" vertical="top"/>
    </xf>
    <xf numFmtId="190" fontId="14" fillId="5" borderId="4" xfId="0" applyNumberFormat="1" applyFont="1" applyFill="1" applyBorder="1" applyAlignment="1">
      <alignment horizontal="center" vertical="top"/>
    </xf>
    <xf numFmtId="0" fontId="2" fillId="0" borderId="9" xfId="0" applyFont="1" applyFill="1" applyBorder="1" applyAlignment="1">
      <alignment horizontal="center" vertical="top"/>
    </xf>
    <xf numFmtId="0" fontId="36" fillId="0" borderId="9" xfId="0" applyFont="1" applyFill="1" applyBorder="1" applyAlignment="1">
      <alignment horizontal="center" vertical="top"/>
    </xf>
    <xf numFmtId="10" fontId="14" fillId="0" borderId="4" xfId="0" applyNumberFormat="1" applyFont="1" applyBorder="1" applyAlignment="1">
      <alignment horizontal="center" vertical="top"/>
    </xf>
    <xf numFmtId="0" fontId="10" fillId="0" borderId="0" xfId="0" applyFont="1" applyAlignment="1">
      <alignment vertical="top"/>
    </xf>
    <xf numFmtId="0" fontId="10" fillId="7" borderId="0" xfId="0" applyFont="1" applyFill="1" applyAlignment="1">
      <alignment vertical="top"/>
    </xf>
    <xf numFmtId="0" fontId="10" fillId="8" borderId="0" xfId="0" applyFont="1" applyFill="1" applyAlignment="1">
      <alignment vertical="top"/>
    </xf>
    <xf numFmtId="174" fontId="10" fillId="7" borderId="0" xfId="0" applyNumberFormat="1" applyFont="1" applyFill="1" applyAlignment="1">
      <alignment vertical="top"/>
    </xf>
    <xf numFmtId="174" fontId="10" fillId="8" borderId="0" xfId="0" applyNumberFormat="1" applyFont="1" applyFill="1" applyAlignment="1">
      <alignment vertical="top"/>
    </xf>
    <xf numFmtId="174" fontId="10" fillId="0" borderId="0" xfId="0" applyNumberFormat="1" applyFont="1" applyAlignment="1">
      <alignment vertical="top"/>
    </xf>
    <xf numFmtId="0" fontId="2" fillId="7" borderId="0" xfId="0" applyFont="1" applyFill="1" applyAlignment="1">
      <alignment vertical="top"/>
    </xf>
    <xf numFmtId="2" fontId="10" fillId="8" borderId="0" xfId="0" applyNumberFormat="1" applyFont="1" applyFill="1" applyAlignment="1">
      <alignment vertical="top"/>
    </xf>
    <xf numFmtId="0" fontId="10" fillId="7" borderId="1" xfId="0" applyFont="1" applyFill="1" applyBorder="1" applyAlignment="1">
      <alignment vertical="top"/>
    </xf>
    <xf numFmtId="0" fontId="10" fillId="6" borderId="1" xfId="0" applyFont="1" applyFill="1" applyBorder="1" applyAlignment="1">
      <alignment vertical="top"/>
    </xf>
    <xf numFmtId="0" fontId="10" fillId="8" borderId="1" xfId="0" applyFont="1" applyFill="1" applyBorder="1" applyAlignment="1">
      <alignment vertical="top"/>
    </xf>
    <xf numFmtId="170" fontId="9" fillId="7" borderId="0" xfId="4" applyFont="1" applyFill="1" applyAlignment="1">
      <alignment vertical="top"/>
    </xf>
    <xf numFmtId="170" fontId="9" fillId="6" borderId="0" xfId="4" applyFont="1" applyFill="1" applyAlignment="1">
      <alignment vertical="top"/>
    </xf>
    <xf numFmtId="170" fontId="9" fillId="8" borderId="0" xfId="4" applyFont="1" applyFill="1" applyAlignment="1">
      <alignment vertical="top"/>
    </xf>
    <xf numFmtId="170" fontId="12" fillId="7" borderId="2" xfId="4" applyFont="1" applyFill="1" applyBorder="1" applyAlignment="1">
      <alignment vertical="top"/>
    </xf>
    <xf numFmtId="170" fontId="12" fillId="6" borderId="2" xfId="4" applyFont="1" applyFill="1" applyBorder="1" applyAlignment="1">
      <alignment vertical="top"/>
    </xf>
    <xf numFmtId="170" fontId="12" fillId="8" borderId="2" xfId="4" applyFont="1" applyFill="1" applyBorder="1" applyAlignment="1">
      <alignment vertical="top"/>
    </xf>
    <xf numFmtId="0" fontId="36" fillId="0" borderId="9" xfId="0" applyFont="1" applyFill="1" applyBorder="1" applyAlignment="1">
      <alignment horizontal="left" vertical="top"/>
    </xf>
    <xf numFmtId="170" fontId="3" fillId="0" borderId="0" xfId="5" applyFont="1" applyFill="1" applyAlignment="1">
      <alignment vertical="top"/>
    </xf>
    <xf numFmtId="174" fontId="37" fillId="19" borderId="9" xfId="0" applyNumberFormat="1" applyFont="1" applyFill="1" applyBorder="1" applyAlignment="1">
      <alignment horizontal="center" vertical="top"/>
    </xf>
    <xf numFmtId="0" fontId="36" fillId="0" borderId="9" xfId="0" applyFont="1" applyBorder="1" applyAlignment="1">
      <alignment vertical="top"/>
    </xf>
    <xf numFmtId="14" fontId="10" fillId="0" borderId="0" xfId="0" applyNumberFormat="1" applyFont="1"/>
    <xf numFmtId="4" fontId="14" fillId="0" borderId="0" xfId="9" applyNumberFormat="1" applyFont="1"/>
    <xf numFmtId="1" fontId="14" fillId="0" borderId="0" xfId="9" applyNumberFormat="1" applyFont="1" applyBorder="1" applyAlignment="1">
      <alignment horizontal="right" vertical="top"/>
    </xf>
    <xf numFmtId="1" fontId="14" fillId="0" borderId="0" xfId="0" applyNumberFormat="1" applyFont="1" applyBorder="1" applyAlignment="1">
      <alignment horizontal="center" vertical="top"/>
    </xf>
    <xf numFmtId="1" fontId="14" fillId="0" borderId="0" xfId="9" applyNumberFormat="1" applyFont="1"/>
    <xf numFmtId="1" fontId="13" fillId="0" borderId="0" xfId="0" applyNumberFormat="1" applyFont="1"/>
    <xf numFmtId="1" fontId="13" fillId="0" borderId="29" xfId="0" applyNumberFormat="1" applyFont="1" applyBorder="1"/>
    <xf numFmtId="1" fontId="10" fillId="0" borderId="0" xfId="0" applyNumberFormat="1" applyFont="1"/>
    <xf numFmtId="0" fontId="2" fillId="0" borderId="3" xfId="0" applyFont="1" applyBorder="1" applyAlignment="1">
      <alignment horizontal="right"/>
    </xf>
    <xf numFmtId="1" fontId="2" fillId="0" borderId="3" xfId="0" applyNumberFormat="1" applyFont="1" applyBorder="1"/>
    <xf numFmtId="0" fontId="4" fillId="0" borderId="0" xfId="0" applyFont="1" applyAlignment="1">
      <alignment horizontal="right"/>
    </xf>
    <xf numFmtId="1" fontId="18" fillId="0" borderId="0" xfId="0" applyNumberFormat="1" applyFont="1"/>
    <xf numFmtId="1" fontId="10" fillId="0" borderId="3" xfId="0" applyNumberFormat="1" applyFont="1" applyBorder="1"/>
    <xf numFmtId="39" fontId="13" fillId="0" borderId="0" xfId="0" applyNumberFormat="1" applyFont="1"/>
    <xf numFmtId="39" fontId="10" fillId="0" borderId="3" xfId="0" applyNumberFormat="1" applyFont="1" applyBorder="1"/>
    <xf numFmtId="174" fontId="2" fillId="0" borderId="28" xfId="0" applyNumberFormat="1" applyFont="1" applyBorder="1"/>
    <xf numFmtId="1" fontId="14" fillId="0" borderId="0" xfId="0" applyNumberFormat="1" applyFont="1" applyBorder="1" applyAlignment="1">
      <alignment horizontal="right" vertical="top"/>
    </xf>
    <xf numFmtId="1" fontId="14" fillId="0" borderId="0" xfId="9" applyNumberFormat="1" applyFont="1" applyAlignment="1">
      <alignment horizontal="right"/>
    </xf>
    <xf numFmtId="1" fontId="13" fillId="0" borderId="3" xfId="0" applyNumberFormat="1" applyFont="1" applyBorder="1" applyAlignment="1">
      <alignment horizontal="right"/>
    </xf>
    <xf numFmtId="3" fontId="14" fillId="0" borderId="0" xfId="9" applyNumberFormat="1" applyFont="1"/>
    <xf numFmtId="3" fontId="14" fillId="0" borderId="0" xfId="9" applyNumberFormat="1" applyFont="1" applyBorder="1" applyAlignment="1">
      <alignment horizontal="right" vertical="top"/>
    </xf>
    <xf numFmtId="170" fontId="3" fillId="0" borderId="0" xfId="0" applyNumberFormat="1" applyFont="1"/>
    <xf numFmtId="0" fontId="3" fillId="0" borderId="0" xfId="0" applyFont="1"/>
    <xf numFmtId="0" fontId="2" fillId="5" borderId="0" xfId="0" applyFont="1" applyFill="1" applyAlignment="1">
      <alignment horizontal="left" vertical="top" wrapText="1"/>
    </xf>
    <xf numFmtId="49" fontId="2" fillId="20" borderId="0" xfId="0" applyNumberFormat="1" applyFont="1" applyFill="1" applyAlignment="1">
      <alignment vertical="top" wrapText="1"/>
    </xf>
    <xf numFmtId="49" fontId="31" fillId="20" borderId="0" xfId="0" applyNumberFormat="1" applyFont="1" applyFill="1" applyAlignment="1">
      <alignment vertical="top" wrapText="1"/>
    </xf>
    <xf numFmtId="0" fontId="31" fillId="0" borderId="9" xfId="0" applyFont="1" applyBorder="1" applyAlignment="1">
      <alignment horizontal="center" vertical="top"/>
    </xf>
    <xf numFmtId="0" fontId="31" fillId="0" borderId="12" xfId="0" applyFont="1" applyBorder="1" applyAlignment="1">
      <alignment horizontal="center" vertical="top"/>
    </xf>
    <xf numFmtId="0" fontId="31" fillId="0" borderId="9" xfId="0" applyFont="1" applyFill="1" applyBorder="1" applyAlignment="1">
      <alignment horizontal="center" vertical="top"/>
    </xf>
    <xf numFmtId="0" fontId="4" fillId="0" borderId="0" xfId="0" applyFont="1" applyAlignment="1">
      <alignment vertical="top"/>
    </xf>
    <xf numFmtId="0" fontId="2" fillId="20" borderId="0" xfId="0" applyFont="1" applyFill="1" applyAlignment="1">
      <alignment horizontal="left" vertical="top" wrapText="1"/>
    </xf>
    <xf numFmtId="0" fontId="36" fillId="20" borderId="0" xfId="0" applyFont="1" applyFill="1" applyAlignment="1">
      <alignment horizontal="left" vertical="top" wrapText="1"/>
    </xf>
    <xf numFmtId="0" fontId="9" fillId="0" borderId="0" xfId="0" applyFont="1" applyAlignment="1">
      <alignment horizontal="center" vertical="top" wrapText="1"/>
    </xf>
    <xf numFmtId="0" fontId="32" fillId="0" borderId="0" xfId="0" applyFont="1"/>
    <xf numFmtId="44" fontId="10" fillId="0" borderId="0" xfId="0" applyNumberFormat="1" applyFont="1"/>
    <xf numFmtId="2" fontId="17" fillId="0" borderId="0" xfId="0" applyNumberFormat="1" applyFont="1" applyAlignment="1">
      <alignment vertical="top"/>
    </xf>
    <xf numFmtId="44" fontId="17" fillId="0" borderId="0" xfId="0" applyNumberFormat="1" applyFont="1"/>
    <xf numFmtId="0" fontId="33" fillId="0" borderId="0" xfId="0" applyFont="1"/>
    <xf numFmtId="0" fontId="49" fillId="0" borderId="0" xfId="0" applyFont="1"/>
    <xf numFmtId="44" fontId="49" fillId="0" borderId="0" xfId="0" applyNumberFormat="1" applyFont="1"/>
    <xf numFmtId="0" fontId="50" fillId="0" borderId="0" xfId="0" applyFont="1"/>
    <xf numFmtId="170" fontId="14" fillId="0" borderId="0" xfId="14" applyNumberFormat="1" applyFont="1"/>
    <xf numFmtId="212" fontId="13" fillId="0" borderId="0" xfId="0" applyNumberFormat="1" applyFont="1"/>
    <xf numFmtId="0" fontId="4" fillId="0" borderId="9" xfId="0" applyFont="1" applyBorder="1" applyAlignment="1">
      <alignment horizontal="center" vertical="top"/>
    </xf>
    <xf numFmtId="0" fontId="4" fillId="0" borderId="12" xfId="0" applyFont="1" applyBorder="1" applyAlignment="1">
      <alignment horizontal="center" vertical="top"/>
    </xf>
    <xf numFmtId="2" fontId="4" fillId="0" borderId="9" xfId="0" applyNumberFormat="1" applyFont="1" applyBorder="1" applyAlignment="1">
      <alignment horizontal="center" vertical="top"/>
    </xf>
    <xf numFmtId="44" fontId="4" fillId="0" borderId="9" xfId="0" applyNumberFormat="1" applyFont="1" applyBorder="1" applyAlignment="1">
      <alignment vertical="top"/>
    </xf>
    <xf numFmtId="174" fontId="38" fillId="0" borderId="9" xfId="0" applyNumberFormat="1" applyFont="1" applyBorder="1" applyAlignment="1">
      <alignment horizontal="center" vertical="top"/>
    </xf>
    <xf numFmtId="44" fontId="51" fillId="0" borderId="9" xfId="0" applyNumberFormat="1" applyFont="1" applyBorder="1" applyAlignment="1">
      <alignment vertical="top"/>
    </xf>
    <xf numFmtId="44" fontId="4" fillId="0" borderId="9" xfId="9" applyNumberFormat="1" applyFont="1" applyBorder="1" applyAlignment="1">
      <alignment horizontal="right" vertical="top"/>
    </xf>
    <xf numFmtId="9" fontId="38" fillId="0" borderId="9" xfId="21" applyFont="1" applyBorder="1" applyAlignment="1">
      <alignment horizontal="right" vertical="top"/>
    </xf>
    <xf numFmtId="174" fontId="13" fillId="0" borderId="3" xfId="0" applyNumberFormat="1" applyFont="1" applyBorder="1"/>
    <xf numFmtId="0" fontId="9" fillId="0" borderId="0" xfId="0" applyFont="1" applyAlignment="1">
      <alignment horizontal="center" vertical="top" wrapText="1"/>
    </xf>
    <xf numFmtId="0" fontId="2" fillId="0" borderId="0" xfId="0" applyFont="1" applyAlignment="1"/>
    <xf numFmtId="0" fontId="0" fillId="0" borderId="0" xfId="0" applyAlignment="1"/>
  </cellXfs>
  <cellStyles count="23">
    <cellStyle name="Comma 2" xfId="1" xr:uid="{2A8CC263-D09C-44CB-AE05-787A40D37975}"/>
    <cellStyle name="Comma 3" xfId="2" xr:uid="{1437CA73-5B17-42C6-BCDD-78529A128DCC}"/>
    <cellStyle name="Comma 4" xfId="3" xr:uid="{7038EDC6-3F4E-4F03-B42E-78ED4530B45A}"/>
    <cellStyle name="Currency" xfId="4" builtinId="4"/>
    <cellStyle name="Currency 2" xfId="5" xr:uid="{320A10E7-FB14-49EF-9145-208EEAF00288}"/>
    <cellStyle name="Currency 2 2" xfId="6" xr:uid="{76ACD8FA-9D04-4FA1-B157-BAFE3EC70195}"/>
    <cellStyle name="Currency 2 3" xfId="7" xr:uid="{AA193F29-A4EA-4E62-9194-33856DEC5649}"/>
    <cellStyle name="Currency 3" xfId="8" xr:uid="{164D0678-A337-40D0-9D26-C6B0C9E477E0}"/>
    <cellStyle name="Currency 3 2" xfId="9" xr:uid="{00E84315-48A1-4586-B82B-36A93A76FD87}"/>
    <cellStyle name="Currency 4" xfId="10" xr:uid="{2E036218-4750-4A04-AE22-A39DDFE747D6}"/>
    <cellStyle name="Currency 5" xfId="11" xr:uid="{15D668C2-B8E1-4A8A-A0DB-8D98C31B1074}"/>
    <cellStyle name="Currency 6" xfId="12" xr:uid="{CEC4CA8E-7D4B-4E6E-9D95-F3C092ECB779}"/>
    <cellStyle name="Hyperlink 2" xfId="13" xr:uid="{79A50BF1-809A-44FF-BF6A-D5DA015EB6E1}"/>
    <cellStyle name="Normal" xfId="0" builtinId="0"/>
    <cellStyle name="Normal 2" xfId="14" xr:uid="{50C30A58-BF34-403D-B985-A709E61F745F}"/>
    <cellStyle name="Normal 2 2" xfId="15" xr:uid="{79F1E703-F468-4F90-A90C-02633977186E}"/>
    <cellStyle name="Normal 2 2 2" xfId="16" xr:uid="{A247E609-8CEB-476C-9EF6-6403085AB60D}"/>
    <cellStyle name="Normal 2 3" xfId="17" xr:uid="{430B96DE-24B7-4AD0-BE56-985B2645B035}"/>
    <cellStyle name="Normal 3" xfId="18" xr:uid="{E3677923-8867-41B8-B68A-93C3550C258E}"/>
    <cellStyle name="Normal 4 2" xfId="19" xr:uid="{36CA1F52-5164-443F-8EC4-CF71015EA414}"/>
    <cellStyle name="Percent" xfId="20" builtinId="5"/>
    <cellStyle name="Percent 2" xfId="21" xr:uid="{96C4BC66-C756-44A1-B27A-19A114EA585B}"/>
    <cellStyle name="Percent 3" xfId="22" xr:uid="{6A4E787D-5638-455C-B009-C2C3161320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4790-9AE4-4D0B-B5E6-CF0B7A0017AD}">
  <sheetPr codeName="Sheet1">
    <pageSetUpPr fitToPage="1"/>
  </sheetPr>
  <dimension ref="A1:U237"/>
  <sheetViews>
    <sheetView topLeftCell="A98" zoomScale="85" zoomScaleNormal="85" workbookViewId="0">
      <selection activeCell="D112" sqref="D112"/>
    </sheetView>
  </sheetViews>
  <sheetFormatPr defaultRowHeight="12.75" x14ac:dyDescent="0.2"/>
  <cols>
    <col min="1" max="1" width="6.7109375" style="5" customWidth="1"/>
    <col min="2" max="2" width="64.140625" style="5" customWidth="1"/>
    <col min="3" max="4" width="40.85546875" style="5" customWidth="1"/>
    <col min="5" max="5" width="12.85546875" style="5" customWidth="1"/>
    <col min="6" max="6" width="19.42578125" style="5" customWidth="1"/>
    <col min="7" max="7" width="15.7109375" style="5" customWidth="1"/>
    <col min="8" max="8" width="19.7109375" style="5" customWidth="1"/>
    <col min="9" max="9" width="65.85546875" style="5" customWidth="1"/>
    <col min="10" max="10" width="18.140625" style="5" customWidth="1"/>
    <col min="11" max="11" width="16.85546875" style="5" customWidth="1"/>
    <col min="12" max="12" width="17.140625" style="5" customWidth="1"/>
    <col min="13" max="13" width="18.5703125" style="5" bestFit="1" customWidth="1"/>
    <col min="14" max="14" width="17.140625" style="5" customWidth="1"/>
    <col min="15" max="15" width="20.5703125" style="5" customWidth="1"/>
    <col min="16" max="16" width="23.28515625" style="5" customWidth="1"/>
    <col min="17" max="16384" width="9.140625" style="5"/>
  </cols>
  <sheetData>
    <row r="1" spans="1:11" ht="15.75" x14ac:dyDescent="0.2">
      <c r="A1" s="2"/>
      <c r="B1" s="3" t="s">
        <v>6</v>
      </c>
      <c r="C1" s="4"/>
      <c r="D1" s="4"/>
      <c r="E1" s="4"/>
      <c r="F1" s="4"/>
    </row>
    <row r="2" spans="1:11" ht="15.75" x14ac:dyDescent="0.2">
      <c r="A2" s="2"/>
      <c r="B2" s="12" t="s">
        <v>979</v>
      </c>
      <c r="C2" s="4"/>
      <c r="D2" s="4"/>
      <c r="E2" s="4"/>
      <c r="F2" s="158"/>
    </row>
    <row r="3" spans="1:11" ht="15.75" x14ac:dyDescent="0.2">
      <c r="A3" s="2"/>
      <c r="B3" s="12" t="s">
        <v>55</v>
      </c>
      <c r="C3" s="4"/>
      <c r="D3" s="4"/>
      <c r="E3" s="4"/>
      <c r="F3" s="158"/>
    </row>
    <row r="4" spans="1:11" ht="15.75" x14ac:dyDescent="0.2">
      <c r="A4" s="2"/>
      <c r="B4" s="6"/>
      <c r="C4" s="4"/>
      <c r="D4" s="4"/>
      <c r="E4" s="4"/>
      <c r="F4" s="158"/>
    </row>
    <row r="5" spans="1:11" ht="15.75" x14ac:dyDescent="0.2">
      <c r="A5" s="2"/>
      <c r="B5" s="139">
        <v>46043</v>
      </c>
      <c r="C5" s="4"/>
      <c r="D5" s="4"/>
      <c r="E5" s="4"/>
      <c r="F5" s="158"/>
    </row>
    <row r="6" spans="1:11" ht="15.75" x14ac:dyDescent="0.2">
      <c r="A6" s="2"/>
      <c r="B6" s="683" t="s">
        <v>13</v>
      </c>
      <c r="C6" s="683"/>
      <c r="D6" s="663"/>
      <c r="E6" s="663"/>
      <c r="F6" s="158"/>
      <c r="K6" s="72"/>
    </row>
    <row r="7" spans="1:11" x14ac:dyDescent="0.2">
      <c r="A7" s="2"/>
      <c r="B7" s="7" t="s">
        <v>7</v>
      </c>
      <c r="C7" s="4"/>
      <c r="D7" s="4"/>
      <c r="E7" s="4"/>
      <c r="F7" s="158"/>
      <c r="K7" s="72"/>
    </row>
    <row r="8" spans="1:11" ht="26.25" customHeight="1" x14ac:dyDescent="0.2">
      <c r="A8" s="2"/>
      <c r="B8" s="150" t="s">
        <v>50</v>
      </c>
      <c r="C8" s="4"/>
      <c r="D8" s="4"/>
      <c r="E8" s="4"/>
      <c r="F8" s="158"/>
      <c r="K8" s="72"/>
    </row>
    <row r="9" spans="1:11" ht="89.25" x14ac:dyDescent="0.2">
      <c r="A9" s="2"/>
      <c r="B9" s="396" t="s">
        <v>978</v>
      </c>
      <c r="C9" s="4"/>
      <c r="D9" s="4"/>
      <c r="E9" s="4"/>
      <c r="F9" s="157"/>
    </row>
    <row r="10" spans="1:11" ht="26.25" customHeight="1" x14ac:dyDescent="0.2">
      <c r="A10" s="2"/>
      <c r="B10" s="155" t="s">
        <v>49</v>
      </c>
      <c r="C10" s="4"/>
      <c r="D10" s="4"/>
      <c r="E10" s="4"/>
      <c r="F10" s="157"/>
    </row>
    <row r="11" spans="1:11" ht="27.75" customHeight="1" x14ac:dyDescent="0.2">
      <c r="A11" s="2"/>
      <c r="B11" s="155" t="s">
        <v>838</v>
      </c>
      <c r="C11" s="4"/>
      <c r="D11" s="4"/>
      <c r="E11" s="4"/>
      <c r="F11" s="157"/>
    </row>
    <row r="12" spans="1:11" ht="14.25" customHeight="1" x14ac:dyDescent="0.2">
      <c r="A12" s="2"/>
      <c r="B12" s="155" t="s">
        <v>974</v>
      </c>
      <c r="C12" s="4"/>
      <c r="D12" s="4"/>
      <c r="E12" s="4"/>
      <c r="F12" s="157"/>
    </row>
    <row r="13" spans="1:11" ht="25.5" x14ac:dyDescent="0.2">
      <c r="A13" s="2"/>
      <c r="B13" s="155" t="s">
        <v>627</v>
      </c>
      <c r="C13" s="4"/>
      <c r="D13" s="4"/>
      <c r="E13" s="4"/>
      <c r="F13" s="157"/>
    </row>
    <row r="14" spans="1:11" ht="25.5" x14ac:dyDescent="0.2">
      <c r="A14" s="2"/>
      <c r="B14" s="155" t="s">
        <v>801</v>
      </c>
      <c r="C14" s="4"/>
      <c r="D14" s="4"/>
      <c r="E14" s="4"/>
      <c r="F14" s="157"/>
    </row>
    <row r="15" spans="1:11" ht="15" customHeight="1" x14ac:dyDescent="0.2">
      <c r="A15" s="2"/>
      <c r="B15" s="155" t="s">
        <v>46</v>
      </c>
      <c r="C15" s="4"/>
      <c r="D15" s="4"/>
      <c r="E15" s="4"/>
      <c r="F15" s="157"/>
    </row>
    <row r="16" spans="1:11" ht="15" customHeight="1" x14ac:dyDescent="0.2">
      <c r="A16" s="2"/>
      <c r="B16" s="155" t="s">
        <v>837</v>
      </c>
      <c r="C16" s="4"/>
      <c r="D16" s="4"/>
      <c r="E16" s="4"/>
      <c r="F16" s="157"/>
    </row>
    <row r="17" spans="1:5" ht="15.75" customHeight="1" x14ac:dyDescent="0.2">
      <c r="A17" s="2"/>
      <c r="B17" s="155" t="s">
        <v>51</v>
      </c>
      <c r="C17" s="4"/>
      <c r="D17" s="4"/>
      <c r="E17" s="4"/>
    </row>
    <row r="18" spans="1:5" ht="25.5" customHeight="1" x14ac:dyDescent="0.2">
      <c r="A18" s="2"/>
      <c r="B18" s="155" t="s">
        <v>835</v>
      </c>
      <c r="C18" s="4"/>
      <c r="D18" s="4"/>
      <c r="E18" s="4"/>
    </row>
    <row r="19" spans="1:5" x14ac:dyDescent="0.2">
      <c r="A19" s="2"/>
      <c r="B19" s="155" t="s">
        <v>47</v>
      </c>
      <c r="C19" s="4"/>
      <c r="D19" s="4"/>
      <c r="E19" s="4"/>
    </row>
    <row r="20" spans="1:5" x14ac:dyDescent="0.2">
      <c r="A20" s="2"/>
      <c r="B20" s="155" t="s">
        <v>52</v>
      </c>
      <c r="C20" s="4"/>
      <c r="D20" s="4"/>
      <c r="E20" s="4"/>
    </row>
    <row r="21" spans="1:5" x14ac:dyDescent="0.2">
      <c r="A21" s="2"/>
      <c r="B21" s="1" t="s">
        <v>581</v>
      </c>
      <c r="C21" s="4"/>
      <c r="D21" s="4"/>
      <c r="E21" s="4"/>
    </row>
    <row r="22" spans="1:5" ht="25.5" x14ac:dyDescent="0.2">
      <c r="A22" s="2"/>
      <c r="B22" s="1" t="s">
        <v>939</v>
      </c>
      <c r="C22" s="4"/>
      <c r="D22" s="4"/>
      <c r="E22" s="4"/>
    </row>
    <row r="23" spans="1:5" ht="14.25" customHeight="1" x14ac:dyDescent="0.2">
      <c r="A23" s="2"/>
      <c r="B23" s="661" t="s">
        <v>999</v>
      </c>
      <c r="C23" s="4"/>
      <c r="D23" s="4"/>
      <c r="E23" s="4"/>
    </row>
    <row r="24" spans="1:5" ht="63" customHeight="1" x14ac:dyDescent="0.2">
      <c r="A24" s="2"/>
      <c r="B24" s="661" t="s">
        <v>1001</v>
      </c>
      <c r="C24" s="4"/>
      <c r="D24" s="4"/>
      <c r="E24" s="4"/>
    </row>
    <row r="25" spans="1:5" x14ac:dyDescent="0.2">
      <c r="A25" s="2"/>
      <c r="B25" s="1" t="s">
        <v>869</v>
      </c>
      <c r="C25" s="4"/>
      <c r="D25" s="4"/>
      <c r="E25" s="4"/>
    </row>
    <row r="26" spans="1:5" x14ac:dyDescent="0.2">
      <c r="A26" s="2"/>
      <c r="B26" s="1" t="s">
        <v>622</v>
      </c>
      <c r="C26" s="4"/>
      <c r="D26" s="4"/>
      <c r="E26" s="4"/>
    </row>
    <row r="27" spans="1:5" x14ac:dyDescent="0.2">
      <c r="A27" s="2"/>
      <c r="B27" s="1" t="s">
        <v>635</v>
      </c>
      <c r="C27" s="4"/>
      <c r="D27" s="4"/>
      <c r="E27" s="4"/>
    </row>
    <row r="28" spans="1:5" x14ac:dyDescent="0.2">
      <c r="A28" s="2"/>
      <c r="B28" s="1" t="s">
        <v>1002</v>
      </c>
      <c r="C28" s="4"/>
      <c r="D28" s="4"/>
      <c r="E28" s="4"/>
    </row>
    <row r="29" spans="1:5" ht="51" x14ac:dyDescent="0.2">
      <c r="A29" s="2"/>
      <c r="B29" s="1" t="s">
        <v>862</v>
      </c>
      <c r="C29" s="4"/>
      <c r="D29" s="4"/>
      <c r="E29" s="4"/>
    </row>
    <row r="30" spans="1:5" x14ac:dyDescent="0.2">
      <c r="A30" s="2"/>
      <c r="B30" s="1" t="s">
        <v>892</v>
      </c>
      <c r="C30" s="4"/>
      <c r="D30" s="4"/>
      <c r="E30" s="4"/>
    </row>
    <row r="31" spans="1:5" x14ac:dyDescent="0.2">
      <c r="A31" s="2"/>
      <c r="B31" s="1" t="s">
        <v>893</v>
      </c>
      <c r="C31" s="4"/>
      <c r="D31" s="4"/>
      <c r="E31" s="4"/>
    </row>
    <row r="32" spans="1:5" ht="25.5" x14ac:dyDescent="0.2">
      <c r="A32" s="2"/>
      <c r="B32" s="1" t="s">
        <v>903</v>
      </c>
      <c r="C32" s="4"/>
      <c r="D32" s="4"/>
      <c r="E32" s="4"/>
    </row>
    <row r="33" spans="1:5" ht="25.5" x14ac:dyDescent="0.2">
      <c r="A33" s="2"/>
      <c r="B33" s="1" t="s">
        <v>891</v>
      </c>
      <c r="C33" s="4"/>
      <c r="D33" s="4"/>
      <c r="E33" s="4"/>
    </row>
    <row r="34" spans="1:5" x14ac:dyDescent="0.2">
      <c r="A34" s="2"/>
      <c r="B34" s="1" t="s">
        <v>888</v>
      </c>
      <c r="C34" s="4"/>
      <c r="D34" s="4"/>
      <c r="E34" s="4"/>
    </row>
    <row r="35" spans="1:5" x14ac:dyDescent="0.2">
      <c r="A35" s="2"/>
      <c r="B35" s="1"/>
      <c r="C35" s="4"/>
      <c r="D35" s="4"/>
      <c r="E35" s="4"/>
    </row>
    <row r="36" spans="1:5" x14ac:dyDescent="0.2">
      <c r="A36" s="2"/>
      <c r="B36" s="396" t="s">
        <v>580</v>
      </c>
      <c r="C36" s="4"/>
      <c r="D36" s="4"/>
      <c r="E36" s="4"/>
    </row>
    <row r="37" spans="1:5" ht="25.5" x14ac:dyDescent="0.2">
      <c r="A37" s="2"/>
      <c r="B37" s="155" t="s">
        <v>1009</v>
      </c>
      <c r="C37" s="4"/>
      <c r="D37" s="4"/>
      <c r="E37" s="4"/>
    </row>
    <row r="38" spans="1:5" ht="25.5" x14ac:dyDescent="0.2">
      <c r="A38" s="2"/>
      <c r="B38" s="155" t="s">
        <v>902</v>
      </c>
      <c r="C38" s="4"/>
      <c r="D38" s="4"/>
      <c r="E38" s="4"/>
    </row>
    <row r="39" spans="1:5" ht="89.25" x14ac:dyDescent="0.2">
      <c r="A39" s="2"/>
      <c r="B39" s="155" t="s">
        <v>980</v>
      </c>
      <c r="C39" s="4"/>
      <c r="D39" s="4"/>
      <c r="E39" s="4"/>
    </row>
    <row r="40" spans="1:5" x14ac:dyDescent="0.2">
      <c r="A40" s="2"/>
      <c r="B40" s="155" t="s">
        <v>640</v>
      </c>
      <c r="C40" s="4"/>
      <c r="D40" s="4"/>
      <c r="E40" s="4"/>
    </row>
    <row r="41" spans="1:5" x14ac:dyDescent="0.2">
      <c r="A41" s="2"/>
      <c r="B41" s="155" t="s">
        <v>641</v>
      </c>
      <c r="C41" s="4"/>
      <c r="D41" s="4"/>
      <c r="E41" s="4"/>
    </row>
    <row r="42" spans="1:5" ht="15.75" customHeight="1" x14ac:dyDescent="0.2">
      <c r="A42" s="2"/>
      <c r="B42" s="155" t="s">
        <v>940</v>
      </c>
      <c r="C42" s="4"/>
      <c r="D42" s="4"/>
      <c r="E42" s="4"/>
    </row>
    <row r="43" spans="1:5" ht="15" customHeight="1" x14ac:dyDescent="0.2">
      <c r="A43" s="2"/>
      <c r="B43" s="155" t="s">
        <v>965</v>
      </c>
      <c r="C43" s="4"/>
      <c r="D43" s="4"/>
      <c r="E43" s="4"/>
    </row>
    <row r="44" spans="1:5" ht="15" customHeight="1" x14ac:dyDescent="0.2">
      <c r="A44" s="2"/>
      <c r="B44" s="155" t="s">
        <v>941</v>
      </c>
      <c r="C44" s="4"/>
      <c r="D44" s="4"/>
      <c r="E44" s="4"/>
    </row>
    <row r="45" spans="1:5" ht="15.75" customHeight="1" x14ac:dyDescent="0.2">
      <c r="A45" s="2"/>
      <c r="B45" s="155" t="s">
        <v>748</v>
      </c>
      <c r="C45" s="4"/>
      <c r="D45" s="4"/>
      <c r="E45" s="4"/>
    </row>
    <row r="46" spans="1:5" ht="25.5" x14ac:dyDescent="0.2">
      <c r="A46" s="2"/>
      <c r="B46" s="155" t="s">
        <v>650</v>
      </c>
      <c r="C46" s="4"/>
      <c r="D46" s="4"/>
      <c r="E46" s="4"/>
    </row>
    <row r="47" spans="1:5" ht="14.25" customHeight="1" x14ac:dyDescent="0.2">
      <c r="A47" s="2"/>
      <c r="B47" s="155" t="s">
        <v>926</v>
      </c>
      <c r="C47" s="4"/>
      <c r="D47" s="4"/>
      <c r="E47" s="4"/>
    </row>
    <row r="48" spans="1:5" x14ac:dyDescent="0.2">
      <c r="A48" s="2"/>
      <c r="B48" s="155" t="s">
        <v>655</v>
      </c>
      <c r="C48" s="4"/>
      <c r="D48" s="4"/>
      <c r="E48" s="4"/>
    </row>
    <row r="49" spans="1:5" ht="38.25" x14ac:dyDescent="0.2">
      <c r="A49" s="2"/>
      <c r="B49" s="155" t="s">
        <v>720</v>
      </c>
      <c r="C49" s="4"/>
      <c r="D49" s="4"/>
      <c r="E49" s="4"/>
    </row>
    <row r="50" spans="1:5" ht="63.75" x14ac:dyDescent="0.2">
      <c r="A50" s="2"/>
      <c r="B50" s="155" t="s">
        <v>721</v>
      </c>
      <c r="C50" s="4"/>
      <c r="D50" s="4"/>
      <c r="E50" s="4"/>
    </row>
    <row r="51" spans="1:5" x14ac:dyDescent="0.2">
      <c r="A51" s="2"/>
      <c r="B51" s="155"/>
      <c r="C51" s="4"/>
      <c r="D51" s="4"/>
      <c r="E51" s="4"/>
    </row>
    <row r="52" spans="1:5" x14ac:dyDescent="0.2">
      <c r="A52" s="2"/>
      <c r="B52" s="396" t="s">
        <v>634</v>
      </c>
      <c r="C52" s="4"/>
      <c r="D52" s="4"/>
      <c r="E52" s="4"/>
    </row>
    <row r="53" spans="1:5" x14ac:dyDescent="0.2">
      <c r="A53" s="2"/>
      <c r="B53" s="155" t="s">
        <v>922</v>
      </c>
      <c r="C53" s="4"/>
      <c r="D53" s="4"/>
      <c r="E53" s="4"/>
    </row>
    <row r="54" spans="1:5" ht="38.25" x14ac:dyDescent="0.2">
      <c r="A54" s="2"/>
      <c r="B54" s="155" t="s">
        <v>839</v>
      </c>
      <c r="C54" s="4"/>
      <c r="D54" s="4"/>
      <c r="E54" s="4"/>
    </row>
    <row r="55" spans="1:5" x14ac:dyDescent="0.2">
      <c r="A55" s="2"/>
      <c r="B55" s="155" t="s">
        <v>754</v>
      </c>
      <c r="C55" s="4"/>
      <c r="D55" s="4"/>
      <c r="E55" s="4"/>
    </row>
    <row r="56" spans="1:5" ht="25.5" x14ac:dyDescent="0.2">
      <c r="A56" s="2"/>
      <c r="B56" s="155" t="s">
        <v>955</v>
      </c>
      <c r="C56" s="4"/>
      <c r="D56" s="4"/>
      <c r="E56" s="4"/>
    </row>
    <row r="57" spans="1:5" x14ac:dyDescent="0.2">
      <c r="A57" s="2"/>
      <c r="B57" s="155"/>
      <c r="C57" s="4"/>
      <c r="D57" s="4"/>
      <c r="E57" s="4"/>
    </row>
    <row r="58" spans="1:5" x14ac:dyDescent="0.2">
      <c r="A58" s="2"/>
      <c r="B58" s="396" t="s">
        <v>621</v>
      </c>
      <c r="C58" s="4"/>
      <c r="D58" s="4"/>
      <c r="E58" s="4"/>
    </row>
    <row r="59" spans="1:5" x14ac:dyDescent="0.2">
      <c r="A59" s="2"/>
      <c r="B59" s="155" t="s">
        <v>1011</v>
      </c>
      <c r="C59" s="4"/>
      <c r="D59" s="4"/>
      <c r="E59" s="4"/>
    </row>
    <row r="60" spans="1:5" ht="25.5" x14ac:dyDescent="0.2">
      <c r="A60" s="2"/>
      <c r="B60" s="155" t="s">
        <v>923</v>
      </c>
      <c r="C60" s="4"/>
      <c r="D60" s="4"/>
      <c r="E60" s="4"/>
    </row>
    <row r="61" spans="1:5" ht="25.5" x14ac:dyDescent="0.2">
      <c r="A61" s="2"/>
      <c r="B61" s="155" t="s">
        <v>928</v>
      </c>
      <c r="C61" s="4"/>
      <c r="D61" s="4"/>
      <c r="E61" s="4"/>
    </row>
    <row r="62" spans="1:5" x14ac:dyDescent="0.2">
      <c r="A62" s="2"/>
      <c r="B62" s="155"/>
      <c r="C62" s="4"/>
      <c r="D62" s="4"/>
      <c r="E62" s="4"/>
    </row>
    <row r="63" spans="1:5" x14ac:dyDescent="0.2">
      <c r="A63" s="2"/>
      <c r="B63" s="396" t="s">
        <v>623</v>
      </c>
      <c r="C63" s="4"/>
      <c r="D63" s="4"/>
      <c r="E63" s="4"/>
    </row>
    <row r="64" spans="1:5" ht="38.25" x14ac:dyDescent="0.2">
      <c r="A64" s="2"/>
      <c r="B64" s="155" t="s">
        <v>964</v>
      </c>
      <c r="C64" s="4"/>
      <c r="D64" s="4"/>
      <c r="E64" s="4"/>
    </row>
    <row r="65" spans="1:5" x14ac:dyDescent="0.2">
      <c r="A65" s="2"/>
      <c r="B65" s="155"/>
      <c r="C65" s="4"/>
      <c r="D65" s="4"/>
      <c r="E65" s="4"/>
    </row>
    <row r="66" spans="1:5" x14ac:dyDescent="0.2">
      <c r="A66" s="2"/>
      <c r="B66" s="396" t="s">
        <v>624</v>
      </c>
      <c r="C66" s="4"/>
      <c r="D66" s="4"/>
      <c r="E66" s="4"/>
    </row>
    <row r="67" spans="1:5" x14ac:dyDescent="0.2">
      <c r="A67" s="2"/>
      <c r="B67" s="155" t="s">
        <v>626</v>
      </c>
      <c r="C67" s="4"/>
      <c r="D67" s="4"/>
      <c r="E67" s="4"/>
    </row>
    <row r="68" spans="1:5" x14ac:dyDescent="0.2">
      <c r="A68" s="2"/>
      <c r="B68" s="155"/>
      <c r="C68" s="4"/>
      <c r="D68" s="4"/>
      <c r="E68" s="4"/>
    </row>
    <row r="69" spans="1:5" ht="16.5" customHeight="1" x14ac:dyDescent="0.2">
      <c r="A69" s="2"/>
      <c r="B69" s="463" t="s">
        <v>864</v>
      </c>
      <c r="C69" s="4"/>
      <c r="D69" s="4"/>
      <c r="E69" s="4"/>
    </row>
    <row r="70" spans="1:5" ht="28.5" customHeight="1" x14ac:dyDescent="0.2">
      <c r="A70" s="2"/>
      <c r="B70" s="155" t="s">
        <v>792</v>
      </c>
      <c r="C70" s="4"/>
      <c r="D70" s="4"/>
      <c r="E70" s="4"/>
    </row>
    <row r="71" spans="1:5" x14ac:dyDescent="0.2">
      <c r="A71" s="2"/>
      <c r="B71" s="155" t="s">
        <v>793</v>
      </c>
      <c r="C71" s="4"/>
      <c r="D71" s="4"/>
      <c r="E71" s="4"/>
    </row>
    <row r="72" spans="1:5" x14ac:dyDescent="0.2">
      <c r="A72" s="2"/>
      <c r="B72" s="155"/>
      <c r="C72" s="4"/>
      <c r="D72" s="4"/>
      <c r="E72" s="4"/>
    </row>
    <row r="73" spans="1:5" x14ac:dyDescent="0.2">
      <c r="A73" s="2"/>
      <c r="B73" s="463" t="s">
        <v>895</v>
      </c>
      <c r="C73" s="4"/>
      <c r="D73" s="4"/>
      <c r="E73" s="4"/>
    </row>
    <row r="74" spans="1:5" x14ac:dyDescent="0.2">
      <c r="A74" s="2"/>
      <c r="B74" s="1" t="s">
        <v>865</v>
      </c>
      <c r="C74" s="4"/>
      <c r="D74" s="4"/>
      <c r="E74" s="4"/>
    </row>
    <row r="75" spans="1:5" ht="38.25" x14ac:dyDescent="0.2">
      <c r="A75" s="2"/>
      <c r="B75" s="1" t="s">
        <v>1003</v>
      </c>
      <c r="C75" s="4"/>
      <c r="D75" s="4"/>
      <c r="E75" s="4"/>
    </row>
    <row r="76" spans="1:5" x14ac:dyDescent="0.2">
      <c r="A76" s="2"/>
      <c r="B76" s="1" t="s">
        <v>942</v>
      </c>
      <c r="C76" s="4"/>
      <c r="D76" s="4"/>
      <c r="E76" s="4"/>
    </row>
    <row r="77" spans="1:5" x14ac:dyDescent="0.2">
      <c r="A77" s="2"/>
      <c r="B77" s="155" t="s">
        <v>943</v>
      </c>
      <c r="C77" s="4"/>
      <c r="D77" s="4"/>
      <c r="E77" s="4"/>
    </row>
    <row r="78" spans="1:5" ht="25.5" x14ac:dyDescent="0.2">
      <c r="A78" s="2"/>
      <c r="B78" s="661" t="s">
        <v>1000</v>
      </c>
      <c r="C78" s="4"/>
      <c r="D78" s="4"/>
      <c r="E78" s="4"/>
    </row>
    <row r="79" spans="1:5" x14ac:dyDescent="0.2">
      <c r="A79" s="2"/>
      <c r="B79" s="155"/>
      <c r="C79" s="4"/>
      <c r="D79" s="4"/>
      <c r="E79" s="4"/>
    </row>
    <row r="80" spans="1:5" x14ac:dyDescent="0.2">
      <c r="A80" s="2"/>
      <c r="B80" s="396" t="s">
        <v>934</v>
      </c>
      <c r="C80" s="4"/>
      <c r="D80" s="4"/>
      <c r="E80" s="4"/>
    </row>
    <row r="81" spans="1:10" ht="53.25" customHeight="1" x14ac:dyDescent="0.2">
      <c r="A81" s="2"/>
      <c r="B81" s="155" t="s">
        <v>1006</v>
      </c>
      <c r="C81" s="4"/>
      <c r="D81" s="4"/>
      <c r="E81" s="4"/>
    </row>
    <row r="82" spans="1:10" ht="38.25" x14ac:dyDescent="0.2">
      <c r="A82" s="2"/>
      <c r="B82" s="155" t="s">
        <v>952</v>
      </c>
      <c r="C82" s="4"/>
      <c r="D82" s="4"/>
      <c r="E82" s="4"/>
    </row>
    <row r="83" spans="1:10" ht="25.5" x14ac:dyDescent="0.2">
      <c r="A83" s="2"/>
      <c r="B83" s="654" t="s">
        <v>981</v>
      </c>
      <c r="C83" s="4"/>
      <c r="D83" s="4"/>
      <c r="E83" s="4"/>
    </row>
    <row r="84" spans="1:10" ht="51" x14ac:dyDescent="0.2">
      <c r="A84" s="2"/>
      <c r="B84" s="662" t="s">
        <v>1007</v>
      </c>
      <c r="C84" s="4"/>
      <c r="D84" s="4"/>
      <c r="E84" s="4"/>
    </row>
    <row r="85" spans="1:10" ht="25.5" x14ac:dyDescent="0.2">
      <c r="A85" s="2"/>
      <c r="B85" s="662" t="s">
        <v>1012</v>
      </c>
      <c r="C85" s="4"/>
      <c r="D85" s="4"/>
      <c r="E85" s="4"/>
    </row>
    <row r="86" spans="1:10" ht="25.5" x14ac:dyDescent="0.2">
      <c r="A86" s="2"/>
      <c r="B86" s="662" t="s">
        <v>1013</v>
      </c>
      <c r="C86" s="4"/>
      <c r="D86" s="4"/>
      <c r="E86" s="4"/>
    </row>
    <row r="87" spans="1:10" x14ac:dyDescent="0.2">
      <c r="A87" s="2"/>
      <c r="B87" s="155"/>
      <c r="C87" s="4"/>
      <c r="D87" s="4"/>
      <c r="E87" s="4"/>
    </row>
    <row r="88" spans="1:10" x14ac:dyDescent="0.2">
      <c r="A88" s="2"/>
      <c r="B88" s="463" t="s">
        <v>625</v>
      </c>
      <c r="C88" s="4"/>
      <c r="D88" s="4"/>
      <c r="E88" s="4"/>
      <c r="F88" s="157"/>
      <c r="H88" s="72"/>
      <c r="J88" s="72"/>
    </row>
    <row r="89" spans="1:10" x14ac:dyDescent="0.2">
      <c r="A89" s="2"/>
      <c r="B89" s="155" t="s">
        <v>848</v>
      </c>
      <c r="C89" s="4"/>
      <c r="D89" s="4"/>
      <c r="E89" s="4"/>
      <c r="F89" s="157"/>
      <c r="H89" s="72"/>
      <c r="J89" s="72"/>
    </row>
    <row r="90" spans="1:10" x14ac:dyDescent="0.2">
      <c r="A90" s="2"/>
      <c r="B90" s="155" t="s">
        <v>894</v>
      </c>
      <c r="C90" s="4"/>
      <c r="D90" s="4"/>
      <c r="E90" s="4"/>
      <c r="F90" s="157"/>
      <c r="H90" s="72"/>
      <c r="J90" s="72"/>
    </row>
    <row r="91" spans="1:10" ht="12.75" customHeight="1" x14ac:dyDescent="0.2">
      <c r="A91" s="2"/>
      <c r="B91" s="1" t="s">
        <v>633</v>
      </c>
      <c r="C91" s="4"/>
      <c r="D91" s="4"/>
      <c r="E91" s="4"/>
      <c r="F91" s="157"/>
      <c r="H91" s="72"/>
      <c r="J91" s="72"/>
    </row>
    <row r="92" spans="1:10" ht="12.75" customHeight="1" x14ac:dyDescent="0.2">
      <c r="A92" s="2"/>
      <c r="B92" s="1" t="s">
        <v>856</v>
      </c>
      <c r="C92" s="4"/>
      <c r="D92" s="4"/>
      <c r="E92" s="4"/>
      <c r="F92" s="157"/>
      <c r="H92" s="72"/>
      <c r="J92" s="72"/>
    </row>
    <row r="93" spans="1:10" ht="40.5" customHeight="1" x14ac:dyDescent="0.2">
      <c r="A93" s="2"/>
      <c r="B93" s="1" t="s">
        <v>1010</v>
      </c>
      <c r="C93" s="4"/>
      <c r="D93" s="4"/>
      <c r="E93" s="4"/>
      <c r="F93" s="157"/>
      <c r="H93" s="72"/>
      <c r="J93" s="72"/>
    </row>
    <row r="94" spans="1:10" ht="15" customHeight="1" x14ac:dyDescent="0.2">
      <c r="A94" s="2"/>
      <c r="B94" s="1" t="s">
        <v>799</v>
      </c>
      <c r="C94" s="4"/>
      <c r="D94" s="4"/>
      <c r="E94" s="4"/>
      <c r="F94" s="157"/>
      <c r="H94" s="72"/>
      <c r="J94" s="72"/>
    </row>
    <row r="95" spans="1:10" ht="27.75" customHeight="1" x14ac:dyDescent="0.2">
      <c r="A95" s="2"/>
      <c r="B95" s="1" t="s">
        <v>985</v>
      </c>
      <c r="C95" s="4"/>
      <c r="D95" s="4"/>
      <c r="E95" s="4"/>
      <c r="F95" s="157"/>
      <c r="H95" s="72"/>
      <c r="J95" s="72"/>
    </row>
    <row r="96" spans="1:10" ht="25.5" x14ac:dyDescent="0.2">
      <c r="A96" s="2"/>
      <c r="B96" s="1" t="s">
        <v>795</v>
      </c>
      <c r="C96" s="4"/>
      <c r="D96" s="4"/>
      <c r="E96" s="4"/>
      <c r="F96" s="157"/>
      <c r="H96" s="72"/>
      <c r="J96" s="72"/>
    </row>
    <row r="97" spans="1:10" ht="38.25" x14ac:dyDescent="0.2">
      <c r="A97" s="2"/>
      <c r="B97" s="1" t="s">
        <v>857</v>
      </c>
      <c r="C97" s="4"/>
      <c r="D97" s="4"/>
      <c r="E97" s="4"/>
      <c r="F97" s="157"/>
      <c r="H97" s="72"/>
      <c r="J97" s="72"/>
    </row>
    <row r="98" spans="1:10" ht="25.5" x14ac:dyDescent="0.2">
      <c r="A98" s="2"/>
      <c r="B98" s="1" t="s">
        <v>957</v>
      </c>
      <c r="C98" s="4"/>
      <c r="D98" s="4"/>
      <c r="E98" s="4"/>
      <c r="F98" s="157"/>
      <c r="H98" s="72"/>
      <c r="J98" s="72"/>
    </row>
    <row r="99" spans="1:10" ht="38.25" x14ac:dyDescent="0.2">
      <c r="A99" s="2"/>
      <c r="B99" s="160" t="s">
        <v>1008</v>
      </c>
      <c r="C99" s="4"/>
      <c r="D99" s="4"/>
      <c r="E99" s="4"/>
      <c r="F99" s="157"/>
      <c r="H99" s="72"/>
      <c r="J99" s="72"/>
    </row>
    <row r="100" spans="1:10" x14ac:dyDescent="0.2">
      <c r="A100" s="2"/>
      <c r="B100" s="463"/>
      <c r="C100" s="4"/>
      <c r="D100" s="4"/>
      <c r="E100" s="4"/>
      <c r="F100" s="157"/>
      <c r="H100" s="72"/>
      <c r="J100" s="72"/>
    </row>
    <row r="101" spans="1:10" x14ac:dyDescent="0.2">
      <c r="A101" s="2"/>
      <c r="B101" s="463" t="s">
        <v>805</v>
      </c>
      <c r="C101" s="4"/>
      <c r="D101" s="4"/>
      <c r="E101" s="4"/>
      <c r="F101" s="157"/>
      <c r="H101" s="72"/>
      <c r="J101" s="72"/>
    </row>
    <row r="102" spans="1:10" ht="15.75" x14ac:dyDescent="0.2">
      <c r="A102" s="2"/>
      <c r="B102" s="55"/>
      <c r="C102" s="4"/>
      <c r="D102" s="4"/>
      <c r="E102" s="4"/>
      <c r="F102" s="157"/>
      <c r="H102" s="72"/>
      <c r="J102" s="72"/>
    </row>
    <row r="103" spans="1:10" x14ac:dyDescent="0.2">
      <c r="A103" s="2"/>
      <c r="B103" s="1"/>
      <c r="C103" s="4"/>
      <c r="D103" s="4"/>
      <c r="E103" s="4"/>
      <c r="F103" s="157"/>
      <c r="H103" s="72"/>
      <c r="J103" s="72"/>
    </row>
    <row r="104" spans="1:10" x14ac:dyDescent="0.2">
      <c r="A104" s="2"/>
      <c r="B104" s="160" t="s">
        <v>850</v>
      </c>
      <c r="C104" s="4"/>
      <c r="D104" s="4"/>
      <c r="E104" s="4"/>
      <c r="F104" s="157"/>
      <c r="H104" s="72"/>
      <c r="J104" s="72"/>
    </row>
    <row r="105" spans="1:10" ht="26.25" customHeight="1" x14ac:dyDescent="0.2">
      <c r="A105" s="2"/>
      <c r="B105" s="155" t="s">
        <v>1004</v>
      </c>
      <c r="C105" s="4"/>
      <c r="D105" s="4"/>
      <c r="E105" s="4"/>
      <c r="F105" s="157"/>
      <c r="H105" s="72"/>
      <c r="J105" s="72"/>
    </row>
    <row r="106" spans="1:10" ht="27.75" customHeight="1" x14ac:dyDescent="0.2">
      <c r="A106" s="2"/>
      <c r="B106" s="155" t="s">
        <v>977</v>
      </c>
      <c r="C106" s="4"/>
      <c r="D106" s="4"/>
      <c r="E106" s="4"/>
      <c r="F106" s="157"/>
      <c r="H106" s="72"/>
      <c r="J106" s="72"/>
    </row>
    <row r="107" spans="1:10" ht="38.25" x14ac:dyDescent="0.2">
      <c r="A107" s="2"/>
      <c r="B107" s="1" t="s">
        <v>851</v>
      </c>
      <c r="C107" s="4"/>
      <c r="D107" s="4"/>
      <c r="E107" s="4"/>
      <c r="F107" s="157"/>
      <c r="H107" s="72"/>
      <c r="J107" s="72"/>
    </row>
    <row r="108" spans="1:10" ht="39.75" customHeight="1" x14ac:dyDescent="0.2">
      <c r="A108" s="2"/>
      <c r="B108" s="155" t="s">
        <v>930</v>
      </c>
      <c r="C108" s="4"/>
      <c r="D108" s="4"/>
      <c r="E108" s="4"/>
      <c r="F108" s="157"/>
      <c r="H108" s="72"/>
      <c r="J108" s="72"/>
    </row>
    <row r="109" spans="1:10" x14ac:dyDescent="0.2">
      <c r="A109" s="2"/>
      <c r="B109" s="1"/>
      <c r="C109" s="4"/>
      <c r="D109" s="4"/>
      <c r="E109" s="4"/>
      <c r="F109" s="157"/>
      <c r="H109" s="72"/>
      <c r="J109" s="72"/>
    </row>
    <row r="110" spans="1:10" x14ac:dyDescent="0.2">
      <c r="A110" s="2"/>
      <c r="B110" s="160" t="s">
        <v>929</v>
      </c>
      <c r="C110" s="4"/>
      <c r="D110" s="4"/>
      <c r="E110" s="4"/>
      <c r="F110" s="157"/>
      <c r="H110" s="72"/>
      <c r="J110" s="72"/>
    </row>
    <row r="111" spans="1:10" x14ac:dyDescent="0.2">
      <c r="A111" s="2"/>
      <c r="B111" s="1" t="s">
        <v>1005</v>
      </c>
      <c r="C111" s="4"/>
      <c r="D111" s="4"/>
      <c r="E111" s="4"/>
      <c r="F111" s="157"/>
      <c r="H111" s="72"/>
      <c r="J111" s="72"/>
    </row>
    <row r="112" spans="1:10" ht="25.5" x14ac:dyDescent="0.2">
      <c r="A112" s="2"/>
      <c r="B112" s="155" t="s">
        <v>931</v>
      </c>
      <c r="C112" s="4"/>
      <c r="D112" s="4"/>
      <c r="E112" s="4"/>
      <c r="F112" s="157"/>
      <c r="H112" s="72"/>
      <c r="J112" s="72"/>
    </row>
    <row r="113" spans="1:16" x14ac:dyDescent="0.2">
      <c r="A113" s="2"/>
      <c r="B113" s="1"/>
      <c r="C113" s="4"/>
      <c r="D113" s="4"/>
      <c r="E113" s="4"/>
      <c r="F113" s="157"/>
      <c r="H113" s="72"/>
      <c r="J113" s="72"/>
    </row>
    <row r="114" spans="1:16" x14ac:dyDescent="0.2">
      <c r="A114" s="2"/>
      <c r="B114" s="160" t="s">
        <v>726</v>
      </c>
      <c r="C114" s="4"/>
      <c r="D114" s="4"/>
      <c r="E114" s="4"/>
      <c r="F114" s="157"/>
      <c r="H114" s="72"/>
      <c r="J114" s="72"/>
    </row>
    <row r="115" spans="1:16" ht="51" x14ac:dyDescent="0.2">
      <c r="A115" s="2"/>
      <c r="B115" s="154" t="s">
        <v>834</v>
      </c>
      <c r="C115" s="4"/>
      <c r="D115" s="4"/>
      <c r="E115" s="4"/>
      <c r="F115" s="62"/>
      <c r="H115" s="72"/>
      <c r="J115" s="217" t="s">
        <v>278</v>
      </c>
      <c r="K115" s="218" t="s">
        <v>279</v>
      </c>
      <c r="L115" s="220" t="s">
        <v>280</v>
      </c>
      <c r="O115" s="610"/>
      <c r="P115" s="610"/>
    </row>
    <row r="116" spans="1:16" ht="6.75" customHeight="1" x14ac:dyDescent="0.2">
      <c r="A116" s="2"/>
      <c r="B116" s="145"/>
      <c r="C116" s="4"/>
      <c r="D116" s="4"/>
      <c r="E116" s="4"/>
      <c r="F116" s="62"/>
      <c r="J116" s="611"/>
      <c r="K116" s="218"/>
      <c r="L116" s="612"/>
      <c r="O116" s="610"/>
      <c r="P116" s="610"/>
    </row>
    <row r="117" spans="1:16" ht="15.75" x14ac:dyDescent="0.25">
      <c r="A117" s="57"/>
      <c r="B117" s="55" t="s">
        <v>53</v>
      </c>
      <c r="C117" s="67">
        <f>'Suspended Ceilings'!M141</f>
        <v>241937</v>
      </c>
      <c r="D117" s="67"/>
      <c r="E117" s="67"/>
      <c r="F117" s="62"/>
      <c r="G117" s="87"/>
      <c r="H117" s="67"/>
      <c r="I117" s="653" t="str">
        <f>B117</f>
        <v>Suspended Ceilings</v>
      </c>
      <c r="J117" s="613">
        <f>'Suspended Ceilings'!Q143</f>
        <v>12484.964982754589</v>
      </c>
      <c r="K117" s="219">
        <f>'Suspended Ceilings'!Q145</f>
        <v>2860.8406362874725</v>
      </c>
      <c r="L117" s="614">
        <f>'Suspended Ceilings'!Q147</f>
        <v>226590.93571973295</v>
      </c>
      <c r="O117" s="615">
        <f>P117-C117</f>
        <v>-0.25866122497245669</v>
      </c>
      <c r="P117" s="615">
        <f>SUM(J117:L117)</f>
        <v>241936.74133877503</v>
      </c>
    </row>
    <row r="118" spans="1:16" ht="15.75" x14ac:dyDescent="0.25">
      <c r="A118" s="57"/>
      <c r="B118" s="55"/>
      <c r="C118" s="67"/>
      <c r="D118" s="67"/>
      <c r="E118" s="67"/>
      <c r="F118" s="62"/>
      <c r="G118" s="87"/>
      <c r="H118" s="67"/>
      <c r="I118" s="653"/>
      <c r="J118" s="613"/>
      <c r="K118" s="219"/>
      <c r="L118" s="614"/>
      <c r="O118" s="615"/>
      <c r="P118" s="615"/>
    </row>
    <row r="119" spans="1:16" ht="15.75" x14ac:dyDescent="0.25">
      <c r="A119" s="57"/>
      <c r="B119" s="55" t="s">
        <v>56</v>
      </c>
      <c r="C119" s="67">
        <f>'Partitions SPEC Rates'!M179</f>
        <v>147472</v>
      </c>
      <c r="D119" s="67"/>
      <c r="E119" s="67"/>
      <c r="F119" s="62"/>
      <c r="G119" s="87"/>
      <c r="H119" s="67"/>
      <c r="I119" s="653" t="str">
        <f t="shared" ref="I119:I135" si="0">B119</f>
        <v>Partitions</v>
      </c>
      <c r="J119" s="613">
        <f>'Partitions SPEC Rates'!Q181</f>
        <v>49494.234385674805</v>
      </c>
      <c r="K119" s="219">
        <f>'Partitions SPEC Rates'!Q183</f>
        <v>41336.657115271097</v>
      </c>
      <c r="L119" s="614">
        <f>'Partitions SPEC Rates'!Q185</f>
        <v>56640.165459646203</v>
      </c>
      <c r="O119" s="615">
        <f>P119-C119</f>
        <v>-0.9430394078954123</v>
      </c>
      <c r="P119" s="615">
        <f>SUM(J119:L119)</f>
        <v>147471.0569605921</v>
      </c>
    </row>
    <row r="120" spans="1:16" ht="15.75" x14ac:dyDescent="0.25">
      <c r="A120" s="57"/>
      <c r="B120" s="55"/>
      <c r="C120" s="67"/>
      <c r="D120" s="67"/>
      <c r="E120" s="67"/>
      <c r="F120" s="62"/>
      <c r="G120" s="87"/>
      <c r="H120" s="67"/>
      <c r="I120" s="653"/>
      <c r="J120" s="613"/>
      <c r="K120" s="219"/>
      <c r="L120" s="614"/>
      <c r="O120" s="615"/>
      <c r="P120" s="615"/>
    </row>
    <row r="121" spans="1:16" ht="15.75" x14ac:dyDescent="0.25">
      <c r="A121" s="57"/>
      <c r="B121" s="55" t="s">
        <v>245</v>
      </c>
      <c r="C121" s="628">
        <f>Insulation!M113</f>
        <v>41680</v>
      </c>
      <c r="D121" s="628"/>
      <c r="E121" s="628"/>
      <c r="F121" s="62"/>
      <c r="G121" s="87"/>
      <c r="H121" s="67"/>
      <c r="I121" s="653" t="str">
        <f t="shared" si="0"/>
        <v>Insulation</v>
      </c>
      <c r="J121" s="613">
        <f>Insulation!Q115</f>
        <v>12987.284008553708</v>
      </c>
      <c r="K121" s="219">
        <f>Insulation!Q117</f>
        <v>9111.1217925819456</v>
      </c>
      <c r="L121" s="614">
        <f>Insulation!Q119</f>
        <v>19581.414165656672</v>
      </c>
      <c r="O121" s="615">
        <f>P121-C121</f>
        <v>-0.18003320767456898</v>
      </c>
      <c r="P121" s="615">
        <f>SUM(J121:L121)</f>
        <v>41679.819966792325</v>
      </c>
    </row>
    <row r="122" spans="1:16" ht="15.75" x14ac:dyDescent="0.25">
      <c r="A122" s="57"/>
      <c r="B122" s="55"/>
      <c r="C122" s="67"/>
      <c r="D122" s="67"/>
      <c r="E122" s="67"/>
      <c r="F122" s="62"/>
      <c r="G122" s="87"/>
      <c r="H122" s="67"/>
      <c r="I122" s="653"/>
      <c r="J122" s="613"/>
      <c r="K122" s="219"/>
      <c r="L122" s="614"/>
      <c r="O122" s="615"/>
      <c r="P122" s="615"/>
    </row>
    <row r="123" spans="1:16" ht="15.75" x14ac:dyDescent="0.25">
      <c r="A123" s="57"/>
      <c r="B123" s="55" t="s">
        <v>57</v>
      </c>
      <c r="C123" s="67">
        <f>'Gib Linings'!M211</f>
        <v>186146</v>
      </c>
      <c r="D123" s="67"/>
      <c r="E123" s="67"/>
      <c r="F123" s="62"/>
      <c r="G123" s="87"/>
      <c r="H123" s="67"/>
      <c r="I123" s="653" t="str">
        <f t="shared" si="0"/>
        <v>Gib Wall and Ceiling Linings</v>
      </c>
      <c r="J123" s="613">
        <f>'Gib Linings'!Q213</f>
        <v>48509.091261989772</v>
      </c>
      <c r="K123" s="219">
        <f>'Gib Linings'!Q215</f>
        <v>44677.051478876696</v>
      </c>
      <c r="L123" s="614">
        <f>'Gib Linings'!Q217</f>
        <v>92958.928154133551</v>
      </c>
      <c r="O123" s="615">
        <f>P123-C123</f>
        <v>-0.92910499998833984</v>
      </c>
      <c r="P123" s="615">
        <f>SUM(J123:L123)</f>
        <v>186145.07089500001</v>
      </c>
    </row>
    <row r="124" spans="1:16" ht="15.75" x14ac:dyDescent="0.25">
      <c r="A124" s="57"/>
      <c r="B124" s="55"/>
      <c r="C124" s="67"/>
      <c r="D124" s="67"/>
      <c r="E124" s="67"/>
      <c r="F124" s="62"/>
      <c r="G124" s="87"/>
      <c r="H124" s="67"/>
      <c r="I124" s="653"/>
      <c r="J124" s="613"/>
      <c r="K124" s="219"/>
      <c r="L124" s="614"/>
      <c r="O124" s="615"/>
      <c r="P124" s="615"/>
    </row>
    <row r="125" spans="1:16" ht="15.75" x14ac:dyDescent="0.25">
      <c r="A125" s="57"/>
      <c r="B125" s="55" t="s">
        <v>61</v>
      </c>
      <c r="C125" s="67">
        <f>Stopping!M90</f>
        <v>66579</v>
      </c>
      <c r="D125" s="67"/>
      <c r="E125" s="67"/>
      <c r="F125" s="62"/>
      <c r="G125" s="87"/>
      <c r="H125" s="67"/>
      <c r="I125" s="653" t="str">
        <f t="shared" si="0"/>
        <v>Stopping to Gib Wall and Ceilings</v>
      </c>
      <c r="J125" s="613">
        <f>Stopping!Q92</f>
        <v>18949.132730815472</v>
      </c>
      <c r="K125" s="219">
        <f>Stopping!Q94</f>
        <v>15992.348997897316</v>
      </c>
      <c r="L125" s="614">
        <f>Stopping!Q96</f>
        <v>31637.330417287216</v>
      </c>
      <c r="O125" s="615">
        <f>P125-C125</f>
        <v>-0.18785399998887442</v>
      </c>
      <c r="P125" s="615">
        <f>SUM(J125:L125)</f>
        <v>66578.812146000011</v>
      </c>
    </row>
    <row r="126" spans="1:16" ht="15.75" x14ac:dyDescent="0.25">
      <c r="A126" s="57"/>
      <c r="B126" s="55"/>
      <c r="C126" s="67"/>
      <c r="D126" s="67"/>
      <c r="E126" s="67"/>
      <c r="F126" s="62"/>
      <c r="G126" s="87"/>
      <c r="H126" s="67"/>
      <c r="I126" s="653"/>
      <c r="J126" s="613"/>
      <c r="K126" s="219"/>
      <c r="L126" s="614"/>
      <c r="O126" s="615"/>
      <c r="P126" s="615"/>
    </row>
    <row r="127" spans="1:16" ht="20.25" customHeight="1" x14ac:dyDescent="0.25">
      <c r="A127" s="57"/>
      <c r="B127" s="55" t="s">
        <v>863</v>
      </c>
      <c r="C127" s="67">
        <f>'Potters Rigitone Matrix'!M61</f>
        <v>48735</v>
      </c>
      <c r="D127" s="67"/>
      <c r="E127" s="67"/>
      <c r="F127" s="62"/>
      <c r="G127" s="87"/>
      <c r="H127" s="67"/>
      <c r="I127" s="653" t="str">
        <f t="shared" si="0"/>
        <v>Potters Rigitone Matrix Ceiling Lining</v>
      </c>
      <c r="J127" s="613">
        <v>0</v>
      </c>
      <c r="K127" s="219">
        <v>0</v>
      </c>
      <c r="L127" s="614">
        <f>'Potters Rigitone Matrix'!M61</f>
        <v>48735</v>
      </c>
      <c r="O127" s="615">
        <f>P127-C127</f>
        <v>0</v>
      </c>
      <c r="P127" s="615">
        <f>SUM(J127:L127)</f>
        <v>48735</v>
      </c>
    </row>
    <row r="128" spans="1:16" ht="15.75" x14ac:dyDescent="0.25">
      <c r="A128" s="57"/>
      <c r="B128" s="55"/>
      <c r="C128" s="67"/>
      <c r="D128" s="67"/>
      <c r="E128" s="67"/>
      <c r="F128" s="62"/>
      <c r="G128" s="87"/>
      <c r="H128" s="67"/>
      <c r="I128" s="653"/>
      <c r="J128" s="613"/>
      <c r="K128" s="219"/>
      <c r="L128" s="614"/>
      <c r="O128" s="615"/>
      <c r="P128" s="615"/>
    </row>
    <row r="129" spans="1:16" ht="15.75" x14ac:dyDescent="0.25">
      <c r="A129" s="57"/>
      <c r="B129" s="55" t="s">
        <v>861</v>
      </c>
      <c r="C129" s="67">
        <f>Ambitec!M83</f>
        <v>135513</v>
      </c>
      <c r="D129" s="67"/>
      <c r="E129" s="67"/>
      <c r="F129" s="62"/>
      <c r="G129" s="87"/>
      <c r="H129" s="67"/>
      <c r="I129" s="653" t="str">
        <f t="shared" si="0"/>
        <v>Ambitec (PF-01 and PF-02 to Wall and Bulkheads Only)</v>
      </c>
      <c r="J129" s="613">
        <f>Ambitec!S85</f>
        <v>38178.603604546879</v>
      </c>
      <c r="K129" s="219">
        <f>Ambitec!S87</f>
        <v>29195.4027564182</v>
      </c>
      <c r="L129" s="614">
        <f>Ambitec!S89</f>
        <v>68138.135331534912</v>
      </c>
      <c r="O129" s="615">
        <f>P129-C129</f>
        <v>-0.85830750002060086</v>
      </c>
      <c r="P129" s="615">
        <f>SUM(J129:L129)</f>
        <v>135512.14169249998</v>
      </c>
    </row>
    <row r="130" spans="1:16" ht="15.75" x14ac:dyDescent="0.25">
      <c r="A130" s="57"/>
      <c r="B130" s="55"/>
      <c r="C130" s="67"/>
      <c r="D130" s="67"/>
      <c r="E130" s="67"/>
      <c r="F130" s="62"/>
      <c r="G130" s="87"/>
      <c r="H130" s="67"/>
      <c r="I130" s="653"/>
      <c r="J130" s="613"/>
      <c r="K130" s="219"/>
      <c r="L130" s="614"/>
      <c r="O130" s="615"/>
      <c r="P130" s="615"/>
    </row>
    <row r="131" spans="1:16" ht="15.75" x14ac:dyDescent="0.25">
      <c r="A131" s="57"/>
      <c r="B131" s="55" t="s">
        <v>860</v>
      </c>
      <c r="C131" s="628">
        <f>Featurecraft!M86</f>
        <v>687105</v>
      </c>
      <c r="D131" s="628"/>
      <c r="E131" s="628"/>
      <c r="F131" s="62"/>
      <c r="G131" s="87"/>
      <c r="H131" s="67"/>
      <c r="I131" s="653" t="str">
        <f t="shared" si="0"/>
        <v>Featurecraft (TB-01 and TB-02)</v>
      </c>
      <c r="J131" s="613">
        <f>Featurecraft!Q88</f>
        <v>276610.1226199746</v>
      </c>
      <c r="K131" s="219">
        <f>Featurecraft!Q90</f>
        <v>201242.99219870917</v>
      </c>
      <c r="L131" s="614">
        <f>Featurecraft!Q92</f>
        <v>209251.88030309902</v>
      </c>
      <c r="O131" s="615">
        <f>P131-C131</f>
        <v>-4.8782172380015254E-3</v>
      </c>
      <c r="P131" s="615">
        <f>SUM(J131:L131)</f>
        <v>687104.99512178276</v>
      </c>
    </row>
    <row r="132" spans="1:16" ht="15.75" x14ac:dyDescent="0.25">
      <c r="A132" s="57"/>
      <c r="B132" s="55"/>
      <c r="C132" s="67"/>
      <c r="D132" s="67"/>
      <c r="E132" s="67"/>
      <c r="F132" s="62"/>
      <c r="G132" s="87"/>
      <c r="H132" s="67"/>
      <c r="I132" s="653"/>
      <c r="J132" s="613"/>
      <c r="K132" s="219"/>
      <c r="L132" s="614"/>
      <c r="O132" s="615"/>
      <c r="P132" s="615"/>
    </row>
    <row r="133" spans="1:16" ht="19.5" customHeight="1" x14ac:dyDescent="0.25">
      <c r="A133" s="57"/>
      <c r="B133" s="55" t="s">
        <v>538</v>
      </c>
      <c r="C133" s="67">
        <f>'Potters Aluminium and Glazing'!M426</f>
        <v>326715</v>
      </c>
      <c r="D133" s="67"/>
      <c r="E133" s="67"/>
      <c r="F133" s="62"/>
      <c r="G133" s="87"/>
      <c r="H133" s="67"/>
      <c r="I133" s="653" t="str">
        <f t="shared" si="0"/>
        <v>Potters Aluminium, Doors, Glazing and Skirting</v>
      </c>
      <c r="J133" s="613">
        <f>'Potters Aluminium and Glazing'!Q428</f>
        <v>95019.67302708044</v>
      </c>
      <c r="K133" s="219">
        <f>'Potters Aluminium and Glazing'!Q430</f>
        <v>80525.420176088941</v>
      </c>
      <c r="L133" s="614">
        <f>'Potters Aluminium and Glazing'!Q432</f>
        <v>151169.60778802642</v>
      </c>
      <c r="O133" s="615">
        <f>P133-C133</f>
        <v>-0.29900880419882014</v>
      </c>
      <c r="P133" s="615">
        <f>SUM(J133:L133)</f>
        <v>326714.7009911958</v>
      </c>
    </row>
    <row r="134" spans="1:16" ht="15.75" x14ac:dyDescent="0.25">
      <c r="A134" s="57"/>
      <c r="B134" s="55"/>
      <c r="C134" s="67"/>
      <c r="D134" s="67"/>
      <c r="E134" s="67"/>
      <c r="F134" s="62"/>
      <c r="G134" s="87"/>
      <c r="H134" s="67"/>
      <c r="I134" s="653"/>
      <c r="J134" s="613"/>
      <c r="K134" s="219"/>
      <c r="L134" s="614"/>
      <c r="O134" s="615"/>
      <c r="P134" s="615"/>
    </row>
    <row r="135" spans="1:16" ht="15.75" x14ac:dyDescent="0.25">
      <c r="A135" s="57"/>
      <c r="B135" s="55" t="s">
        <v>804</v>
      </c>
      <c r="C135" s="67">
        <f>'Asona Quicklock'!M118</f>
        <v>138546</v>
      </c>
      <c r="D135" s="67"/>
      <c r="E135" s="67"/>
      <c r="F135" s="62"/>
      <c r="G135" s="87"/>
      <c r="H135" s="67"/>
      <c r="I135" s="653" t="str">
        <f t="shared" si="0"/>
        <v>Wall Covering: Asona Quicklock (FP-01)</v>
      </c>
      <c r="J135" s="613">
        <f>'Asona Quicklock'!Q120</f>
        <v>31037.569650000001</v>
      </c>
      <c r="K135" s="219">
        <f>'Asona Quicklock'!Q122</f>
        <v>40717.69902</v>
      </c>
      <c r="L135" s="614">
        <f>'Asona Quicklock'!Q124</f>
        <v>66790.112850000005</v>
      </c>
      <c r="O135" s="615">
        <f>P135-C135</f>
        <v>-0.61848000000463799</v>
      </c>
      <c r="P135" s="615">
        <f>SUM(J135:L135)</f>
        <v>138545.38152</v>
      </c>
    </row>
    <row r="136" spans="1:16" ht="10.5" customHeight="1" x14ac:dyDescent="0.2">
      <c r="A136" s="57"/>
      <c r="B136" s="55"/>
      <c r="C136" s="67"/>
      <c r="D136" s="67"/>
      <c r="E136" s="67"/>
      <c r="F136" s="62"/>
      <c r="G136" s="67"/>
      <c r="H136" s="67"/>
      <c r="I136" s="171"/>
      <c r="J136" s="562"/>
      <c r="K136" s="219"/>
      <c r="L136" s="614"/>
      <c r="O136" s="615"/>
      <c r="P136" s="615"/>
    </row>
    <row r="137" spans="1:16" ht="7.5" customHeight="1" x14ac:dyDescent="0.2">
      <c r="A137" s="57"/>
      <c r="B137" s="146"/>
      <c r="C137" s="147"/>
      <c r="D137" s="147"/>
      <c r="E137" s="147"/>
      <c r="F137" s="147"/>
      <c r="G137" s="149"/>
      <c r="H137" s="147"/>
      <c r="I137" s="66"/>
      <c r="J137" s="616"/>
      <c r="K137" s="219"/>
      <c r="L137" s="617"/>
      <c r="O137" s="615"/>
      <c r="P137" s="615"/>
    </row>
    <row r="138" spans="1:16" ht="9" customHeight="1" x14ac:dyDescent="0.2">
      <c r="C138" s="9"/>
      <c r="D138" s="9"/>
      <c r="E138" s="9"/>
      <c r="F138" s="9"/>
      <c r="G138" s="9"/>
      <c r="H138" s="9"/>
      <c r="I138" s="66"/>
      <c r="J138" s="618"/>
      <c r="K138" s="619"/>
      <c r="L138" s="620"/>
      <c r="O138" s="615"/>
      <c r="P138" s="615"/>
    </row>
    <row r="139" spans="1:16" ht="15.75" x14ac:dyDescent="0.25">
      <c r="B139" s="8" t="s">
        <v>14</v>
      </c>
      <c r="C139" s="10"/>
      <c r="D139" s="10"/>
      <c r="E139" s="10"/>
      <c r="F139" s="10">
        <f>SUM(C117:C135)</f>
        <v>2020428</v>
      </c>
      <c r="H139" s="10"/>
      <c r="I139" s="170"/>
      <c r="J139" s="621">
        <f>SUM(J116:J135)</f>
        <v>583270.67627139029</v>
      </c>
      <c r="K139" s="622">
        <f>SUM(K116:K135)</f>
        <v>465659.53417213081</v>
      </c>
      <c r="L139" s="623">
        <f>SUM(L116:L135)</f>
        <v>971493.51018911705</v>
      </c>
      <c r="M139" s="652"/>
      <c r="O139" s="615">
        <f>P139-C139</f>
        <v>2020423.7206326383</v>
      </c>
      <c r="P139" s="615">
        <f>SUM(J139:L139)</f>
        <v>2020423.7206326383</v>
      </c>
    </row>
    <row r="140" spans="1:16" ht="15.75" thickBot="1" x14ac:dyDescent="0.25">
      <c r="B140" s="148" t="s">
        <v>15</v>
      </c>
      <c r="C140" s="11"/>
      <c r="D140" s="11"/>
      <c r="E140" s="11"/>
      <c r="F140" s="11"/>
      <c r="G140" s="11"/>
      <c r="H140" s="11"/>
      <c r="J140" s="624"/>
      <c r="K140" s="625"/>
      <c r="L140" s="626"/>
      <c r="O140" s="610"/>
      <c r="P140" s="610"/>
    </row>
    <row r="142" spans="1:16" ht="15.75" x14ac:dyDescent="0.25">
      <c r="B142" s="8"/>
      <c r="C142" s="10"/>
      <c r="D142" s="10"/>
      <c r="E142" s="10"/>
      <c r="F142" s="10"/>
    </row>
    <row r="143" spans="1:16" ht="15.75" x14ac:dyDescent="0.25">
      <c r="B143" s="8"/>
      <c r="C143" s="10"/>
      <c r="D143" s="10"/>
      <c r="E143" s="10"/>
      <c r="F143" s="10"/>
      <c r="G143" s="73"/>
      <c r="H143" s="73"/>
    </row>
    <row r="144" spans="1:16" ht="15.75" x14ac:dyDescent="0.25">
      <c r="B144" s="8"/>
      <c r="C144" s="10"/>
      <c r="D144" s="10"/>
      <c r="E144" s="10"/>
      <c r="F144" s="10"/>
    </row>
    <row r="145" spans="2:21" ht="15.75" x14ac:dyDescent="0.25">
      <c r="B145" s="8"/>
      <c r="C145" s="10"/>
      <c r="D145" s="10"/>
      <c r="E145" s="10"/>
      <c r="F145" s="10"/>
      <c r="H145" s="72"/>
    </row>
    <row r="146" spans="2:21" ht="75" x14ac:dyDescent="0.25">
      <c r="B146" s="401"/>
      <c r="C146" s="397" t="str">
        <f>B117</f>
        <v>Suspended Ceilings</v>
      </c>
      <c r="D146" s="397"/>
      <c r="E146" s="397"/>
      <c r="F146" s="397" t="str">
        <f>B119</f>
        <v>Partitions</v>
      </c>
      <c r="G146" s="398" t="str">
        <f>B121</f>
        <v>Insulation</v>
      </c>
      <c r="H146" s="398" t="str">
        <f>B123</f>
        <v>Gib Wall and Ceiling Linings</v>
      </c>
      <c r="I146" s="398" t="str">
        <f>B125</f>
        <v>Stopping to Gib Wall and Ceilings</v>
      </c>
      <c r="J146" s="398" t="str">
        <f>B127</f>
        <v>Potters Rigitone Matrix Ceiling Lining</v>
      </c>
      <c r="K146" s="398" t="str">
        <f>B129</f>
        <v>Ambitec (PF-01 and PF-02 to Wall and Bulkheads Only)</v>
      </c>
      <c r="L146" s="398" t="str">
        <f>B131</f>
        <v>Featurecraft (TB-01 and TB-02)</v>
      </c>
      <c r="M146" s="398" t="str">
        <f>B133</f>
        <v>Potters Aluminium, Doors, Glazing and Skirting</v>
      </c>
      <c r="N146" s="398" t="str">
        <f>B135</f>
        <v>Wall Covering: Asona Quicklock (FP-01)</v>
      </c>
      <c r="O146" s="400"/>
    </row>
    <row r="147" spans="2:21" ht="15" x14ac:dyDescent="0.25">
      <c r="B147" s="89"/>
      <c r="C147" s="403"/>
      <c r="D147" s="403"/>
      <c r="E147" s="403"/>
      <c r="F147" s="403"/>
      <c r="G147" s="404"/>
      <c r="H147" s="404"/>
      <c r="I147" s="404"/>
      <c r="J147" s="404"/>
      <c r="K147" s="404"/>
      <c r="L147" s="404"/>
      <c r="M147" s="404"/>
      <c r="N147" s="404"/>
      <c r="O147" s="88"/>
    </row>
    <row r="148" spans="2:21" ht="15" x14ac:dyDescent="0.25">
      <c r="B148" s="74" t="s">
        <v>8</v>
      </c>
      <c r="C148" s="405">
        <f>'Suspended Ceilings'!M127</f>
        <v>4515.5374634166665</v>
      </c>
      <c r="D148" s="405"/>
      <c r="E148" s="405"/>
      <c r="F148" s="405">
        <f>Partitions!M169</f>
        <v>2939.5962605472223</v>
      </c>
      <c r="G148" s="404">
        <f>Insulation!M99</f>
        <v>773.86729285413981</v>
      </c>
      <c r="H148" s="404">
        <f>'Gib Linings'!M197</f>
        <v>3463.3786500000001</v>
      </c>
      <c r="I148" s="404">
        <f>Stopping!M76</f>
        <v>1212.5020199999999</v>
      </c>
      <c r="J148" s="404">
        <f>'Potters Rigitone Matrix'!M47</f>
        <v>901.82985000000008</v>
      </c>
      <c r="K148" s="404">
        <f>Ambitec!M69</f>
        <v>2593.9367500000003</v>
      </c>
      <c r="L148" s="404">
        <f>Featurecraft!M72</f>
        <v>13094.444021379308</v>
      </c>
      <c r="M148" s="404">
        <f>'Potters Aluminium and Glazing'!M412</f>
        <v>6142.5313555195016</v>
      </c>
      <c r="N148" s="404">
        <f>'Asona Quicklock'!M104</f>
        <v>2656.4720000000002</v>
      </c>
      <c r="O148" s="90">
        <f t="shared" ref="O148:O153" si="1">SUM(C148:N148)</f>
        <v>38294.095663716842</v>
      </c>
    </row>
    <row r="149" spans="2:21" ht="15" x14ac:dyDescent="0.25">
      <c r="B149" s="74" t="s">
        <v>9</v>
      </c>
      <c r="C149" s="406">
        <f>'Suspended Ceilings'!M129</f>
        <v>2202.7012016666667</v>
      </c>
      <c r="D149" s="406"/>
      <c r="E149" s="406"/>
      <c r="F149" s="406">
        <f>Partitions!M171</f>
        <v>1433.9493953888889</v>
      </c>
      <c r="G149" s="404">
        <f>Insulation!M101</f>
        <v>377.49624041665351</v>
      </c>
      <c r="H149" s="404">
        <f>'Gib Linings'!M199</f>
        <v>1689.453</v>
      </c>
      <c r="I149" s="404">
        <f>Stopping!M78</f>
        <v>591.46439999999996</v>
      </c>
      <c r="J149" s="404">
        <f>'Potters Rigitone Matrix'!M49</f>
        <v>439.91700000000003</v>
      </c>
      <c r="K149" s="404">
        <f>Ambitec!M71</f>
        <v>1265.335</v>
      </c>
      <c r="L149" s="404">
        <f>Featurecraft!M74</f>
        <v>6387.533668965516</v>
      </c>
      <c r="M149" s="404">
        <f>'Potters Aluminium and Glazing'!M414</f>
        <v>2996.3567587900006</v>
      </c>
      <c r="N149" s="404">
        <f>'Asona Quicklock'!M106</f>
        <v>1295.8399999999999</v>
      </c>
      <c r="O149" s="90">
        <f t="shared" si="1"/>
        <v>18680.046665227725</v>
      </c>
    </row>
    <row r="150" spans="2:21" ht="15" x14ac:dyDescent="0.25">
      <c r="B150" s="74" t="s">
        <v>10</v>
      </c>
      <c r="C150" s="406">
        <f>'Suspended Ceilings'!M131</f>
        <v>550.67530041666669</v>
      </c>
      <c r="D150" s="406"/>
      <c r="E150" s="406"/>
      <c r="F150" s="406">
        <f>Partitions!M173</f>
        <v>358.48734884722222</v>
      </c>
      <c r="G150" s="404">
        <f>Insulation!M103</f>
        <v>94.374060104163377</v>
      </c>
      <c r="H150" s="404">
        <f>'Gib Linings'!M201</f>
        <v>422.36324999999999</v>
      </c>
      <c r="I150" s="404">
        <f>Stopping!M80</f>
        <v>147.86609999999999</v>
      </c>
      <c r="J150" s="404">
        <f>'Potters Rigitone Matrix'!M51</f>
        <v>109.97925000000001</v>
      </c>
      <c r="K150" s="404">
        <f>Ambitec!M73</f>
        <v>316.33375000000001</v>
      </c>
      <c r="L150" s="404">
        <f>Featurecraft!M76</f>
        <v>1596.883417241379</v>
      </c>
      <c r="M150" s="404">
        <f>'Potters Aluminium and Glazing'!M416</f>
        <v>749.08918969750016</v>
      </c>
      <c r="N150" s="404">
        <f>'Asona Quicklock'!M108</f>
        <v>323.95999999999998</v>
      </c>
      <c r="O150" s="90">
        <f t="shared" si="1"/>
        <v>4670.0116663069311</v>
      </c>
    </row>
    <row r="151" spans="2:21" ht="15" x14ac:dyDescent="0.25">
      <c r="B151" s="74" t="s">
        <v>42</v>
      </c>
      <c r="C151" s="406">
        <f>'Suspended Ceilings'!M133</f>
        <v>2876.91</v>
      </c>
      <c r="D151" s="406"/>
      <c r="E151" s="406"/>
      <c r="F151" s="406">
        <f>Partitions!M175</f>
        <v>2904.0346875</v>
      </c>
      <c r="G151" s="404">
        <f>Insulation!M105</f>
        <v>699.70499999999993</v>
      </c>
      <c r="H151" s="404">
        <f>'Gib Linings'!M203</f>
        <v>2760.5249999999996</v>
      </c>
      <c r="I151" s="404">
        <f>Stopping!M82</f>
        <v>2310.12</v>
      </c>
      <c r="J151" s="404">
        <f>'Potters Rigitone Matrix'!M53</f>
        <v>970.3125</v>
      </c>
      <c r="K151" s="404">
        <f>Ambitec!M75</f>
        <v>220.5</v>
      </c>
      <c r="L151" s="404">
        <f>Featurecraft!M78</f>
        <v>4037.3324999999995</v>
      </c>
      <c r="M151" s="404">
        <f>'Potters Aluminium and Glazing'!M418</f>
        <v>1633.2049038461537</v>
      </c>
      <c r="N151" s="404">
        <f>'Asona Quicklock'!M110</f>
        <v>0</v>
      </c>
      <c r="O151" s="90">
        <f t="shared" si="1"/>
        <v>18412.64459134615</v>
      </c>
    </row>
    <row r="152" spans="2:21" ht="15" x14ac:dyDescent="0.25">
      <c r="B152" s="91" t="s">
        <v>582</v>
      </c>
      <c r="C152" s="406">
        <f>'Suspended Ceilings'!M135</f>
        <v>0</v>
      </c>
      <c r="D152" s="406"/>
      <c r="E152" s="406"/>
      <c r="F152" s="406">
        <f>Partitions!M177</f>
        <v>0</v>
      </c>
      <c r="G152" s="404">
        <f>Insulation!M107</f>
        <v>0</v>
      </c>
      <c r="H152" s="404">
        <f>'Gib Linings'!M205</f>
        <v>0</v>
      </c>
      <c r="I152" s="404">
        <f>Stopping!M84</f>
        <v>0</v>
      </c>
      <c r="J152" s="404">
        <f>'Potters Rigitone Matrix'!M55</f>
        <v>0</v>
      </c>
      <c r="K152" s="404">
        <f>Ambitec!M77</f>
        <v>0</v>
      </c>
      <c r="L152" s="404">
        <f>Featurecraft!M80</f>
        <v>0</v>
      </c>
      <c r="M152" s="404">
        <f>'Potters Aluminium and Glazing'!M420</f>
        <v>0</v>
      </c>
      <c r="N152" s="404">
        <f>'Asona Quicklock'!M112</f>
        <v>0</v>
      </c>
      <c r="O152" s="90">
        <f t="shared" si="1"/>
        <v>0</v>
      </c>
    </row>
    <row r="153" spans="2:21" ht="15" x14ac:dyDescent="0.25">
      <c r="B153" s="399" t="s">
        <v>18</v>
      </c>
      <c r="C153" s="407">
        <f>'Suspended Ceilings'!M139</f>
        <v>11520.797206608333</v>
      </c>
      <c r="D153" s="407"/>
      <c r="E153" s="407"/>
      <c r="F153" s="407">
        <f>Partitions!M181</f>
        <v>7551.5503615586131</v>
      </c>
      <c r="G153" s="408">
        <f>Insulation!M111</f>
        <v>1984.7533317520156</v>
      </c>
      <c r="H153" s="408">
        <f>'Gib Linings'!M209</f>
        <v>8864.0509949999996</v>
      </c>
      <c r="I153" s="408">
        <f>Stopping!M88</f>
        <v>3170.4196259999999</v>
      </c>
      <c r="J153" s="408">
        <f>'Potters Rigitone Matrix'!M59</f>
        <v>2320.6869300000003</v>
      </c>
      <c r="K153" s="408">
        <f>Ambitec!M81</f>
        <v>4582.5361925000007</v>
      </c>
      <c r="L153" s="408">
        <f>Featurecraft!M84</f>
        <v>23235.434617644827</v>
      </c>
      <c r="M153" s="408">
        <f>'Potters Aluminium and Glazing'!M424</f>
        <v>15557.842904342659</v>
      </c>
      <c r="N153" s="408">
        <f>'Asona Quicklock'!M116</f>
        <v>4685.10952</v>
      </c>
      <c r="O153" s="402">
        <f t="shared" si="1"/>
        <v>83473.181685406453</v>
      </c>
    </row>
    <row r="154" spans="2:21" ht="15" x14ac:dyDescent="0.25">
      <c r="B154" s="89" t="s">
        <v>4</v>
      </c>
      <c r="C154" s="409">
        <f>SUM(C148:C153)</f>
        <v>21666.621172108331</v>
      </c>
      <c r="D154" s="409"/>
      <c r="E154" s="409"/>
      <c r="F154" s="409">
        <f t="shared" ref="F154:M154" si="2">SUM(F148:F153)</f>
        <v>15187.618053841947</v>
      </c>
      <c r="G154" s="409">
        <f t="shared" si="2"/>
        <v>3930.1959251269723</v>
      </c>
      <c r="H154" s="409">
        <f t="shared" si="2"/>
        <v>17199.770895000001</v>
      </c>
      <c r="I154" s="409">
        <f t="shared" si="2"/>
        <v>7432.3721459999997</v>
      </c>
      <c r="J154" s="409">
        <f t="shared" si="2"/>
        <v>4742.7255299999997</v>
      </c>
      <c r="K154" s="409">
        <f t="shared" si="2"/>
        <v>8978.6416925000012</v>
      </c>
      <c r="L154" s="409">
        <f t="shared" si="2"/>
        <v>48351.628225231027</v>
      </c>
      <c r="M154" s="409">
        <f t="shared" si="2"/>
        <v>27079.025112195814</v>
      </c>
      <c r="N154" s="409">
        <f>SUM(N148:N153)</f>
        <v>8961.381519999999</v>
      </c>
      <c r="O154" s="88"/>
    </row>
    <row r="155" spans="2:21" x14ac:dyDescent="0.2">
      <c r="P155" s="72" t="s">
        <v>960</v>
      </c>
      <c r="R155" s="72"/>
      <c r="S155" s="72" t="s">
        <v>959</v>
      </c>
    </row>
    <row r="156" spans="2:21" x14ac:dyDescent="0.2">
      <c r="B156" s="641" t="s">
        <v>956</v>
      </c>
      <c r="C156" s="308"/>
      <c r="D156" s="308"/>
      <c r="E156" s="308"/>
      <c r="S156" s="5">
        <v>5</v>
      </c>
    </row>
    <row r="157" spans="2:21" x14ac:dyDescent="0.2">
      <c r="B157" s="414" t="s">
        <v>278</v>
      </c>
      <c r="C157" s="638">
        <f>'Suspended Ceilings'!K143</f>
        <v>123.13000000000001</v>
      </c>
      <c r="D157" s="638"/>
      <c r="E157" s="638"/>
      <c r="F157" s="638">
        <f>'Partitions SPEC Rates'!K181</f>
        <v>421.68774999999994</v>
      </c>
      <c r="G157" s="638">
        <f>Insulation!K115</f>
        <v>96.089999999999975</v>
      </c>
      <c r="H157" s="638">
        <f>'Gib Linings'!K213</f>
        <v>317.76</v>
      </c>
      <c r="I157" s="638">
        <f>Stopping!K92</f>
        <v>293.57</v>
      </c>
      <c r="L157" s="638">
        <f>Featurecraft!K88</f>
        <v>676.35</v>
      </c>
      <c r="M157" s="638">
        <f>SUM('Potters Aluminium and Glazing'!K428:K429)</f>
        <v>276.29931818181819</v>
      </c>
      <c r="O157" s="638">
        <f>SUM(C157:N157)</f>
        <v>2204.887068181818</v>
      </c>
      <c r="P157" s="5">
        <v>42.5</v>
      </c>
      <c r="Q157" s="5">
        <f>O157/P157</f>
        <v>51.879695721925131</v>
      </c>
      <c r="R157" s="5">
        <f>Q157/$T$157</f>
        <v>12.969923930481283</v>
      </c>
      <c r="S157" s="5">
        <f>R157*$S$156</f>
        <v>64.849619652406417</v>
      </c>
      <c r="T157" s="5">
        <v>4</v>
      </c>
      <c r="U157" s="72" t="s">
        <v>958</v>
      </c>
    </row>
    <row r="158" spans="2:21" x14ac:dyDescent="0.2">
      <c r="B158" s="414" t="s">
        <v>279</v>
      </c>
      <c r="C158" s="638">
        <f>'Suspended Ceilings'!K145</f>
        <v>31</v>
      </c>
      <c r="D158" s="638"/>
      <c r="E158" s="638"/>
      <c r="F158" s="638">
        <f>'Partitions SPEC Rates'!K183</f>
        <v>355.70749999999998</v>
      </c>
      <c r="G158" s="638">
        <f>Insulation!K117</f>
        <v>67.5</v>
      </c>
      <c r="H158" s="638">
        <f>'Gib Linings'!K215</f>
        <v>288.51000000000005</v>
      </c>
      <c r="I158" s="638">
        <f>Stopping!K94</f>
        <v>222.04</v>
      </c>
      <c r="L158" s="638">
        <f>Featurecraft!K90</f>
        <v>473.94</v>
      </c>
      <c r="M158" s="638">
        <f>SUM('Potters Aluminium and Glazing'!K430:K431)</f>
        <v>235.79431818181817</v>
      </c>
      <c r="O158" s="638">
        <f>SUM(C158:N158)</f>
        <v>1674.4918181818182</v>
      </c>
      <c r="P158" s="5">
        <v>42.5</v>
      </c>
      <c r="Q158" s="5">
        <f>O158/P158</f>
        <v>39.399807486631019</v>
      </c>
      <c r="R158" s="5">
        <f>Q158/$T$158</f>
        <v>7.879961497326204</v>
      </c>
      <c r="S158" s="5">
        <f>R158*$S$156</f>
        <v>39.399807486631019</v>
      </c>
      <c r="T158" s="5">
        <v>5</v>
      </c>
      <c r="U158" s="72" t="s">
        <v>958</v>
      </c>
    </row>
    <row r="159" spans="2:21" x14ac:dyDescent="0.2">
      <c r="B159" s="639" t="s">
        <v>280</v>
      </c>
      <c r="C159" s="640">
        <f>'Suspended Ceilings'!K147</f>
        <v>1124.4966666666667</v>
      </c>
      <c r="D159" s="640"/>
      <c r="E159" s="640"/>
      <c r="F159" s="640">
        <f>'Partitions SPEC Rates'!K185</f>
        <v>494.56</v>
      </c>
      <c r="G159" s="640">
        <f>Insulation!K119</f>
        <v>147.39000000000001</v>
      </c>
      <c r="H159" s="640">
        <f>'Gib Linings'!K217</f>
        <v>620.63</v>
      </c>
      <c r="I159" s="643">
        <f>Stopping!K96</f>
        <v>511.11</v>
      </c>
      <c r="J159" s="645">
        <f>'Potters Rigitone Matrix'!K67</f>
        <v>431.25</v>
      </c>
      <c r="K159" s="643">
        <f>Ambitec!K89</f>
        <v>98</v>
      </c>
      <c r="L159" s="643">
        <f>Featurecraft!K92</f>
        <v>644.07999999999993</v>
      </c>
      <c r="M159" s="643">
        <f>SUM('Potters Aluminium and Glazing'!K432:K433)</f>
        <v>382.12954545454545</v>
      </c>
      <c r="N159" s="585"/>
      <c r="O159" s="643">
        <f>SUM(C159:N159)</f>
        <v>4453.6462121212126</v>
      </c>
      <c r="P159" s="5">
        <v>42.5</v>
      </c>
      <c r="Q159" s="5">
        <f>O159/P159</f>
        <v>104.79167557932264</v>
      </c>
      <c r="R159" s="5">
        <f>Q159/$T$159</f>
        <v>14.970239368474664</v>
      </c>
      <c r="S159" s="5">
        <f>R159*$S$156</f>
        <v>74.851196842373312</v>
      </c>
      <c r="T159" s="5">
        <v>7</v>
      </c>
      <c r="U159" s="72" t="s">
        <v>958</v>
      </c>
    </row>
    <row r="160" spans="2:21" ht="15" x14ac:dyDescent="0.25">
      <c r="C160" s="642">
        <f>SUM(C157:C159)</f>
        <v>1278.6266666666666</v>
      </c>
      <c r="D160" s="642"/>
      <c r="E160" s="642"/>
      <c r="F160" s="642">
        <f t="shared" ref="F160:N160" si="3">SUM(F157:F159)</f>
        <v>1271.95525</v>
      </c>
      <c r="G160" s="642">
        <f t="shared" si="3"/>
        <v>310.98</v>
      </c>
      <c r="H160" s="642">
        <f t="shared" si="3"/>
        <v>1226.9000000000001</v>
      </c>
      <c r="I160" s="642">
        <f t="shared" si="3"/>
        <v>1026.72</v>
      </c>
      <c r="J160" s="642">
        <f t="shared" si="3"/>
        <v>431.25</v>
      </c>
      <c r="K160" s="642">
        <f t="shared" si="3"/>
        <v>98</v>
      </c>
      <c r="L160" s="642">
        <f t="shared" si="3"/>
        <v>1794.37</v>
      </c>
      <c r="M160" s="642">
        <f t="shared" si="3"/>
        <v>894.22318181818184</v>
      </c>
      <c r="N160" s="642">
        <f t="shared" si="3"/>
        <v>0</v>
      </c>
      <c r="O160" s="642">
        <f>SUM(C160:N160)</f>
        <v>8333.0250984848481</v>
      </c>
    </row>
    <row r="161" spans="2:14" x14ac:dyDescent="0.2">
      <c r="C161" s="61"/>
      <c r="D161" s="61"/>
      <c r="E161" s="61"/>
      <c r="F161" s="73"/>
      <c r="G161" s="73"/>
      <c r="H161" s="73"/>
    </row>
    <row r="162" spans="2:14" x14ac:dyDescent="0.2">
      <c r="C162" s="61"/>
      <c r="D162" s="61"/>
      <c r="E162" s="61"/>
      <c r="F162" s="73"/>
      <c r="G162" s="73"/>
      <c r="H162" s="73"/>
    </row>
    <row r="163" spans="2:14" x14ac:dyDescent="0.2">
      <c r="C163" s="72"/>
      <c r="D163" s="72"/>
      <c r="E163" s="72"/>
      <c r="F163" s="73"/>
      <c r="G163" s="73"/>
      <c r="H163" s="73"/>
    </row>
    <row r="164" spans="2:14" x14ac:dyDescent="0.2">
      <c r="B164" s="414" t="s">
        <v>852</v>
      </c>
      <c r="C164" s="584">
        <v>4.5</v>
      </c>
      <c r="D164" s="584"/>
      <c r="E164" s="584"/>
      <c r="F164" s="72" t="s">
        <v>853</v>
      </c>
      <c r="G164" s="72">
        <v>45</v>
      </c>
      <c r="H164" s="73">
        <v>65</v>
      </c>
      <c r="I164" s="73">
        <f>G164*H164</f>
        <v>2925</v>
      </c>
      <c r="J164" s="73">
        <f>$C$164*I164</f>
        <v>13162.5</v>
      </c>
      <c r="L164" s="186" t="s">
        <v>846</v>
      </c>
      <c r="M164" s="186"/>
      <c r="N164" s="186"/>
    </row>
    <row r="165" spans="2:14" x14ac:dyDescent="0.2">
      <c r="C165" s="72"/>
      <c r="D165" s="72"/>
      <c r="E165" s="72"/>
      <c r="F165" s="72" t="s">
        <v>854</v>
      </c>
      <c r="G165" s="72">
        <v>45</v>
      </c>
      <c r="H165" s="73">
        <v>75</v>
      </c>
      <c r="I165" s="73">
        <f>G165*H165</f>
        <v>3375</v>
      </c>
      <c r="J165" s="73">
        <f>$C$164*I165</f>
        <v>15187.5</v>
      </c>
      <c r="L165" s="186" t="s">
        <v>845</v>
      </c>
      <c r="M165" s="186"/>
      <c r="N165" s="186"/>
    </row>
    <row r="166" spans="2:14" x14ac:dyDescent="0.2">
      <c r="C166" s="72"/>
      <c r="D166" s="72"/>
      <c r="E166" s="72"/>
      <c r="F166" s="72" t="s">
        <v>936</v>
      </c>
      <c r="G166" s="72"/>
      <c r="H166" s="73"/>
      <c r="I166" s="73"/>
      <c r="J166" s="73">
        <v>1250</v>
      </c>
      <c r="L166" s="186"/>
      <c r="M166" s="186"/>
      <c r="N166" s="186"/>
    </row>
    <row r="167" spans="2:14" x14ac:dyDescent="0.2">
      <c r="C167" s="418"/>
      <c r="D167" s="418"/>
      <c r="E167" s="418"/>
      <c r="F167" s="418" t="s">
        <v>855</v>
      </c>
      <c r="G167" s="585">
        <v>22.5</v>
      </c>
      <c r="H167" s="586">
        <v>75</v>
      </c>
      <c r="I167" s="586">
        <f>G167*H167</f>
        <v>1687.5</v>
      </c>
      <c r="J167" s="586">
        <f>$C$164*I167</f>
        <v>7593.75</v>
      </c>
    </row>
    <row r="168" spans="2:14" x14ac:dyDescent="0.2">
      <c r="J168" s="73">
        <f>SUM(J164:J167)</f>
        <v>37193.75</v>
      </c>
    </row>
    <row r="172" spans="2:14" x14ac:dyDescent="0.2">
      <c r="I172" s="72" t="s">
        <v>278</v>
      </c>
      <c r="J172" s="631">
        <v>46204</v>
      </c>
      <c r="K172" s="631">
        <v>46316</v>
      </c>
    </row>
    <row r="174" spans="2:14" x14ac:dyDescent="0.2">
      <c r="I174" s="72" t="s">
        <v>279</v>
      </c>
      <c r="J174" s="631">
        <v>46204</v>
      </c>
      <c r="K174" s="631">
        <v>46316</v>
      </c>
    </row>
    <row r="175" spans="2:14" x14ac:dyDescent="0.2">
      <c r="C175" s="186" t="s">
        <v>117</v>
      </c>
      <c r="D175" s="186"/>
      <c r="E175" s="186"/>
      <c r="F175" s="72" t="s">
        <v>170</v>
      </c>
    </row>
    <row r="176" spans="2:14" x14ac:dyDescent="0.2">
      <c r="C176" s="186" t="s">
        <v>118</v>
      </c>
      <c r="D176" s="186"/>
      <c r="E176" s="186"/>
      <c r="F176" s="385" t="s">
        <v>170</v>
      </c>
      <c r="I176" s="72" t="s">
        <v>280</v>
      </c>
      <c r="J176" s="631">
        <v>46227</v>
      </c>
      <c r="K176" s="631">
        <v>46339</v>
      </c>
    </row>
    <row r="177" spans="3:6" x14ac:dyDescent="0.2">
      <c r="C177" s="186" t="s">
        <v>169</v>
      </c>
      <c r="D177" s="186"/>
      <c r="E177" s="186"/>
      <c r="F177" s="72" t="s">
        <v>170</v>
      </c>
    </row>
    <row r="178" spans="3:6" x14ac:dyDescent="0.2">
      <c r="C178" s="186" t="s">
        <v>119</v>
      </c>
      <c r="D178" s="186"/>
      <c r="E178" s="186"/>
      <c r="F178" s="72" t="s">
        <v>170</v>
      </c>
    </row>
    <row r="179" spans="3:6" x14ac:dyDescent="0.2">
      <c r="C179" s="186" t="s">
        <v>171</v>
      </c>
      <c r="D179" s="186"/>
      <c r="E179" s="186"/>
      <c r="F179" s="385" t="s">
        <v>170</v>
      </c>
    </row>
    <row r="180" spans="3:6" x14ac:dyDescent="0.2">
      <c r="C180" s="186" t="s">
        <v>232</v>
      </c>
      <c r="D180" s="186"/>
      <c r="E180" s="186"/>
      <c r="F180" s="72" t="s">
        <v>170</v>
      </c>
    </row>
    <row r="186" spans="3:6" x14ac:dyDescent="0.2">
      <c r="C186" s="72" t="s">
        <v>541</v>
      </c>
      <c r="D186" s="72"/>
      <c r="E186" s="72"/>
      <c r="F186" s="72" t="s">
        <v>546</v>
      </c>
    </row>
    <row r="188" spans="3:6" x14ac:dyDescent="0.2">
      <c r="C188" s="72" t="s">
        <v>542</v>
      </c>
      <c r="D188" s="72"/>
      <c r="E188" s="72"/>
      <c r="F188" s="72" t="s">
        <v>547</v>
      </c>
    </row>
    <row r="190" spans="3:6" x14ac:dyDescent="0.2">
      <c r="C190" s="72" t="s">
        <v>543</v>
      </c>
      <c r="D190" s="72"/>
      <c r="E190" s="72"/>
      <c r="F190" s="72" t="s">
        <v>546</v>
      </c>
    </row>
    <row r="192" spans="3:6" x14ac:dyDescent="0.2">
      <c r="C192" s="72" t="s">
        <v>544</v>
      </c>
      <c r="D192" s="72"/>
      <c r="E192" s="72"/>
      <c r="F192" s="72" t="s">
        <v>545</v>
      </c>
    </row>
    <row r="197" spans="2:11" ht="15.75" customHeight="1" x14ac:dyDescent="0.2">
      <c r="B197" s="666" t="s">
        <v>1014</v>
      </c>
      <c r="C197" s="666" t="s">
        <v>1015</v>
      </c>
      <c r="D197" s="666"/>
      <c r="E197" s="666"/>
      <c r="F197" s="667">
        <f>'Suspended Ceilings'!L54</f>
        <v>262</v>
      </c>
      <c r="G197" s="667">
        <f>F197*'Suspended Ceilings'!N142</f>
        <v>12.067936753971338</v>
      </c>
      <c r="H197" s="665">
        <f>SUM(F197:G197)</f>
        <v>274.06793675397137</v>
      </c>
      <c r="I197" s="665">
        <f>H197*'Suspended Ceilings'!P142</f>
        <v>13.70339683769857</v>
      </c>
      <c r="J197" s="665">
        <f>SUM(H197:I197)</f>
        <v>287.77133359166993</v>
      </c>
    </row>
    <row r="198" spans="2:11" ht="14.25" x14ac:dyDescent="0.2">
      <c r="B198" s="666" t="s">
        <v>1017</v>
      </c>
      <c r="C198" s="666" t="s">
        <v>1016</v>
      </c>
      <c r="D198" s="666"/>
      <c r="E198" s="666"/>
      <c r="F198" s="667">
        <f>'Suspended Ceilings'!L106</f>
        <v>365</v>
      </c>
      <c r="G198" s="667">
        <f>F198*'Suspended Ceilings'!N142</f>
        <v>16.812201966410452</v>
      </c>
      <c r="H198" s="665">
        <f>SUM(F198:G198)</f>
        <v>381.81220196641044</v>
      </c>
      <c r="I198" s="665">
        <f>H198*'Suspended Ceilings'!P142</f>
        <v>19.090610098320521</v>
      </c>
      <c r="J198" s="665">
        <f>SUM(H198:I198)</f>
        <v>400.90281206473094</v>
      </c>
    </row>
    <row r="199" spans="2:11" ht="15" x14ac:dyDescent="0.25">
      <c r="B199" s="668" t="s">
        <v>1018</v>
      </c>
      <c r="C199" s="88"/>
      <c r="D199" s="88"/>
      <c r="E199" s="88"/>
      <c r="F199" s="88"/>
      <c r="G199" s="88"/>
    </row>
    <row r="200" spans="2:11" ht="15" x14ac:dyDescent="0.25">
      <c r="B200" s="668"/>
      <c r="C200" s="88"/>
      <c r="D200" s="88"/>
      <c r="E200" s="88"/>
      <c r="F200" s="88"/>
      <c r="G200" s="88"/>
    </row>
    <row r="201" spans="2:11" ht="14.25" x14ac:dyDescent="0.2">
      <c r="B201" s="669" t="s">
        <v>1019</v>
      </c>
      <c r="C201" s="669" t="s">
        <v>1020</v>
      </c>
      <c r="D201" s="669"/>
      <c r="E201" s="669"/>
      <c r="F201" s="670">
        <f>'Gib Linings'!L17</f>
        <v>24</v>
      </c>
      <c r="G201" s="667">
        <f>F201*'Gib Linings'!N212</f>
        <v>1.1841541469339485</v>
      </c>
      <c r="H201" s="665">
        <f>SUM(F201:G201)</f>
        <v>25.184154146933949</v>
      </c>
      <c r="I201" s="665">
        <f>H201*'Gib Linings'!P212</f>
        <v>1.2592077073466976</v>
      </c>
      <c r="J201" s="665">
        <f>SUM(H201:I201)</f>
        <v>26.443361854280646</v>
      </c>
    </row>
    <row r="202" spans="2:11" ht="14.25" x14ac:dyDescent="0.2">
      <c r="B202" s="669"/>
      <c r="C202" s="669"/>
      <c r="D202" s="669"/>
      <c r="E202" s="669"/>
      <c r="F202" s="670">
        <f>Stopping!L17</f>
        <v>9.35</v>
      </c>
      <c r="G202" s="667">
        <f>F202*Stopping!N91</f>
        <v>0.6737388769636854</v>
      </c>
      <c r="H202" s="665">
        <f>SUM(F202:G202)</f>
        <v>10.023738876963685</v>
      </c>
      <c r="I202" s="665">
        <f>H202*Stopping!P91</f>
        <v>0.5011869438481843</v>
      </c>
      <c r="J202" s="665">
        <f>SUM(H202:I202)</f>
        <v>10.52492582081187</v>
      </c>
      <c r="K202" s="665">
        <f>SUM(J201:J202)</f>
        <v>36.968287675092512</v>
      </c>
    </row>
    <row r="203" spans="2:11" ht="14.25" x14ac:dyDescent="0.2">
      <c r="B203" s="669"/>
      <c r="C203" s="669"/>
      <c r="D203" s="669"/>
      <c r="E203" s="669"/>
      <c r="F203" s="670">
        <f>'Suspended Ceilings'!L51</f>
        <v>37.059999999999995</v>
      </c>
      <c r="G203" s="667">
        <f>F203*'Suspended Ceilings'!N142</f>
        <v>1.707014259931976</v>
      </c>
      <c r="H203" s="665">
        <f>SUM(F203:G203)</f>
        <v>38.767014259931969</v>
      </c>
      <c r="I203" s="665">
        <f>H203*'Suspended Ceilings'!P142</f>
        <v>1.9383507129965984</v>
      </c>
      <c r="J203" s="665">
        <f>SUM(H203:I203)</f>
        <v>40.705364972928564</v>
      </c>
      <c r="K203" s="665">
        <f>SUM(J201:J203)</f>
        <v>77.673652648021076</v>
      </c>
    </row>
    <row r="204" spans="2:11" ht="14.25" x14ac:dyDescent="0.2">
      <c r="B204" s="669"/>
      <c r="C204" s="669"/>
      <c r="D204" s="669"/>
      <c r="E204" s="669"/>
      <c r="F204" s="670"/>
      <c r="G204" s="667"/>
      <c r="H204" s="665"/>
      <c r="I204" s="665"/>
      <c r="J204" s="665"/>
      <c r="K204" s="665"/>
    </row>
    <row r="205" spans="2:11" ht="14.25" x14ac:dyDescent="0.2">
      <c r="B205" s="669" t="s">
        <v>1019</v>
      </c>
      <c r="C205" s="669" t="s">
        <v>1021</v>
      </c>
      <c r="D205" s="669"/>
      <c r="E205" s="669"/>
      <c r="F205" s="670">
        <f>'Gib Linings'!L43</f>
        <v>28.57</v>
      </c>
      <c r="G205" s="667">
        <f>F205*'Gib Linings'!N212</f>
        <v>1.4096368324126212</v>
      </c>
      <c r="H205" s="665">
        <f>SUM(F205:G205)</f>
        <v>29.97963683241262</v>
      </c>
      <c r="I205" s="665">
        <f>H205*'Gib Linings'!P212</f>
        <v>1.4989818416206311</v>
      </c>
      <c r="J205" s="665">
        <f>SUM(H205:I205)</f>
        <v>31.47861867403325</v>
      </c>
    </row>
    <row r="206" spans="2:11" ht="14.25" x14ac:dyDescent="0.2">
      <c r="B206" s="669"/>
      <c r="C206" s="669"/>
      <c r="D206" s="669"/>
      <c r="E206" s="669"/>
      <c r="F206" s="670">
        <f>Stopping!L17</f>
        <v>9.35</v>
      </c>
      <c r="G206" s="667">
        <f>F206*Stopping!N91</f>
        <v>0.6737388769636854</v>
      </c>
      <c r="H206" s="665">
        <f>SUM(F206:G206)</f>
        <v>10.023738876963685</v>
      </c>
      <c r="I206" s="665">
        <f>H206*Stopping!P91</f>
        <v>0.5011869438481843</v>
      </c>
      <c r="J206" s="665">
        <f>SUM(H206:I206)</f>
        <v>10.52492582081187</v>
      </c>
      <c r="K206" s="665">
        <f>SUM(J205:J206)</f>
        <v>42.003544494845116</v>
      </c>
    </row>
    <row r="207" spans="2:11" x14ac:dyDescent="0.2">
      <c r="F207" s="665">
        <f>'Suspended Ceilings'!L51</f>
        <v>37.059999999999995</v>
      </c>
      <c r="G207" s="665">
        <f>F207*'Suspended Ceilings'!N142</f>
        <v>1.707014259931976</v>
      </c>
      <c r="H207" s="665">
        <f>SUM(F207:G207)</f>
        <v>38.767014259931969</v>
      </c>
      <c r="I207" s="665">
        <f>H207*'Suspended Ceilings'!P142</f>
        <v>1.9383507129965984</v>
      </c>
      <c r="J207" s="665">
        <f>SUM(H207:I207)</f>
        <v>40.705364972928564</v>
      </c>
      <c r="K207" s="665">
        <f>SUM(J205:J207)</f>
        <v>82.70890946777368</v>
      </c>
    </row>
    <row r="212" spans="2:7" x14ac:dyDescent="0.2">
      <c r="B212" s="585"/>
      <c r="C212" s="585"/>
      <c r="D212" s="585"/>
      <c r="E212" s="585"/>
      <c r="F212" s="418" t="s">
        <v>1023</v>
      </c>
      <c r="G212" s="585"/>
    </row>
    <row r="213" spans="2:7" ht="14.25" x14ac:dyDescent="0.2">
      <c r="B213" s="666" t="s">
        <v>1014</v>
      </c>
      <c r="C213" s="73">
        <v>287.77</v>
      </c>
      <c r="D213" s="73"/>
      <c r="E213" s="61" t="s">
        <v>1024</v>
      </c>
      <c r="F213" s="72" t="s">
        <v>1015</v>
      </c>
    </row>
    <row r="214" spans="2:7" ht="14.25" x14ac:dyDescent="0.2">
      <c r="B214" s="666" t="s">
        <v>1017</v>
      </c>
      <c r="C214" s="73">
        <v>400.90899999999999</v>
      </c>
      <c r="D214" s="73"/>
      <c r="E214" s="61" t="s">
        <v>1024</v>
      </c>
      <c r="F214" s="72" t="s">
        <v>1016</v>
      </c>
    </row>
    <row r="215" spans="2:7" ht="14.25" x14ac:dyDescent="0.2">
      <c r="B215" s="666"/>
      <c r="C215" s="73"/>
      <c r="D215" s="73"/>
      <c r="E215" s="73"/>
    </row>
    <row r="216" spans="2:7" ht="14.25" x14ac:dyDescent="0.2">
      <c r="B216" s="671" t="s">
        <v>1018</v>
      </c>
      <c r="C216" s="66" t="s">
        <v>1022</v>
      </c>
      <c r="D216" s="66"/>
      <c r="E216" s="66"/>
      <c r="F216" s="66"/>
    </row>
    <row r="217" spans="2:7" ht="15" x14ac:dyDescent="0.25">
      <c r="B217" s="668"/>
      <c r="C217" s="73"/>
      <c r="D217" s="73"/>
      <c r="E217" s="73"/>
    </row>
    <row r="218" spans="2:7" ht="14.25" x14ac:dyDescent="0.2">
      <c r="B218" s="669" t="s">
        <v>1019</v>
      </c>
      <c r="C218" s="73">
        <f>K203</f>
        <v>77.673652648021076</v>
      </c>
      <c r="D218" s="73"/>
      <c r="E218" s="61" t="s">
        <v>1024</v>
      </c>
      <c r="F218" s="72" t="s">
        <v>1026</v>
      </c>
    </row>
    <row r="219" spans="2:7" ht="14.25" x14ac:dyDescent="0.2">
      <c r="B219" s="669"/>
      <c r="C219" s="73"/>
      <c r="D219" s="73"/>
      <c r="E219" s="73"/>
    </row>
    <row r="220" spans="2:7" ht="14.25" x14ac:dyDescent="0.2">
      <c r="B220" s="669" t="s">
        <v>1019</v>
      </c>
      <c r="C220" s="73">
        <f>K207</f>
        <v>82.70890946777368</v>
      </c>
      <c r="D220" s="73"/>
      <c r="E220" s="61" t="s">
        <v>1024</v>
      </c>
      <c r="F220" s="72" t="s">
        <v>1025</v>
      </c>
    </row>
    <row r="227" spans="2:7" x14ac:dyDescent="0.2">
      <c r="B227" s="585"/>
      <c r="C227" s="585"/>
      <c r="D227" s="585"/>
      <c r="E227" s="585"/>
      <c r="F227" s="418" t="s">
        <v>1023</v>
      </c>
      <c r="G227" s="585"/>
    </row>
    <row r="228" spans="2:7" ht="14.25" x14ac:dyDescent="0.2">
      <c r="B228" s="666" t="s">
        <v>1014</v>
      </c>
      <c r="C228" s="73">
        <v>287.77</v>
      </c>
      <c r="D228" s="61" t="s">
        <v>1028</v>
      </c>
      <c r="E228" s="61" t="s">
        <v>1024</v>
      </c>
      <c r="F228" s="72" t="s">
        <v>1015</v>
      </c>
    </row>
    <row r="229" spans="2:7" ht="14.25" x14ac:dyDescent="0.2">
      <c r="B229" s="666" t="s">
        <v>1017</v>
      </c>
      <c r="C229" s="73">
        <v>400.90899999999999</v>
      </c>
      <c r="D229" s="61" t="s">
        <v>1028</v>
      </c>
      <c r="E229" s="61" t="s">
        <v>1024</v>
      </c>
      <c r="F229" s="72" t="s">
        <v>1016</v>
      </c>
    </row>
    <row r="230" spans="2:7" ht="14.25" x14ac:dyDescent="0.2">
      <c r="B230" s="666"/>
      <c r="C230" s="73"/>
      <c r="D230" s="73"/>
      <c r="E230" s="73"/>
    </row>
    <row r="231" spans="2:7" ht="14.25" x14ac:dyDescent="0.2">
      <c r="B231" s="88" t="s">
        <v>1018</v>
      </c>
      <c r="C231" s="61">
        <v>85</v>
      </c>
      <c r="D231" s="61" t="s">
        <v>151</v>
      </c>
      <c r="E231" s="61" t="s">
        <v>1024</v>
      </c>
      <c r="F231" s="61" t="s">
        <v>1029</v>
      </c>
    </row>
    <row r="232" spans="2:7" ht="15" x14ac:dyDescent="0.25">
      <c r="B232" s="668"/>
      <c r="C232" s="73"/>
      <c r="D232" s="73"/>
      <c r="E232" s="73"/>
    </row>
    <row r="233" spans="2:7" ht="14.25" x14ac:dyDescent="0.2">
      <c r="B233" s="669" t="s">
        <v>1019</v>
      </c>
      <c r="C233" s="73">
        <f>K203</f>
        <v>77.673652648021076</v>
      </c>
      <c r="D233" s="61" t="s">
        <v>151</v>
      </c>
      <c r="E233" s="61" t="s">
        <v>1024</v>
      </c>
      <c r="F233" s="72" t="s">
        <v>1026</v>
      </c>
    </row>
    <row r="234" spans="2:7" ht="14.25" x14ac:dyDescent="0.2">
      <c r="B234" s="669"/>
      <c r="C234" s="73"/>
      <c r="D234" s="73"/>
      <c r="E234" s="73"/>
    </row>
    <row r="235" spans="2:7" ht="14.25" x14ac:dyDescent="0.2">
      <c r="B235" s="669" t="s">
        <v>1019</v>
      </c>
      <c r="C235" s="73">
        <f>K207</f>
        <v>82.70890946777368</v>
      </c>
      <c r="D235" s="61" t="s">
        <v>151</v>
      </c>
      <c r="E235" s="61" t="s">
        <v>1024</v>
      </c>
      <c r="F235" s="72" t="s">
        <v>1025</v>
      </c>
    </row>
    <row r="237" spans="2:7" x14ac:dyDescent="0.2">
      <c r="B237" s="72" t="s">
        <v>1027</v>
      </c>
      <c r="C237" s="73">
        <v>250</v>
      </c>
      <c r="D237" s="72" t="s">
        <v>151</v>
      </c>
      <c r="E237" s="61" t="s">
        <v>1024</v>
      </c>
      <c r="F237" s="72" t="s">
        <v>1030</v>
      </c>
    </row>
  </sheetData>
  <mergeCells count="1">
    <mergeCell ref="B6:C6"/>
  </mergeCells>
  <phoneticPr fontId="5" type="noConversion"/>
  <pageMargins left="0.74803149606299213" right="0.74803149606299213" top="0.82677165354330717" bottom="0.59055118110236227" header="0.51181102362204722" footer="0.51181102362204722"/>
  <pageSetup paperSize="9" scale="75"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C9C4-C126-4C90-A45C-3888A68316C5}">
  <sheetPr>
    <pageSetUpPr fitToPage="1"/>
  </sheetPr>
  <dimension ref="A1:T164"/>
  <sheetViews>
    <sheetView topLeftCell="A9" zoomScale="85" zoomScaleNormal="85" workbookViewId="0">
      <selection activeCell="D78" sqref="D78"/>
    </sheetView>
  </sheetViews>
  <sheetFormatPr defaultRowHeight="12.75" x14ac:dyDescent="0.2"/>
  <cols>
    <col min="1" max="1" width="4.85546875" style="14" customWidth="1"/>
    <col min="2" max="2" width="51.28515625" style="14" customWidth="1"/>
    <col min="3" max="3" width="23.85546875" style="14" customWidth="1"/>
    <col min="4" max="4" width="15.28515625" style="14" customWidth="1"/>
    <col min="5" max="5" width="8" style="14" customWidth="1"/>
    <col min="6" max="7" width="11.5703125" style="14" customWidth="1"/>
    <col min="8" max="8" width="15" style="14" customWidth="1"/>
    <col min="9" max="9" width="10.42578125" style="14" customWidth="1"/>
    <col min="10" max="11" width="12.5703125" style="14" bestFit="1" customWidth="1"/>
    <col min="12"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19" width="9.140625" style="14"/>
    <col min="20" max="20" width="20.85546875" style="14" customWidth="1"/>
    <col min="21"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Summary!B117</f>
        <v>Suspended Ceilings</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50</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5"/>
      <c r="M13" s="110"/>
      <c r="N13" s="126"/>
      <c r="O13" s="127"/>
    </row>
    <row r="14" spans="1:17" s="72" customFormat="1" ht="15" x14ac:dyDescent="0.2">
      <c r="A14" s="63"/>
      <c r="B14" s="176" t="s">
        <v>58</v>
      </c>
      <c r="C14" s="64"/>
      <c r="D14" s="75"/>
      <c r="E14" s="128"/>
      <c r="F14" s="129"/>
      <c r="G14" s="129"/>
      <c r="H14" s="129"/>
      <c r="I14" s="153"/>
      <c r="J14" s="128"/>
      <c r="K14" s="128"/>
      <c r="L14" s="128"/>
      <c r="M14" s="120"/>
      <c r="N14" s="126"/>
      <c r="O14" s="127"/>
    </row>
    <row r="15" spans="1:17" s="72" customFormat="1" ht="15" x14ac:dyDescent="0.2">
      <c r="A15" s="63"/>
      <c r="B15" s="176"/>
      <c r="C15" s="64"/>
      <c r="D15" s="75"/>
      <c r="E15" s="128"/>
      <c r="F15" s="129"/>
      <c r="G15" s="129"/>
      <c r="H15" s="129"/>
      <c r="I15" s="153"/>
      <c r="J15" s="128"/>
      <c r="K15" s="128"/>
      <c r="L15" s="128"/>
      <c r="M15" s="120"/>
      <c r="N15" s="126"/>
      <c r="O15" s="127"/>
    </row>
    <row r="16" spans="1:17" s="72" customFormat="1" ht="14.25" x14ac:dyDescent="0.2">
      <c r="A16" s="63"/>
      <c r="B16" s="143" t="s">
        <v>168</v>
      </c>
      <c r="C16" s="192" t="s">
        <v>149</v>
      </c>
      <c r="D16" s="75"/>
      <c r="E16" s="128"/>
      <c r="F16" s="129"/>
      <c r="G16" s="129"/>
      <c r="H16" s="129"/>
      <c r="I16" s="153"/>
      <c r="J16" s="128"/>
      <c r="K16" s="128"/>
      <c r="L16" s="128"/>
      <c r="M16" s="120"/>
      <c r="N16" s="126"/>
      <c r="O16" s="127"/>
    </row>
    <row r="17" spans="1:18" s="72" customFormat="1" ht="15" x14ac:dyDescent="0.2">
      <c r="A17" s="63"/>
      <c r="B17" s="176"/>
      <c r="C17" s="64"/>
      <c r="D17" s="75"/>
      <c r="E17" s="128"/>
      <c r="F17" s="129"/>
      <c r="G17" s="129"/>
      <c r="H17" s="129"/>
      <c r="I17" s="153"/>
      <c r="J17" s="128"/>
      <c r="K17" s="128"/>
      <c r="L17" s="128"/>
      <c r="M17" s="120"/>
      <c r="N17" s="126"/>
      <c r="O17" s="127"/>
    </row>
    <row r="18" spans="1:18" s="72" customFormat="1" ht="14.25" x14ac:dyDescent="0.2">
      <c r="A18" s="63"/>
      <c r="B18" s="143" t="s">
        <v>158</v>
      </c>
      <c r="C18" s="192" t="s">
        <v>159</v>
      </c>
      <c r="D18" s="75"/>
      <c r="E18" s="198" t="s">
        <v>221</v>
      </c>
      <c r="F18" s="134"/>
      <c r="G18" s="134"/>
      <c r="H18" s="135"/>
      <c r="I18" s="152"/>
      <c r="J18" s="135"/>
      <c r="K18" s="136"/>
      <c r="L18" s="135"/>
      <c r="M18" s="137"/>
      <c r="N18" s="144"/>
      <c r="O18" s="130"/>
      <c r="P18" s="159"/>
      <c r="Q18" s="177"/>
    </row>
    <row r="19" spans="1:18" s="72" customFormat="1" ht="14.25" x14ac:dyDescent="0.2">
      <c r="A19" s="63"/>
      <c r="B19" s="143"/>
      <c r="C19" s="192"/>
      <c r="D19" s="75"/>
      <c r="E19" s="134"/>
      <c r="F19" s="134"/>
      <c r="G19" s="134"/>
      <c r="H19" s="135"/>
      <c r="I19" s="152"/>
      <c r="J19" s="135"/>
      <c r="K19" s="136"/>
      <c r="L19" s="135"/>
      <c r="M19" s="137"/>
      <c r="N19" s="144"/>
      <c r="O19" s="130"/>
      <c r="P19" s="159"/>
      <c r="Q19" s="177"/>
    </row>
    <row r="20" spans="1:18" s="72" customFormat="1" ht="14.25" x14ac:dyDescent="0.2">
      <c r="A20" s="63"/>
      <c r="B20" s="143" t="s">
        <v>160</v>
      </c>
      <c r="C20" s="195">
        <v>45</v>
      </c>
      <c r="D20" s="75" t="s">
        <v>151</v>
      </c>
      <c r="E20" s="134">
        <v>0.47</v>
      </c>
      <c r="F20" s="134">
        <f>C20*E20</f>
        <v>21.15</v>
      </c>
      <c r="G20" s="134">
        <f>$H$11*E20</f>
        <v>23.5</v>
      </c>
      <c r="H20" s="135">
        <f>F20*$H$11</f>
        <v>1057.5</v>
      </c>
      <c r="I20" s="152">
        <v>30.68</v>
      </c>
      <c r="J20" s="135">
        <f>C20*I20</f>
        <v>1380.6</v>
      </c>
      <c r="K20" s="136">
        <f>SUM(H20,J20)</f>
        <v>2438.1</v>
      </c>
      <c r="L20" s="135">
        <f>K20/C20</f>
        <v>54.18</v>
      </c>
      <c r="M20" s="137">
        <f>C20*L20</f>
        <v>2438.1</v>
      </c>
      <c r="N20" s="144">
        <v>0</v>
      </c>
      <c r="O20" s="130">
        <f>M20*N20</f>
        <v>0</v>
      </c>
      <c r="P20" s="159"/>
      <c r="Q20" s="177"/>
    </row>
    <row r="21" spans="1:18" s="72" customFormat="1" ht="14.25" x14ac:dyDescent="0.2">
      <c r="A21" s="63"/>
      <c r="B21" s="143" t="s">
        <v>161</v>
      </c>
      <c r="C21" s="195">
        <v>116</v>
      </c>
      <c r="D21" s="75" t="s">
        <v>116</v>
      </c>
      <c r="E21" s="134"/>
      <c r="F21" s="134"/>
      <c r="G21" s="134"/>
      <c r="H21" s="135"/>
      <c r="I21" s="152"/>
      <c r="J21" s="135"/>
      <c r="K21" s="136"/>
      <c r="L21" s="135"/>
      <c r="M21" s="137"/>
      <c r="N21" s="144"/>
      <c r="O21" s="130"/>
      <c r="P21" s="159"/>
      <c r="Q21" s="177"/>
    </row>
    <row r="22" spans="1:18" s="72" customFormat="1" ht="14.25" x14ac:dyDescent="0.2">
      <c r="A22" s="63"/>
      <c r="B22" s="143" t="s">
        <v>637</v>
      </c>
      <c r="C22" s="195">
        <v>4</v>
      </c>
      <c r="D22" s="75" t="s">
        <v>148</v>
      </c>
      <c r="E22" s="134">
        <v>3</v>
      </c>
      <c r="F22" s="134">
        <f>C22*E22</f>
        <v>12</v>
      </c>
      <c r="G22" s="134">
        <f>$H$11*E22</f>
        <v>150</v>
      </c>
      <c r="H22" s="135">
        <f>F22*$H$11</f>
        <v>600</v>
      </c>
      <c r="I22" s="152">
        <v>112</v>
      </c>
      <c r="J22" s="135">
        <f>C22*I22</f>
        <v>448</v>
      </c>
      <c r="K22" s="136">
        <f>SUM(H22,J22)</f>
        <v>1048</v>
      </c>
      <c r="L22" s="135">
        <f>K22/C22</f>
        <v>262</v>
      </c>
      <c r="M22" s="137">
        <f>C22*L22</f>
        <v>1048</v>
      </c>
      <c r="N22" s="144">
        <v>0</v>
      </c>
      <c r="O22" s="130">
        <f>M22*N22</f>
        <v>0</v>
      </c>
      <c r="P22" s="159"/>
      <c r="Q22" s="177"/>
    </row>
    <row r="23" spans="1:18" s="72" customFormat="1" ht="14.25" x14ac:dyDescent="0.2">
      <c r="A23" s="63"/>
      <c r="B23" s="316"/>
      <c r="C23" s="607"/>
      <c r="D23" s="75"/>
      <c r="E23" s="134"/>
      <c r="F23" s="134"/>
      <c r="G23" s="134"/>
      <c r="H23" s="135"/>
      <c r="I23" s="152"/>
      <c r="J23" s="135"/>
      <c r="K23" s="136"/>
      <c r="L23" s="135"/>
      <c r="M23" s="137"/>
      <c r="N23" s="144"/>
      <c r="O23" s="130"/>
      <c r="P23" s="159"/>
      <c r="Q23" s="177"/>
    </row>
    <row r="24" spans="1:18" s="72" customFormat="1" ht="14.25" x14ac:dyDescent="0.2">
      <c r="A24" s="63"/>
      <c r="B24" s="242" t="s">
        <v>800</v>
      </c>
      <c r="C24" s="608" t="s">
        <v>901</v>
      </c>
      <c r="D24" s="75"/>
      <c r="E24" s="198" t="s">
        <v>222</v>
      </c>
      <c r="F24" s="184" t="s">
        <v>900</v>
      </c>
      <c r="G24" s="134"/>
      <c r="H24" s="135"/>
      <c r="I24" s="152"/>
      <c r="J24" s="135"/>
      <c r="K24" s="136"/>
      <c r="L24" s="135"/>
      <c r="M24" s="137"/>
      <c r="N24" s="144"/>
      <c r="O24" s="130"/>
      <c r="P24" s="159"/>
      <c r="Q24" s="159"/>
    </row>
    <row r="25" spans="1:18" s="72" customFormat="1" ht="14.25" x14ac:dyDescent="0.2">
      <c r="A25" s="63"/>
      <c r="B25" s="242"/>
      <c r="C25" s="192"/>
      <c r="D25" s="75"/>
      <c r="E25" s="134"/>
      <c r="F25" s="134"/>
      <c r="G25" s="134"/>
      <c r="H25" s="135"/>
      <c r="I25" s="152"/>
      <c r="J25" s="135"/>
      <c r="K25" s="136"/>
      <c r="L25" s="135"/>
      <c r="M25" s="137"/>
      <c r="N25" s="144"/>
      <c r="O25" s="130"/>
      <c r="P25" s="159"/>
      <c r="Q25" s="159"/>
    </row>
    <row r="26" spans="1:18" s="72" customFormat="1" ht="14.25" x14ac:dyDescent="0.2">
      <c r="A26" s="63"/>
      <c r="B26" s="242" t="s">
        <v>727</v>
      </c>
      <c r="C26" s="195">
        <v>41</v>
      </c>
      <c r="D26" s="75" t="s">
        <v>116</v>
      </c>
      <c r="E26" s="134">
        <f>WORKINGS_Ceilngs!G297</f>
        <v>1.55</v>
      </c>
      <c r="F26" s="134">
        <f>C26*E26</f>
        <v>63.550000000000004</v>
      </c>
      <c r="G26" s="134">
        <f>$H$11*E26</f>
        <v>77.5</v>
      </c>
      <c r="H26" s="135">
        <f>F26*$H$11</f>
        <v>3177.5</v>
      </c>
      <c r="I26" s="152">
        <f>WORKINGS_Ceilngs!K297</f>
        <v>52.73191666666667</v>
      </c>
      <c r="J26" s="135">
        <f>C26*I26</f>
        <v>2162.0085833333333</v>
      </c>
      <c r="K26" s="136">
        <f>SUM(H26,J26)</f>
        <v>5339.5085833333333</v>
      </c>
      <c r="L26" s="135">
        <f>K26/C26</f>
        <v>130.23191666666668</v>
      </c>
      <c r="M26" s="137">
        <f>C26*L26</f>
        <v>5339.5085833333342</v>
      </c>
      <c r="N26" s="144">
        <v>0</v>
      </c>
      <c r="O26" s="130">
        <f>M26*N26</f>
        <v>0</v>
      </c>
      <c r="P26" s="159"/>
      <c r="Q26" s="159"/>
    </row>
    <row r="27" spans="1:18" s="72" customFormat="1" ht="14.25" x14ac:dyDescent="0.2">
      <c r="A27" s="63"/>
      <c r="B27" s="242" t="s">
        <v>728</v>
      </c>
      <c r="C27" s="195">
        <v>13</v>
      </c>
      <c r="D27" s="75" t="s">
        <v>116</v>
      </c>
      <c r="E27" s="134">
        <f>WORKINGS_Ceilngs!G297</f>
        <v>1.55</v>
      </c>
      <c r="F27" s="134">
        <f>C27*E27</f>
        <v>20.150000000000002</v>
      </c>
      <c r="G27" s="134">
        <f>$H$11*E27</f>
        <v>77.5</v>
      </c>
      <c r="H27" s="135">
        <f>F27*$H$11</f>
        <v>1007.5000000000001</v>
      </c>
      <c r="I27" s="152">
        <f>WORKINGS_Ceilngs!K297</f>
        <v>52.73191666666667</v>
      </c>
      <c r="J27" s="135">
        <f>C27*I27</f>
        <v>685.51491666666675</v>
      </c>
      <c r="K27" s="136">
        <f>SUM(H27,J27)</f>
        <v>1693.014916666667</v>
      </c>
      <c r="L27" s="135">
        <f>K27/C27</f>
        <v>130.23191666666668</v>
      </c>
      <c r="M27" s="137">
        <f>C27*L27</f>
        <v>1693.0149166666667</v>
      </c>
      <c r="N27" s="144">
        <v>0</v>
      </c>
      <c r="O27" s="130">
        <f>M27*N27</f>
        <v>0</v>
      </c>
      <c r="P27" s="159"/>
      <c r="Q27" s="159"/>
    </row>
    <row r="28" spans="1:18" s="72" customFormat="1" ht="14.25" x14ac:dyDescent="0.2">
      <c r="A28" s="63"/>
      <c r="B28" s="242" t="s">
        <v>729</v>
      </c>
      <c r="C28" s="195">
        <v>4</v>
      </c>
      <c r="D28" s="75" t="s">
        <v>116</v>
      </c>
      <c r="E28" s="134">
        <f>WORKINGS_Ceilngs!G317</f>
        <v>1.57</v>
      </c>
      <c r="F28" s="134">
        <f>C28*E28</f>
        <v>6.28</v>
      </c>
      <c r="G28" s="134">
        <f>$H$11*E28</f>
        <v>78.5</v>
      </c>
      <c r="H28" s="135">
        <f>F28*$H$11</f>
        <v>314</v>
      </c>
      <c r="I28" s="152">
        <f>WORKINGS_Ceilngs!K317</f>
        <v>133.56291666666669</v>
      </c>
      <c r="J28" s="135">
        <f>C28*I28</f>
        <v>534.25166666666678</v>
      </c>
      <c r="K28" s="136">
        <f>SUM(H28,J28)</f>
        <v>848.25166666666678</v>
      </c>
      <c r="L28" s="135">
        <f>K28/C28</f>
        <v>212.06291666666669</v>
      </c>
      <c r="M28" s="137">
        <f>C28*L28</f>
        <v>848.25166666666678</v>
      </c>
      <c r="N28" s="144">
        <v>0</v>
      </c>
      <c r="O28" s="130">
        <f>M28*N28</f>
        <v>0</v>
      </c>
      <c r="P28" s="159"/>
      <c r="Q28" s="159"/>
    </row>
    <row r="29" spans="1:18" s="72" customFormat="1" ht="14.25" x14ac:dyDescent="0.2">
      <c r="A29" s="63"/>
      <c r="B29" s="175"/>
      <c r="C29" s="195"/>
      <c r="D29" s="75"/>
      <c r="E29" s="134"/>
      <c r="F29" s="134"/>
      <c r="G29" s="134"/>
      <c r="H29" s="135"/>
      <c r="I29" s="152"/>
      <c r="J29" s="135"/>
      <c r="K29" s="136"/>
      <c r="L29" s="135"/>
      <c r="M29" s="137"/>
      <c r="N29" s="144"/>
      <c r="O29" s="130"/>
      <c r="P29" s="159"/>
      <c r="Q29" s="159"/>
      <c r="R29" s="306"/>
    </row>
    <row r="30" spans="1:18" s="72" customFormat="1" ht="14.25" x14ac:dyDescent="0.2">
      <c r="A30" s="63"/>
      <c r="B30" s="143"/>
      <c r="C30" s="64"/>
      <c r="D30" s="75"/>
      <c r="E30" s="134"/>
      <c r="F30" s="134"/>
      <c r="G30" s="134"/>
      <c r="H30" s="135"/>
      <c r="I30" s="152"/>
      <c r="J30" s="135"/>
      <c r="K30" s="136"/>
      <c r="L30" s="135"/>
      <c r="M30" s="137"/>
      <c r="N30" s="144"/>
      <c r="O30" s="130"/>
      <c r="P30" s="159"/>
      <c r="Q30" s="159"/>
    </row>
    <row r="31" spans="1:18" s="72" customFormat="1" ht="15" x14ac:dyDescent="0.2">
      <c r="A31" s="63"/>
      <c r="B31" s="176" t="s">
        <v>59</v>
      </c>
      <c r="C31" s="64"/>
      <c r="D31" s="75"/>
      <c r="E31" s="128"/>
      <c r="F31" s="129"/>
      <c r="G31" s="129"/>
      <c r="H31" s="129"/>
      <c r="I31" s="153"/>
      <c r="J31" s="128"/>
      <c r="K31" s="128"/>
      <c r="L31" s="128"/>
      <c r="M31" s="120"/>
      <c r="N31" s="126"/>
      <c r="O31" s="127"/>
      <c r="P31" s="159"/>
      <c r="Q31" s="159"/>
    </row>
    <row r="32" spans="1:18" s="72" customFormat="1" ht="14.25" x14ac:dyDescent="0.2">
      <c r="A32" s="63"/>
      <c r="B32" s="143"/>
      <c r="C32" s="64"/>
      <c r="D32" s="75"/>
      <c r="E32" s="134"/>
      <c r="F32" s="134"/>
      <c r="G32" s="134"/>
      <c r="H32" s="135"/>
      <c r="I32" s="152"/>
      <c r="J32" s="135"/>
      <c r="K32" s="136"/>
      <c r="L32" s="135"/>
      <c r="M32" s="137"/>
      <c r="N32" s="144"/>
      <c r="O32" s="130"/>
      <c r="P32" s="159"/>
      <c r="Q32" s="159"/>
    </row>
    <row r="33" spans="1:17" s="72" customFormat="1" ht="14.25" x14ac:dyDescent="0.2">
      <c r="A33" s="63"/>
      <c r="B33" s="143" t="s">
        <v>168</v>
      </c>
      <c r="C33" s="192" t="s">
        <v>149</v>
      </c>
      <c r="D33" s="75"/>
      <c r="E33" s="128"/>
      <c r="F33" s="134"/>
      <c r="G33" s="134"/>
      <c r="H33" s="135"/>
      <c r="I33" s="152"/>
      <c r="J33" s="135"/>
      <c r="K33" s="136"/>
      <c r="L33" s="135"/>
      <c r="M33" s="137"/>
      <c r="N33" s="144"/>
      <c r="O33" s="130"/>
      <c r="P33" s="159"/>
      <c r="Q33" s="159"/>
    </row>
    <row r="34" spans="1:17" s="72" customFormat="1" ht="15" x14ac:dyDescent="0.2">
      <c r="A34" s="63"/>
      <c r="B34" s="176"/>
      <c r="C34" s="64"/>
      <c r="D34" s="75"/>
      <c r="E34" s="128"/>
      <c r="F34" s="134"/>
      <c r="G34" s="134"/>
      <c r="H34" s="135"/>
      <c r="I34" s="152"/>
      <c r="J34" s="135"/>
      <c r="K34" s="136"/>
      <c r="L34" s="135"/>
      <c r="M34" s="137"/>
      <c r="N34" s="144"/>
      <c r="O34" s="130"/>
      <c r="P34" s="159"/>
      <c r="Q34" s="159"/>
    </row>
    <row r="35" spans="1:17" s="72" customFormat="1" ht="14.25" x14ac:dyDescent="0.2">
      <c r="A35" s="63"/>
      <c r="B35" s="143" t="s">
        <v>158</v>
      </c>
      <c r="C35" s="192" t="s">
        <v>159</v>
      </c>
      <c r="D35" s="75"/>
      <c r="E35" s="198" t="s">
        <v>221</v>
      </c>
      <c r="F35" s="134"/>
      <c r="G35" s="134"/>
      <c r="H35" s="135"/>
      <c r="I35" s="152"/>
      <c r="J35" s="135"/>
      <c r="K35" s="136"/>
      <c r="L35" s="135"/>
      <c r="M35" s="137"/>
      <c r="N35" s="144"/>
      <c r="O35" s="130"/>
      <c r="P35" s="159"/>
      <c r="Q35" s="159"/>
    </row>
    <row r="36" spans="1:17" s="72" customFormat="1" ht="14.25" x14ac:dyDescent="0.2">
      <c r="A36" s="63"/>
      <c r="B36" s="316"/>
      <c r="C36" s="608"/>
      <c r="D36" s="75"/>
      <c r="E36" s="198"/>
      <c r="F36" s="134"/>
      <c r="G36" s="134"/>
      <c r="H36" s="135"/>
      <c r="I36" s="152"/>
      <c r="J36" s="135"/>
      <c r="K36" s="136"/>
      <c r="L36" s="135"/>
      <c r="M36" s="137"/>
      <c r="N36" s="144"/>
      <c r="O36" s="130"/>
      <c r="P36" s="159"/>
      <c r="Q36" s="159"/>
    </row>
    <row r="37" spans="1:17" s="72" customFormat="1" ht="14.25" x14ac:dyDescent="0.2">
      <c r="A37" s="63"/>
      <c r="B37" s="316" t="s">
        <v>800</v>
      </c>
      <c r="C37" s="608" t="s">
        <v>901</v>
      </c>
      <c r="D37" s="75"/>
      <c r="E37" s="198" t="s">
        <v>223</v>
      </c>
      <c r="F37" s="184" t="s">
        <v>900</v>
      </c>
      <c r="G37" s="134"/>
      <c r="H37" s="135"/>
      <c r="I37" s="152"/>
      <c r="J37" s="135"/>
      <c r="K37" s="136"/>
      <c r="L37" s="135"/>
      <c r="M37" s="137"/>
      <c r="N37" s="144"/>
      <c r="O37" s="130"/>
      <c r="P37" s="159"/>
      <c r="Q37" s="159"/>
    </row>
    <row r="38" spans="1:17" s="72" customFormat="1" ht="14.25" x14ac:dyDescent="0.2">
      <c r="A38" s="63"/>
      <c r="B38" s="316"/>
      <c r="C38" s="608"/>
      <c r="D38" s="75"/>
      <c r="E38" s="198"/>
      <c r="F38" s="134"/>
      <c r="G38" s="134"/>
      <c r="H38" s="135"/>
      <c r="I38" s="152"/>
      <c r="J38" s="135"/>
      <c r="K38" s="136"/>
      <c r="L38" s="135"/>
      <c r="M38" s="137"/>
      <c r="N38" s="144"/>
      <c r="O38" s="130"/>
      <c r="P38" s="159"/>
      <c r="Q38" s="159"/>
    </row>
    <row r="39" spans="1:17" s="72" customFormat="1" ht="14.25" x14ac:dyDescent="0.2">
      <c r="A39" s="63"/>
      <c r="B39" s="242" t="s">
        <v>730</v>
      </c>
      <c r="C39" s="195">
        <v>20</v>
      </c>
      <c r="D39" s="75" t="s">
        <v>116</v>
      </c>
      <c r="E39" s="134">
        <f>WORKINGS_Ceilngs!G297</f>
        <v>1.55</v>
      </c>
      <c r="F39" s="134">
        <f>C39*E39</f>
        <v>31</v>
      </c>
      <c r="G39" s="134">
        <f>$H$11*E39</f>
        <v>77.5</v>
      </c>
      <c r="H39" s="135">
        <f>F39*$H$11</f>
        <v>1550</v>
      </c>
      <c r="I39" s="152">
        <f>WORKINGS_Ceilngs!K297</f>
        <v>52.73191666666667</v>
      </c>
      <c r="J39" s="135">
        <f>C39*I39</f>
        <v>1054.6383333333333</v>
      </c>
      <c r="K39" s="136">
        <f>SUM(H39,J39)</f>
        <v>2604.6383333333333</v>
      </c>
      <c r="L39" s="135">
        <f>K39/C39</f>
        <v>130.23191666666668</v>
      </c>
      <c r="M39" s="137">
        <f>C39*L39</f>
        <v>2604.6383333333333</v>
      </c>
      <c r="N39" s="144">
        <v>0</v>
      </c>
      <c r="O39" s="130">
        <f>M39*N39</f>
        <v>0</v>
      </c>
      <c r="P39" s="159"/>
      <c r="Q39" s="159"/>
    </row>
    <row r="40" spans="1:17" s="72" customFormat="1" ht="14.25" x14ac:dyDescent="0.2">
      <c r="A40" s="63"/>
      <c r="B40" s="175"/>
      <c r="C40" s="64"/>
      <c r="D40" s="75"/>
      <c r="E40" s="134"/>
      <c r="F40" s="134"/>
      <c r="G40" s="134"/>
      <c r="H40" s="135"/>
      <c r="I40" s="152"/>
      <c r="J40" s="135"/>
      <c r="K40" s="136"/>
      <c r="L40" s="135"/>
      <c r="M40" s="137"/>
      <c r="N40" s="144"/>
      <c r="O40" s="130"/>
      <c r="P40" s="159"/>
      <c r="Q40" s="159"/>
    </row>
    <row r="41" spans="1:17" s="72" customFormat="1" ht="14.25" x14ac:dyDescent="0.2">
      <c r="A41" s="63"/>
      <c r="B41" s="143"/>
      <c r="C41" s="64"/>
      <c r="D41" s="75"/>
      <c r="E41" s="134"/>
      <c r="F41" s="134"/>
      <c r="G41" s="134"/>
      <c r="H41" s="135"/>
      <c r="I41" s="152"/>
      <c r="J41" s="135"/>
      <c r="K41" s="136"/>
      <c r="L41" s="135"/>
      <c r="M41" s="137"/>
      <c r="N41" s="144"/>
      <c r="O41" s="130"/>
      <c r="P41" s="159"/>
      <c r="Q41" s="159"/>
    </row>
    <row r="42" spans="1:17" s="72" customFormat="1" ht="15" x14ac:dyDescent="0.2">
      <c r="A42" s="63"/>
      <c r="B42" s="176" t="s">
        <v>60</v>
      </c>
      <c r="C42" s="64"/>
      <c r="D42" s="75"/>
      <c r="E42" s="128"/>
      <c r="F42" s="129"/>
      <c r="G42" s="129"/>
      <c r="H42" s="129"/>
      <c r="I42" s="153"/>
      <c r="J42" s="128"/>
      <c r="K42" s="128"/>
      <c r="L42" s="128"/>
      <c r="M42" s="120"/>
      <c r="N42" s="126"/>
      <c r="O42" s="127"/>
      <c r="P42" s="159"/>
      <c r="Q42" s="159"/>
    </row>
    <row r="43" spans="1:17" s="72" customFormat="1" ht="15" x14ac:dyDescent="0.2">
      <c r="A43" s="63"/>
      <c r="B43" s="176"/>
      <c r="C43" s="64"/>
      <c r="D43" s="75"/>
      <c r="E43" s="128"/>
      <c r="F43" s="129"/>
      <c r="G43" s="129"/>
      <c r="H43" s="129"/>
      <c r="I43" s="153"/>
      <c r="J43" s="128"/>
      <c r="K43" s="128"/>
      <c r="L43" s="128"/>
      <c r="M43" s="120"/>
      <c r="N43" s="126"/>
      <c r="O43" s="127"/>
      <c r="P43" s="159"/>
      <c r="Q43" s="159"/>
    </row>
    <row r="44" spans="1:17" s="72" customFormat="1" ht="14.25" x14ac:dyDescent="0.2">
      <c r="A44" s="63"/>
      <c r="B44" s="143" t="s">
        <v>168</v>
      </c>
      <c r="C44" s="192" t="s">
        <v>159</v>
      </c>
      <c r="D44" s="75"/>
      <c r="E44" s="198" t="s">
        <v>636</v>
      </c>
      <c r="F44" s="134"/>
      <c r="G44" s="134"/>
      <c r="H44" s="135"/>
      <c r="I44" s="152"/>
      <c r="J44" s="135"/>
      <c r="K44" s="136"/>
      <c r="L44" s="135"/>
      <c r="M44" s="137"/>
      <c r="N44" s="144"/>
      <c r="O44" s="130"/>
      <c r="P44" s="159"/>
      <c r="Q44" s="159"/>
    </row>
    <row r="45" spans="1:17" s="72" customFormat="1" ht="15" x14ac:dyDescent="0.2">
      <c r="A45" s="63"/>
      <c r="B45" s="176"/>
      <c r="C45" s="64"/>
      <c r="D45" s="75"/>
      <c r="E45" s="128"/>
      <c r="F45" s="129"/>
      <c r="G45" s="129"/>
      <c r="H45" s="129"/>
      <c r="I45" s="153"/>
      <c r="J45" s="128"/>
      <c r="K45" s="128"/>
      <c r="L45" s="128"/>
      <c r="M45" s="120"/>
      <c r="N45" s="126"/>
      <c r="O45" s="127"/>
      <c r="P45" s="159"/>
      <c r="Q45" s="159"/>
    </row>
    <row r="46" spans="1:17" s="72" customFormat="1" ht="14.25" x14ac:dyDescent="0.2">
      <c r="A46" s="63"/>
      <c r="B46" s="143" t="s">
        <v>158</v>
      </c>
      <c r="C46" s="192" t="s">
        <v>159</v>
      </c>
      <c r="D46" s="75"/>
      <c r="E46" s="198" t="s">
        <v>224</v>
      </c>
      <c r="F46" s="129"/>
      <c r="G46" s="129"/>
      <c r="H46" s="129"/>
      <c r="I46" s="153"/>
      <c r="J46" s="128"/>
      <c r="K46" s="128"/>
      <c r="L46" s="128"/>
      <c r="M46" s="120"/>
      <c r="N46" s="126"/>
      <c r="O46" s="127"/>
      <c r="P46" s="159"/>
      <c r="Q46" s="159"/>
    </row>
    <row r="47" spans="1:17" s="72" customFormat="1" ht="15" x14ac:dyDescent="0.2">
      <c r="A47" s="63"/>
      <c r="B47" s="176"/>
      <c r="C47" s="64"/>
      <c r="D47" s="75"/>
      <c r="E47" s="128"/>
      <c r="F47" s="129"/>
      <c r="G47" s="129"/>
      <c r="H47" s="129"/>
      <c r="I47" s="153"/>
      <c r="J47" s="128"/>
      <c r="K47" s="128"/>
      <c r="L47" s="128"/>
      <c r="M47" s="120"/>
      <c r="N47" s="126"/>
      <c r="O47" s="127"/>
      <c r="P47" s="159"/>
      <c r="Q47" s="159"/>
    </row>
    <row r="48" spans="1:17" s="72" customFormat="1" ht="14.25" x14ac:dyDescent="0.2">
      <c r="A48" s="63"/>
      <c r="B48" s="143" t="s">
        <v>225</v>
      </c>
      <c r="C48" s="64">
        <v>4</v>
      </c>
      <c r="D48" s="75" t="s">
        <v>151</v>
      </c>
      <c r="E48" s="134">
        <v>0.68</v>
      </c>
      <c r="F48" s="134">
        <f>C48*E48</f>
        <v>2.72</v>
      </c>
      <c r="G48" s="134">
        <f>$H$11*E48</f>
        <v>34</v>
      </c>
      <c r="H48" s="135">
        <f>F48*$H$11</f>
        <v>136</v>
      </c>
      <c r="I48" s="152">
        <v>69.28</v>
      </c>
      <c r="J48" s="135">
        <f>C48*I48</f>
        <v>277.12</v>
      </c>
      <c r="K48" s="136">
        <f>SUM(H48,J48)</f>
        <v>413.12</v>
      </c>
      <c r="L48" s="135">
        <f>K48/C48</f>
        <v>103.28</v>
      </c>
      <c r="M48" s="137">
        <f>C48*L48</f>
        <v>413.12</v>
      </c>
      <c r="N48" s="144">
        <v>0</v>
      </c>
      <c r="O48" s="130">
        <f>M48*N48</f>
        <v>0</v>
      </c>
      <c r="P48" s="159"/>
      <c r="Q48" s="159"/>
    </row>
    <row r="49" spans="1:17" s="72" customFormat="1" ht="14.25" x14ac:dyDescent="0.2">
      <c r="A49" s="63"/>
      <c r="B49" s="143" t="s">
        <v>161</v>
      </c>
      <c r="C49" s="64">
        <v>19</v>
      </c>
      <c r="D49" s="75" t="s">
        <v>116</v>
      </c>
      <c r="E49" s="134"/>
      <c r="F49" s="134"/>
      <c r="G49" s="134"/>
      <c r="H49" s="135"/>
      <c r="I49" s="152"/>
      <c r="J49" s="135"/>
      <c r="K49" s="136"/>
      <c r="L49" s="135"/>
      <c r="M49" s="137"/>
      <c r="N49" s="144"/>
      <c r="O49" s="130"/>
      <c r="P49" s="159"/>
      <c r="Q49" s="159"/>
    </row>
    <row r="50" spans="1:17" s="72" customFormat="1" ht="14.25" x14ac:dyDescent="0.2">
      <c r="A50" s="63"/>
      <c r="B50" s="143"/>
      <c r="C50" s="64"/>
      <c r="D50" s="75"/>
      <c r="E50" s="134"/>
      <c r="F50" s="134"/>
      <c r="G50" s="134"/>
      <c r="H50" s="135"/>
      <c r="I50" s="152"/>
      <c r="J50" s="135"/>
      <c r="K50" s="136"/>
      <c r="L50" s="135"/>
      <c r="M50" s="137"/>
      <c r="N50" s="144"/>
      <c r="O50" s="130"/>
      <c r="P50" s="159"/>
      <c r="Q50" s="159"/>
    </row>
    <row r="51" spans="1:17" s="72" customFormat="1" ht="14.25" x14ac:dyDescent="0.2">
      <c r="A51" s="63"/>
      <c r="B51" s="143" t="s">
        <v>339</v>
      </c>
      <c r="C51" s="64">
        <v>249</v>
      </c>
      <c r="D51" s="75" t="s">
        <v>151</v>
      </c>
      <c r="E51" s="134">
        <v>0.33</v>
      </c>
      <c r="F51" s="134">
        <f>C51*E51</f>
        <v>82.17</v>
      </c>
      <c r="G51" s="134">
        <f>$H$11*E51</f>
        <v>16.5</v>
      </c>
      <c r="H51" s="135">
        <f>F51*$H$11</f>
        <v>4108.5</v>
      </c>
      <c r="I51" s="152">
        <v>20.56</v>
      </c>
      <c r="J51" s="135">
        <f>C51*I51</f>
        <v>5119.4399999999996</v>
      </c>
      <c r="K51" s="136">
        <f>SUM(H51,J51)</f>
        <v>9227.9399999999987</v>
      </c>
      <c r="L51" s="135">
        <f>K51/C51</f>
        <v>37.059999999999995</v>
      </c>
      <c r="M51" s="137">
        <f>C51*L51</f>
        <v>9227.9399999999987</v>
      </c>
      <c r="N51" s="144">
        <v>0</v>
      </c>
      <c r="O51" s="130">
        <f>M51*N51</f>
        <v>0</v>
      </c>
      <c r="P51" s="159"/>
      <c r="Q51" s="159"/>
    </row>
    <row r="52" spans="1:17" s="72" customFormat="1" ht="14.25" x14ac:dyDescent="0.2">
      <c r="A52" s="63"/>
      <c r="B52" s="143" t="s">
        <v>161</v>
      </c>
      <c r="C52" s="64">
        <v>300</v>
      </c>
      <c r="D52" s="75" t="s">
        <v>116</v>
      </c>
      <c r="E52" s="134"/>
      <c r="F52" s="134"/>
      <c r="G52" s="134"/>
      <c r="H52" s="135"/>
      <c r="I52" s="152"/>
      <c r="J52" s="135"/>
      <c r="K52" s="136"/>
      <c r="L52" s="135"/>
      <c r="M52" s="137"/>
      <c r="N52" s="144"/>
      <c r="O52" s="130"/>
      <c r="P52" s="159"/>
      <c r="Q52" s="159"/>
    </row>
    <row r="53" spans="1:17" s="72" customFormat="1" ht="14.25" x14ac:dyDescent="0.2">
      <c r="A53" s="63"/>
      <c r="B53" s="316" t="s">
        <v>230</v>
      </c>
      <c r="C53" s="64">
        <v>47</v>
      </c>
      <c r="D53" s="75" t="s">
        <v>148</v>
      </c>
      <c r="E53" s="134">
        <v>1</v>
      </c>
      <c r="F53" s="134">
        <f>C53*E53</f>
        <v>47</v>
      </c>
      <c r="G53" s="134">
        <f>$H$11*E53</f>
        <v>50</v>
      </c>
      <c r="H53" s="135">
        <f>F53*$H$11</f>
        <v>2350</v>
      </c>
      <c r="I53" s="152">
        <v>20</v>
      </c>
      <c r="J53" s="135">
        <f>C53*I53</f>
        <v>940</v>
      </c>
      <c r="K53" s="136">
        <f>SUM(H53,J53)</f>
        <v>3290</v>
      </c>
      <c r="L53" s="135">
        <f>K53/C53</f>
        <v>70</v>
      </c>
      <c r="M53" s="137">
        <f>C53*L53</f>
        <v>3290</v>
      </c>
      <c r="N53" s="144">
        <v>0</v>
      </c>
      <c r="O53" s="130">
        <f>M53*N53</f>
        <v>0</v>
      </c>
      <c r="P53" s="159"/>
      <c r="Q53" s="159"/>
    </row>
    <row r="54" spans="1:17" s="72" customFormat="1" ht="14.25" x14ac:dyDescent="0.2">
      <c r="A54" s="63"/>
      <c r="B54" s="143" t="s">
        <v>638</v>
      </c>
      <c r="C54" s="64">
        <v>30</v>
      </c>
      <c r="D54" s="75" t="s">
        <v>148</v>
      </c>
      <c r="E54" s="134">
        <v>3</v>
      </c>
      <c r="F54" s="134">
        <f>C54*E54</f>
        <v>90</v>
      </c>
      <c r="G54" s="134">
        <f>$H$11*E54</f>
        <v>150</v>
      </c>
      <c r="H54" s="135">
        <f>F54*$H$11</f>
        <v>4500</v>
      </c>
      <c r="I54" s="152">
        <v>112</v>
      </c>
      <c r="J54" s="135">
        <f>C54*I54</f>
        <v>3360</v>
      </c>
      <c r="K54" s="136">
        <f>SUM(H54,J54)</f>
        <v>7860</v>
      </c>
      <c r="L54" s="135">
        <f>K54/C54</f>
        <v>262</v>
      </c>
      <c r="M54" s="137">
        <f>C54*L54</f>
        <v>7860</v>
      </c>
      <c r="N54" s="144">
        <v>0</v>
      </c>
      <c r="O54" s="130">
        <f>M54*N54</f>
        <v>0</v>
      </c>
      <c r="P54" s="159"/>
      <c r="Q54" s="159"/>
    </row>
    <row r="55" spans="1:17" s="72" customFormat="1" ht="14.25" x14ac:dyDescent="0.2">
      <c r="A55" s="63"/>
      <c r="B55" s="143"/>
      <c r="C55" s="64"/>
      <c r="D55" s="75"/>
      <c r="E55" s="134"/>
      <c r="F55" s="134"/>
      <c r="G55" s="134"/>
      <c r="H55" s="135"/>
      <c r="I55" s="152"/>
      <c r="J55" s="135"/>
      <c r="K55" s="136"/>
      <c r="L55" s="135"/>
      <c r="M55" s="137"/>
      <c r="N55" s="144"/>
      <c r="O55" s="130"/>
      <c r="P55" s="159"/>
      <c r="Q55" s="159"/>
    </row>
    <row r="56" spans="1:17" s="72" customFormat="1" ht="14.25" x14ac:dyDescent="0.2">
      <c r="A56" s="63"/>
      <c r="B56" s="143" t="s">
        <v>528</v>
      </c>
      <c r="C56" s="64">
        <v>34</v>
      </c>
      <c r="D56" s="75" t="s">
        <v>116</v>
      </c>
      <c r="E56" s="199" t="s">
        <v>529</v>
      </c>
      <c r="F56" s="134"/>
      <c r="G56" s="134"/>
      <c r="H56" s="135"/>
      <c r="I56" s="152"/>
      <c r="J56" s="135"/>
      <c r="K56" s="136"/>
      <c r="L56" s="135"/>
      <c r="M56" s="137"/>
      <c r="N56" s="144"/>
      <c r="O56" s="130"/>
      <c r="P56" s="159"/>
      <c r="Q56" s="159"/>
    </row>
    <row r="57" spans="1:17" s="72" customFormat="1" ht="14.25" hidden="1" x14ac:dyDescent="0.2">
      <c r="A57" s="63"/>
      <c r="B57" s="253" t="s">
        <v>717</v>
      </c>
      <c r="C57" s="201">
        <v>34</v>
      </c>
      <c r="D57" s="226" t="s">
        <v>116</v>
      </c>
      <c r="E57" s="227">
        <v>0.5</v>
      </c>
      <c r="F57" s="227">
        <f>C57*E57</f>
        <v>17</v>
      </c>
      <c r="G57" s="227">
        <f>$H$11*E57</f>
        <v>25</v>
      </c>
      <c r="H57" s="228">
        <f>F57*$H$11</f>
        <v>850</v>
      </c>
      <c r="I57" s="229">
        <v>30</v>
      </c>
      <c r="J57" s="228">
        <f>C57*I57</f>
        <v>1020</v>
      </c>
      <c r="K57" s="230">
        <f>SUM(H57,J57)</f>
        <v>1870</v>
      </c>
      <c r="L57" s="228">
        <f>K57/C57</f>
        <v>55</v>
      </c>
      <c r="M57" s="231">
        <f>C57*L57</f>
        <v>1870</v>
      </c>
      <c r="N57" s="232">
        <v>0</v>
      </c>
      <c r="O57" s="233">
        <f>M57*N57</f>
        <v>0</v>
      </c>
      <c r="P57" s="159"/>
      <c r="Q57" s="159"/>
    </row>
    <row r="58" spans="1:17" s="72" customFormat="1" ht="14.25" hidden="1" x14ac:dyDescent="0.2">
      <c r="A58" s="63"/>
      <c r="B58" s="253" t="s">
        <v>531</v>
      </c>
      <c r="C58" s="201">
        <v>34</v>
      </c>
      <c r="D58" s="226" t="s">
        <v>116</v>
      </c>
      <c r="E58" s="227">
        <v>0.25</v>
      </c>
      <c r="F58" s="227">
        <f>C58*E58</f>
        <v>8.5</v>
      </c>
      <c r="G58" s="227">
        <f>$H$11*E58</f>
        <v>12.5</v>
      </c>
      <c r="H58" s="228">
        <f>F58*$H$11</f>
        <v>425</v>
      </c>
      <c r="I58" s="229">
        <v>0</v>
      </c>
      <c r="J58" s="228">
        <f>C58*I58</f>
        <v>0</v>
      </c>
      <c r="K58" s="230">
        <f>SUM(H58,J58)</f>
        <v>425</v>
      </c>
      <c r="L58" s="228">
        <f>K58/C58</f>
        <v>12.5</v>
      </c>
      <c r="M58" s="231">
        <f>C58*L58</f>
        <v>425</v>
      </c>
      <c r="N58" s="232">
        <v>0</v>
      </c>
      <c r="O58" s="233">
        <f>M58*N58</f>
        <v>0</v>
      </c>
      <c r="P58" s="159"/>
      <c r="Q58" s="159"/>
    </row>
    <row r="59" spans="1:17" s="72" customFormat="1" ht="14.25" hidden="1" x14ac:dyDescent="0.2">
      <c r="A59" s="63"/>
      <c r="B59" s="253" t="s">
        <v>530</v>
      </c>
      <c r="C59" s="201">
        <v>70</v>
      </c>
      <c r="D59" s="226" t="s">
        <v>116</v>
      </c>
      <c r="E59" s="227">
        <v>0.1</v>
      </c>
      <c r="F59" s="227">
        <f>C59*E59</f>
        <v>7</v>
      </c>
      <c r="G59" s="227">
        <f>$H$11*E59</f>
        <v>5</v>
      </c>
      <c r="H59" s="228">
        <f>F59*$H$11</f>
        <v>350</v>
      </c>
      <c r="I59" s="229">
        <v>2</v>
      </c>
      <c r="J59" s="228">
        <f>C59*I59</f>
        <v>140</v>
      </c>
      <c r="K59" s="230">
        <f>SUM(H59,J59)</f>
        <v>490</v>
      </c>
      <c r="L59" s="228">
        <f>K59/C59</f>
        <v>7</v>
      </c>
      <c r="M59" s="231">
        <f>C59*L59</f>
        <v>490</v>
      </c>
      <c r="N59" s="232">
        <v>0</v>
      </c>
      <c r="O59" s="233">
        <f>M59*N59</f>
        <v>0</v>
      </c>
      <c r="P59" s="159"/>
      <c r="Q59" s="159"/>
    </row>
    <row r="60" spans="1:17" s="72" customFormat="1" ht="14.25" hidden="1" x14ac:dyDescent="0.2">
      <c r="A60" s="63"/>
      <c r="B60" s="253" t="s">
        <v>539</v>
      </c>
      <c r="C60" s="201">
        <v>34</v>
      </c>
      <c r="D60" s="226" t="s">
        <v>116</v>
      </c>
      <c r="E60" s="227">
        <v>0</v>
      </c>
      <c r="F60" s="227">
        <f>C60*E60</f>
        <v>0</v>
      </c>
      <c r="G60" s="227">
        <f>$H$11*E60</f>
        <v>0</v>
      </c>
      <c r="H60" s="228">
        <f>F60*$H$11</f>
        <v>0</v>
      </c>
      <c r="I60" s="229">
        <v>100</v>
      </c>
      <c r="J60" s="228">
        <f>C60*I60</f>
        <v>3400</v>
      </c>
      <c r="K60" s="230">
        <f>SUM(H60,J60)</f>
        <v>3400</v>
      </c>
      <c r="L60" s="228">
        <f>K60/C60</f>
        <v>100</v>
      </c>
      <c r="M60" s="231">
        <f>C60*L60</f>
        <v>3400</v>
      </c>
      <c r="N60" s="232">
        <v>0</v>
      </c>
      <c r="O60" s="233">
        <f>M60*N60</f>
        <v>0</v>
      </c>
      <c r="P60" s="159"/>
      <c r="Q60" s="159"/>
    </row>
    <row r="61" spans="1:17" s="72" customFormat="1" ht="14.25" hidden="1" x14ac:dyDescent="0.2">
      <c r="A61" s="63"/>
      <c r="B61" s="253" t="s">
        <v>540</v>
      </c>
      <c r="C61" s="201">
        <v>34</v>
      </c>
      <c r="D61" s="226" t="s">
        <v>116</v>
      </c>
      <c r="E61" s="227">
        <v>0.5</v>
      </c>
      <c r="F61" s="227">
        <f>C61*E61</f>
        <v>17</v>
      </c>
      <c r="G61" s="227">
        <f>$H$11*E61</f>
        <v>25</v>
      </c>
      <c r="H61" s="228">
        <f>F61*$H$11</f>
        <v>850</v>
      </c>
      <c r="I61" s="229">
        <v>2.5</v>
      </c>
      <c r="J61" s="228">
        <f>C61*I61</f>
        <v>85</v>
      </c>
      <c r="K61" s="230">
        <f>SUM(H61,J61)</f>
        <v>935</v>
      </c>
      <c r="L61" s="228">
        <f>K61/C61</f>
        <v>27.5</v>
      </c>
      <c r="M61" s="231">
        <f>C61*L61</f>
        <v>935</v>
      </c>
      <c r="N61" s="232">
        <v>0</v>
      </c>
      <c r="O61" s="233">
        <f>M61*N61</f>
        <v>0</v>
      </c>
      <c r="P61" s="159"/>
      <c r="Q61" s="159"/>
    </row>
    <row r="62" spans="1:17" s="72" customFormat="1" ht="14.25" x14ac:dyDescent="0.2">
      <c r="A62" s="63"/>
      <c r="B62" s="143"/>
      <c r="C62" s="466"/>
      <c r="D62" s="75"/>
      <c r="E62" s="134"/>
      <c r="F62" s="134"/>
      <c r="G62" s="134"/>
      <c r="H62" s="135"/>
      <c r="I62" s="152"/>
      <c r="J62" s="135"/>
      <c r="K62" s="136"/>
      <c r="L62" s="135"/>
      <c r="M62" s="137"/>
      <c r="N62" s="144"/>
      <c r="O62" s="130"/>
      <c r="P62" s="159"/>
      <c r="Q62" s="159"/>
    </row>
    <row r="63" spans="1:17" s="72" customFormat="1" ht="14.25" x14ac:dyDescent="0.2">
      <c r="A63" s="63"/>
      <c r="B63" s="316" t="s">
        <v>226</v>
      </c>
      <c r="C63" s="192" t="s">
        <v>643</v>
      </c>
      <c r="D63" s="75"/>
      <c r="E63" s="134"/>
      <c r="F63" s="134"/>
      <c r="G63" s="134"/>
      <c r="H63" s="135"/>
      <c r="I63" s="152"/>
      <c r="J63" s="135"/>
      <c r="K63" s="136"/>
      <c r="L63" s="135"/>
      <c r="M63" s="137"/>
      <c r="N63" s="144"/>
      <c r="O63" s="130"/>
      <c r="P63" s="159"/>
      <c r="Q63" s="159"/>
    </row>
    <row r="64" spans="1:17" s="72" customFormat="1" ht="14.25" x14ac:dyDescent="0.2">
      <c r="A64" s="63"/>
      <c r="B64" s="143" t="s">
        <v>390</v>
      </c>
      <c r="C64" s="64">
        <v>4</v>
      </c>
      <c r="D64" s="75" t="s">
        <v>148</v>
      </c>
      <c r="E64" s="134">
        <v>4.5</v>
      </c>
      <c r="F64" s="134">
        <f>C64*E64</f>
        <v>18</v>
      </c>
      <c r="G64" s="134">
        <f>$H$11*E64</f>
        <v>225</v>
      </c>
      <c r="H64" s="135">
        <f>F64*$H$11</f>
        <v>900</v>
      </c>
      <c r="I64" s="152">
        <v>50</v>
      </c>
      <c r="J64" s="135">
        <f>C64*I64</f>
        <v>200</v>
      </c>
      <c r="K64" s="136">
        <f>SUM(H64,J64)</f>
        <v>1100</v>
      </c>
      <c r="L64" s="135">
        <f>K64/C64</f>
        <v>275</v>
      </c>
      <c r="M64" s="137">
        <f>C64*L64</f>
        <v>1100</v>
      </c>
      <c r="N64" s="144">
        <v>0</v>
      </c>
      <c r="O64" s="130">
        <f>M64*N64</f>
        <v>0</v>
      </c>
      <c r="P64" s="159"/>
      <c r="Q64" s="159"/>
    </row>
    <row r="65" spans="1:17" s="72" customFormat="1" ht="14.25" x14ac:dyDescent="0.2">
      <c r="A65" s="63"/>
      <c r="B65" s="143" t="s">
        <v>889</v>
      </c>
      <c r="C65" s="64">
        <v>4</v>
      </c>
      <c r="D65" s="75" t="s">
        <v>148</v>
      </c>
      <c r="E65" s="134">
        <v>5</v>
      </c>
      <c r="F65" s="134">
        <f>C65*E65</f>
        <v>20</v>
      </c>
      <c r="G65" s="134">
        <f>$H$11*E65</f>
        <v>250</v>
      </c>
      <c r="H65" s="135">
        <f>F65*$H$11</f>
        <v>1000</v>
      </c>
      <c r="I65" s="152">
        <v>572</v>
      </c>
      <c r="J65" s="135">
        <f>C65*I65</f>
        <v>2288</v>
      </c>
      <c r="K65" s="136">
        <f>SUM(H65,J65)</f>
        <v>3288</v>
      </c>
      <c r="L65" s="135">
        <f>K65/C65</f>
        <v>822</v>
      </c>
      <c r="M65" s="137">
        <f>C65*L65</f>
        <v>3288</v>
      </c>
      <c r="N65" s="144">
        <v>0</v>
      </c>
      <c r="O65" s="130">
        <f>M65*N65</f>
        <v>0</v>
      </c>
      <c r="P65" s="159"/>
      <c r="Q65" s="159"/>
    </row>
    <row r="66" spans="1:17" s="72" customFormat="1" ht="14.25" x14ac:dyDescent="0.2">
      <c r="A66" s="63"/>
      <c r="B66" s="143"/>
      <c r="C66" s="64"/>
      <c r="D66" s="75"/>
      <c r="E66" s="134"/>
      <c r="F66" s="134"/>
      <c r="G66" s="134"/>
      <c r="H66" s="135"/>
      <c r="I66" s="152"/>
      <c r="J66" s="135"/>
      <c r="K66" s="136"/>
      <c r="L66" s="135"/>
      <c r="M66" s="137"/>
      <c r="N66" s="144"/>
      <c r="O66" s="130"/>
      <c r="P66" s="159"/>
      <c r="Q66" s="159"/>
    </row>
    <row r="67" spans="1:17" s="72" customFormat="1" ht="14.25" x14ac:dyDescent="0.2">
      <c r="A67" s="63"/>
      <c r="B67" s="121" t="s">
        <v>649</v>
      </c>
      <c r="C67" s="674">
        <v>164</v>
      </c>
      <c r="D67" s="675" t="s">
        <v>151</v>
      </c>
      <c r="E67" s="676">
        <v>0.25</v>
      </c>
      <c r="F67" s="676">
        <f t="shared" ref="F67:F80" si="0">C67*E67</f>
        <v>41</v>
      </c>
      <c r="G67" s="676">
        <f t="shared" ref="G67:G80" si="1">$H$11*E67</f>
        <v>12.5</v>
      </c>
      <c r="H67" s="677">
        <f t="shared" ref="H67:H80" si="2">F67*$H$11</f>
        <v>2050</v>
      </c>
      <c r="I67" s="678">
        <v>2</v>
      </c>
      <c r="J67" s="677">
        <f t="shared" ref="J67:J80" si="3">C67*I67</f>
        <v>328</v>
      </c>
      <c r="K67" s="679">
        <f t="shared" ref="K67:K80" si="4">SUM(H67,J67)</f>
        <v>2378</v>
      </c>
      <c r="L67" s="677">
        <f t="shared" ref="L67:L80" si="5">K67/C67</f>
        <v>14.5</v>
      </c>
      <c r="M67" s="680">
        <f t="shared" ref="M67:M80" si="6">C67*L67</f>
        <v>2378</v>
      </c>
      <c r="N67" s="681">
        <v>0</v>
      </c>
      <c r="O67" s="127">
        <f t="shared" ref="O67:O80" si="7">M67*N67</f>
        <v>0</v>
      </c>
      <c r="P67" s="465"/>
      <c r="Q67" s="159"/>
    </row>
    <row r="68" spans="1:17" s="72" customFormat="1" ht="14.25" hidden="1" x14ac:dyDescent="0.2">
      <c r="A68" s="63"/>
      <c r="B68" s="253" t="s">
        <v>667</v>
      </c>
      <c r="C68" s="201">
        <v>3</v>
      </c>
      <c r="D68" s="226" t="s">
        <v>704</v>
      </c>
      <c r="E68" s="227">
        <v>0</v>
      </c>
      <c r="F68" s="227">
        <f>C68*E68</f>
        <v>0</v>
      </c>
      <c r="G68" s="227">
        <f>$H$11*E68</f>
        <v>0</v>
      </c>
      <c r="H68" s="228">
        <f>F68*$H$11</f>
        <v>0</v>
      </c>
      <c r="I68" s="229">
        <v>254</v>
      </c>
      <c r="J68" s="228">
        <f>C68*I68</f>
        <v>762</v>
      </c>
      <c r="K68" s="230">
        <f>SUM(H68,J68)</f>
        <v>762</v>
      </c>
      <c r="L68" s="228">
        <f>K68/C68</f>
        <v>254</v>
      </c>
      <c r="M68" s="231">
        <f>C68*L68</f>
        <v>762</v>
      </c>
      <c r="N68" s="232">
        <v>0</v>
      </c>
      <c r="O68" s="233">
        <f>M68*N68</f>
        <v>0</v>
      </c>
      <c r="P68" s="465" t="s">
        <v>706</v>
      </c>
      <c r="Q68" s="159"/>
    </row>
    <row r="69" spans="1:17" s="72" customFormat="1" ht="14.25" hidden="1" x14ac:dyDescent="0.2">
      <c r="A69" s="63"/>
      <c r="B69" s="253" t="s">
        <v>705</v>
      </c>
      <c r="C69" s="201">
        <v>5</v>
      </c>
      <c r="D69" s="226" t="s">
        <v>704</v>
      </c>
      <c r="E69" s="227">
        <v>0</v>
      </c>
      <c r="F69" s="227">
        <f>C69*E69</f>
        <v>0</v>
      </c>
      <c r="G69" s="227">
        <f>$H$11*E69</f>
        <v>0</v>
      </c>
      <c r="H69" s="228">
        <f>F69*$H$11</f>
        <v>0</v>
      </c>
      <c r="I69" s="229">
        <v>290</v>
      </c>
      <c r="J69" s="228">
        <f>C69*I69</f>
        <v>1450</v>
      </c>
      <c r="K69" s="230">
        <f>SUM(H69,J69)</f>
        <v>1450</v>
      </c>
      <c r="L69" s="228">
        <f>K69/C69</f>
        <v>290</v>
      </c>
      <c r="M69" s="231">
        <f>C69*L69</f>
        <v>1450</v>
      </c>
      <c r="N69" s="232">
        <v>0</v>
      </c>
      <c r="O69" s="233">
        <f>M69*N69</f>
        <v>0</v>
      </c>
      <c r="P69" s="465" t="s">
        <v>707</v>
      </c>
      <c r="Q69" s="159"/>
    </row>
    <row r="70" spans="1:17" s="72" customFormat="1" ht="14.25" x14ac:dyDescent="0.2">
      <c r="A70" s="63"/>
      <c r="B70" s="143" t="s">
        <v>646</v>
      </c>
      <c r="C70" s="64">
        <v>1</v>
      </c>
      <c r="D70" s="75" t="s">
        <v>75</v>
      </c>
      <c r="E70" s="134">
        <v>1</v>
      </c>
      <c r="F70" s="134">
        <f t="shared" si="0"/>
        <v>1</v>
      </c>
      <c r="G70" s="134">
        <f t="shared" si="1"/>
        <v>50</v>
      </c>
      <c r="H70" s="135">
        <f t="shared" si="2"/>
        <v>50</v>
      </c>
      <c r="I70" s="247">
        <f>WORKINGS_Ceilngs!I3</f>
        <v>3150</v>
      </c>
      <c r="J70" s="135">
        <f t="shared" si="3"/>
        <v>3150</v>
      </c>
      <c r="K70" s="136">
        <f t="shared" si="4"/>
        <v>3200</v>
      </c>
      <c r="L70" s="135">
        <f t="shared" si="5"/>
        <v>3200</v>
      </c>
      <c r="M70" s="137">
        <f t="shared" si="6"/>
        <v>3200</v>
      </c>
      <c r="N70" s="144">
        <v>0</v>
      </c>
      <c r="O70" s="130">
        <f t="shared" si="7"/>
        <v>0</v>
      </c>
      <c r="P70" s="465" t="s">
        <v>656</v>
      </c>
      <c r="Q70" s="159"/>
    </row>
    <row r="71" spans="1:17" s="72" customFormat="1" ht="14.25" x14ac:dyDescent="0.2">
      <c r="A71" s="63"/>
      <c r="B71" s="143" t="s">
        <v>654</v>
      </c>
      <c r="C71" s="64">
        <v>60</v>
      </c>
      <c r="D71" s="75" t="s">
        <v>116</v>
      </c>
      <c r="E71" s="134">
        <v>0.15</v>
      </c>
      <c r="F71" s="134">
        <f>C71*E71</f>
        <v>9</v>
      </c>
      <c r="G71" s="134">
        <f>$H$11*E71</f>
        <v>7.5</v>
      </c>
      <c r="H71" s="135">
        <f>F71*$H$11</f>
        <v>450</v>
      </c>
      <c r="I71" s="247">
        <v>12</v>
      </c>
      <c r="J71" s="135">
        <f>C71*I71</f>
        <v>720</v>
      </c>
      <c r="K71" s="136">
        <f>SUM(H71,J71)</f>
        <v>1170</v>
      </c>
      <c r="L71" s="135">
        <f>K71/C71</f>
        <v>19.5</v>
      </c>
      <c r="M71" s="137">
        <f>C71*L71</f>
        <v>1170</v>
      </c>
      <c r="N71" s="144">
        <v>0</v>
      </c>
      <c r="O71" s="130">
        <f>M71*N71</f>
        <v>0</v>
      </c>
      <c r="P71" s="159"/>
      <c r="Q71" s="159"/>
    </row>
    <row r="72" spans="1:17" s="72" customFormat="1" ht="14.25" x14ac:dyDescent="0.2">
      <c r="A72" s="63"/>
      <c r="B72" s="143" t="s">
        <v>652</v>
      </c>
      <c r="C72" s="64">
        <v>35</v>
      </c>
      <c r="D72" s="75" t="s">
        <v>116</v>
      </c>
      <c r="E72" s="134">
        <v>0.1</v>
      </c>
      <c r="F72" s="134">
        <f>C72*E72</f>
        <v>3.5</v>
      </c>
      <c r="G72" s="134">
        <f>$H$11*E72</f>
        <v>5</v>
      </c>
      <c r="H72" s="135">
        <f>F72*$H$11</f>
        <v>175</v>
      </c>
      <c r="I72" s="247">
        <v>17</v>
      </c>
      <c r="J72" s="135">
        <f>C72*I72</f>
        <v>595</v>
      </c>
      <c r="K72" s="136">
        <f>SUM(H72,J72)</f>
        <v>770</v>
      </c>
      <c r="L72" s="135">
        <f>K72/C72</f>
        <v>22</v>
      </c>
      <c r="M72" s="137">
        <f>C72*L72</f>
        <v>770</v>
      </c>
      <c r="N72" s="144">
        <v>0</v>
      </c>
      <c r="O72" s="130">
        <f>M72*N72</f>
        <v>0</v>
      </c>
      <c r="P72" s="159"/>
      <c r="Q72" s="159"/>
    </row>
    <row r="73" spans="1:17" s="72" customFormat="1" ht="14.25" x14ac:dyDescent="0.2">
      <c r="A73" s="63"/>
      <c r="B73" s="143" t="s">
        <v>653</v>
      </c>
      <c r="C73" s="64">
        <v>32</v>
      </c>
      <c r="D73" s="75" t="s">
        <v>116</v>
      </c>
      <c r="E73" s="134">
        <v>0.15</v>
      </c>
      <c r="F73" s="134">
        <f>C73*E73</f>
        <v>4.8</v>
      </c>
      <c r="G73" s="134">
        <f>$H$11*E73</f>
        <v>7.5</v>
      </c>
      <c r="H73" s="135">
        <f>F73*$H$11</f>
        <v>240</v>
      </c>
      <c r="I73" s="247">
        <v>12</v>
      </c>
      <c r="J73" s="135">
        <f>C73*I73</f>
        <v>384</v>
      </c>
      <c r="K73" s="136">
        <f>SUM(H73,J73)</f>
        <v>624</v>
      </c>
      <c r="L73" s="135">
        <f>K73/C73</f>
        <v>19.5</v>
      </c>
      <c r="M73" s="137">
        <f>C73*L73</f>
        <v>624</v>
      </c>
      <c r="N73" s="144">
        <v>0</v>
      </c>
      <c r="O73" s="130">
        <f>M73*N73</f>
        <v>0</v>
      </c>
      <c r="P73" s="159"/>
      <c r="Q73" s="159"/>
    </row>
    <row r="74" spans="1:17" s="72" customFormat="1" ht="14.25" x14ac:dyDescent="0.2">
      <c r="A74" s="63"/>
      <c r="B74" s="143" t="s">
        <v>651</v>
      </c>
      <c r="C74" s="64">
        <v>4</v>
      </c>
      <c r="D74" s="75" t="s">
        <v>148</v>
      </c>
      <c r="E74" s="134">
        <v>0.5</v>
      </c>
      <c r="F74" s="134">
        <f>C74*E74</f>
        <v>2</v>
      </c>
      <c r="G74" s="134">
        <f>$H$11*E74</f>
        <v>25</v>
      </c>
      <c r="H74" s="135">
        <f>F74*$H$11</f>
        <v>100</v>
      </c>
      <c r="I74" s="152">
        <v>100</v>
      </c>
      <c r="J74" s="135">
        <f>C74*I74</f>
        <v>400</v>
      </c>
      <c r="K74" s="136">
        <f>SUM(H74,J74)</f>
        <v>500</v>
      </c>
      <c r="L74" s="135">
        <f>K74/C74</f>
        <v>125</v>
      </c>
      <c r="M74" s="137">
        <f>C74*L74</f>
        <v>500</v>
      </c>
      <c r="N74" s="144">
        <v>0</v>
      </c>
      <c r="O74" s="130">
        <f>M74*N74</f>
        <v>0</v>
      </c>
      <c r="P74" s="159"/>
      <c r="Q74" s="159"/>
    </row>
    <row r="75" spans="1:17" s="72" customFormat="1" ht="16.5" customHeight="1" x14ac:dyDescent="0.2">
      <c r="A75" s="63"/>
      <c r="B75" s="175" t="s">
        <v>849</v>
      </c>
      <c r="C75" s="64">
        <v>164</v>
      </c>
      <c r="D75" s="75" t="s">
        <v>151</v>
      </c>
      <c r="E75" s="134">
        <v>0.25</v>
      </c>
      <c r="F75" s="134">
        <f t="shared" si="0"/>
        <v>41</v>
      </c>
      <c r="G75" s="134">
        <f t="shared" si="1"/>
        <v>12.5</v>
      </c>
      <c r="H75" s="135">
        <f t="shared" si="2"/>
        <v>2050</v>
      </c>
      <c r="I75" s="582">
        <v>158.21</v>
      </c>
      <c r="J75" s="135">
        <f t="shared" si="3"/>
        <v>25946.440000000002</v>
      </c>
      <c r="K75" s="136">
        <f t="shared" si="4"/>
        <v>27996.440000000002</v>
      </c>
      <c r="L75" s="135">
        <f t="shared" si="5"/>
        <v>170.71</v>
      </c>
      <c r="M75" s="137">
        <f t="shared" si="6"/>
        <v>27996.440000000002</v>
      </c>
      <c r="N75" s="144">
        <v>0</v>
      </c>
      <c r="O75" s="130">
        <f t="shared" si="7"/>
        <v>0</v>
      </c>
      <c r="P75" s="159"/>
      <c r="Q75" s="159"/>
    </row>
    <row r="76" spans="1:17" s="72" customFormat="1" ht="14.25" x14ac:dyDescent="0.2">
      <c r="A76" s="63"/>
      <c r="B76" s="143" t="s">
        <v>228</v>
      </c>
      <c r="C76" s="64">
        <v>1</v>
      </c>
      <c r="D76" s="75" t="s">
        <v>75</v>
      </c>
      <c r="E76" s="134">
        <v>0</v>
      </c>
      <c r="F76" s="134">
        <f t="shared" si="0"/>
        <v>0</v>
      </c>
      <c r="G76" s="134">
        <f t="shared" si="1"/>
        <v>0</v>
      </c>
      <c r="H76" s="135">
        <f t="shared" si="2"/>
        <v>0</v>
      </c>
      <c r="I76" s="152">
        <v>2500</v>
      </c>
      <c r="J76" s="135">
        <f t="shared" si="3"/>
        <v>2500</v>
      </c>
      <c r="K76" s="136">
        <f t="shared" si="4"/>
        <v>2500</v>
      </c>
      <c r="L76" s="135">
        <f t="shared" si="5"/>
        <v>2500</v>
      </c>
      <c r="M76" s="137">
        <f t="shared" si="6"/>
        <v>2500</v>
      </c>
      <c r="N76" s="144">
        <v>0</v>
      </c>
      <c r="O76" s="130">
        <f t="shared" si="7"/>
        <v>0</v>
      </c>
      <c r="P76" s="159"/>
      <c r="Q76" s="159"/>
    </row>
    <row r="77" spans="1:17" s="72" customFormat="1" ht="14.25" x14ac:dyDescent="0.2">
      <c r="A77" s="63"/>
      <c r="B77" s="143" t="s">
        <v>644</v>
      </c>
      <c r="C77" s="64">
        <v>31</v>
      </c>
      <c r="D77" s="75" t="s">
        <v>148</v>
      </c>
      <c r="E77" s="134">
        <v>0.5</v>
      </c>
      <c r="F77" s="134">
        <f t="shared" si="0"/>
        <v>15.5</v>
      </c>
      <c r="G77" s="134">
        <f t="shared" si="1"/>
        <v>25</v>
      </c>
      <c r="H77" s="135">
        <f t="shared" si="2"/>
        <v>775</v>
      </c>
      <c r="I77" s="152">
        <v>5</v>
      </c>
      <c r="J77" s="135">
        <f t="shared" si="3"/>
        <v>155</v>
      </c>
      <c r="K77" s="136">
        <f t="shared" si="4"/>
        <v>930</v>
      </c>
      <c r="L77" s="135">
        <f t="shared" si="5"/>
        <v>30</v>
      </c>
      <c r="M77" s="137">
        <f t="shared" si="6"/>
        <v>930</v>
      </c>
      <c r="N77" s="144">
        <v>0</v>
      </c>
      <c r="O77" s="130">
        <f t="shared" si="7"/>
        <v>0</v>
      </c>
      <c r="P77" s="159"/>
      <c r="Q77" s="159"/>
    </row>
    <row r="78" spans="1:17" s="72" customFormat="1" ht="14.25" x14ac:dyDescent="0.2">
      <c r="A78" s="63"/>
      <c r="B78" s="143" t="s">
        <v>645</v>
      </c>
      <c r="C78" s="64">
        <v>4</v>
      </c>
      <c r="D78" s="75" t="s">
        <v>148</v>
      </c>
      <c r="E78" s="134">
        <v>2</v>
      </c>
      <c r="F78" s="134">
        <f>C78*E78</f>
        <v>8</v>
      </c>
      <c r="G78" s="134">
        <f>$H$11*E78</f>
        <v>100</v>
      </c>
      <c r="H78" s="135">
        <f>F78*$H$11</f>
        <v>400</v>
      </c>
      <c r="I78" s="152">
        <v>5</v>
      </c>
      <c r="J78" s="135">
        <f>C78*I78</f>
        <v>20</v>
      </c>
      <c r="K78" s="136">
        <f>SUM(H78,J78)</f>
        <v>420</v>
      </c>
      <c r="L78" s="135">
        <f>K78/C78</f>
        <v>105</v>
      </c>
      <c r="M78" s="137">
        <f>C78*L78</f>
        <v>420</v>
      </c>
      <c r="N78" s="144">
        <v>0</v>
      </c>
      <c r="O78" s="130">
        <f>M78*N78</f>
        <v>0</v>
      </c>
      <c r="P78" s="159"/>
      <c r="Q78" s="159"/>
    </row>
    <row r="79" spans="1:17" s="72" customFormat="1" ht="14.25" x14ac:dyDescent="0.2">
      <c r="A79" s="63"/>
      <c r="B79" s="143" t="s">
        <v>227</v>
      </c>
      <c r="C79" s="64">
        <v>164</v>
      </c>
      <c r="D79" s="75" t="s">
        <v>151</v>
      </c>
      <c r="E79" s="134">
        <v>0.15</v>
      </c>
      <c r="F79" s="134">
        <f t="shared" si="0"/>
        <v>24.599999999999998</v>
      </c>
      <c r="G79" s="134">
        <f t="shared" si="1"/>
        <v>7.5</v>
      </c>
      <c r="H79" s="135">
        <f t="shared" si="2"/>
        <v>1230</v>
      </c>
      <c r="I79" s="629">
        <v>175</v>
      </c>
      <c r="J79" s="135">
        <f t="shared" si="3"/>
        <v>28700</v>
      </c>
      <c r="K79" s="136">
        <f t="shared" si="4"/>
        <v>29930</v>
      </c>
      <c r="L79" s="135">
        <f t="shared" si="5"/>
        <v>182.5</v>
      </c>
      <c r="M79" s="137">
        <f t="shared" si="6"/>
        <v>29930</v>
      </c>
      <c r="N79" s="144">
        <v>0</v>
      </c>
      <c r="O79" s="130">
        <f t="shared" si="7"/>
        <v>0</v>
      </c>
      <c r="P79" s="465"/>
      <c r="Q79" s="159"/>
    </row>
    <row r="80" spans="1:17" s="72" customFormat="1" ht="14.25" x14ac:dyDescent="0.2">
      <c r="A80" s="63"/>
      <c r="B80" s="316" t="s">
        <v>716</v>
      </c>
      <c r="C80" s="64">
        <v>26</v>
      </c>
      <c r="D80" s="75" t="s">
        <v>116</v>
      </c>
      <c r="E80" s="134">
        <v>0.15</v>
      </c>
      <c r="F80" s="134">
        <f t="shared" si="0"/>
        <v>3.9</v>
      </c>
      <c r="G80" s="134">
        <f t="shared" si="1"/>
        <v>7.5</v>
      </c>
      <c r="H80" s="135">
        <f t="shared" si="2"/>
        <v>195</v>
      </c>
      <c r="I80" s="152">
        <v>19.37</v>
      </c>
      <c r="J80" s="135">
        <f t="shared" si="3"/>
        <v>503.62</v>
      </c>
      <c r="K80" s="136">
        <f t="shared" si="4"/>
        <v>698.62</v>
      </c>
      <c r="L80" s="135">
        <f t="shared" si="5"/>
        <v>26.87</v>
      </c>
      <c r="M80" s="137">
        <f t="shared" si="6"/>
        <v>698.62</v>
      </c>
      <c r="N80" s="144">
        <v>0</v>
      </c>
      <c r="O80" s="130">
        <f t="shared" si="7"/>
        <v>0</v>
      </c>
      <c r="P80" s="159"/>
      <c r="Q80" s="159"/>
    </row>
    <row r="81" spans="1:17" s="72" customFormat="1" ht="14.25" x14ac:dyDescent="0.2">
      <c r="A81" s="63"/>
      <c r="B81" s="143" t="s">
        <v>234</v>
      </c>
      <c r="C81" s="192" t="s">
        <v>647</v>
      </c>
      <c r="D81" s="75"/>
      <c r="E81" s="134"/>
      <c r="F81" s="134"/>
      <c r="G81" s="134"/>
      <c r="H81" s="135"/>
      <c r="I81" s="152"/>
      <c r="J81" s="135"/>
      <c r="K81" s="136"/>
      <c r="L81" s="135"/>
      <c r="M81" s="137"/>
      <c r="N81" s="144"/>
      <c r="O81" s="130"/>
      <c r="P81" s="159"/>
      <c r="Q81" s="159"/>
    </row>
    <row r="82" spans="1:17" s="72" customFormat="1" ht="14.25" x14ac:dyDescent="0.2">
      <c r="A82" s="63"/>
      <c r="B82" s="316" t="s">
        <v>264</v>
      </c>
      <c r="C82" s="195">
        <v>12</v>
      </c>
      <c r="D82" s="75" t="s">
        <v>148</v>
      </c>
      <c r="E82" s="134">
        <v>1</v>
      </c>
      <c r="F82" s="134">
        <f>C82*E82</f>
        <v>12</v>
      </c>
      <c r="G82" s="134">
        <f>$H$11*E82</f>
        <v>50</v>
      </c>
      <c r="H82" s="135">
        <f>F82*$H$11</f>
        <v>600</v>
      </c>
      <c r="I82" s="152">
        <v>86.38</v>
      </c>
      <c r="J82" s="135">
        <f>C82*I82</f>
        <v>1036.56</v>
      </c>
      <c r="K82" s="136">
        <f>SUM(H82,J82)</f>
        <v>1636.56</v>
      </c>
      <c r="L82" s="135">
        <f>K82/C82</f>
        <v>136.38</v>
      </c>
      <c r="M82" s="137">
        <f>C82*L82</f>
        <v>1636.56</v>
      </c>
      <c r="N82" s="144">
        <v>0</v>
      </c>
      <c r="O82" s="130">
        <f>M82*N82</f>
        <v>0</v>
      </c>
      <c r="P82" s="159"/>
      <c r="Q82" s="159"/>
    </row>
    <row r="83" spans="1:17" s="72" customFormat="1" ht="14.25" x14ac:dyDescent="0.2">
      <c r="A83" s="63"/>
      <c r="B83" s="143"/>
      <c r="C83" s="64"/>
      <c r="D83" s="75"/>
      <c r="E83" s="134"/>
      <c r="F83" s="134"/>
      <c r="G83" s="134"/>
      <c r="H83" s="135"/>
      <c r="I83" s="152"/>
      <c r="J83" s="135"/>
      <c r="K83" s="136"/>
      <c r="L83" s="135"/>
      <c r="M83" s="137"/>
      <c r="N83" s="144"/>
      <c r="O83" s="130"/>
      <c r="P83" s="159"/>
      <c r="Q83" s="159"/>
    </row>
    <row r="84" spans="1:17" s="72" customFormat="1" ht="14.25" x14ac:dyDescent="0.2">
      <c r="A84" s="63"/>
      <c r="B84" s="143" t="s">
        <v>229</v>
      </c>
      <c r="C84" s="64">
        <v>36</v>
      </c>
      <c r="D84" s="75" t="s">
        <v>151</v>
      </c>
      <c r="E84" s="134">
        <v>0.3</v>
      </c>
      <c r="F84" s="134">
        <f>C84*E84</f>
        <v>10.799999999999999</v>
      </c>
      <c r="G84" s="134">
        <f>$H$11*E84</f>
        <v>15</v>
      </c>
      <c r="H84" s="135">
        <f>F84*$H$11</f>
        <v>540</v>
      </c>
      <c r="I84" s="152">
        <v>19.89</v>
      </c>
      <c r="J84" s="135">
        <f>C84*I84</f>
        <v>716.04</v>
      </c>
      <c r="K84" s="136">
        <f>SUM(H84,J84)</f>
        <v>1256.04</v>
      </c>
      <c r="L84" s="135">
        <f>K84/C84</f>
        <v>34.89</v>
      </c>
      <c r="M84" s="137">
        <f>C84*L84</f>
        <v>1256.04</v>
      </c>
      <c r="N84" s="144">
        <v>0</v>
      </c>
      <c r="O84" s="130">
        <f>M84*N84</f>
        <v>0</v>
      </c>
      <c r="P84" s="159"/>
      <c r="Q84" s="159"/>
    </row>
    <row r="85" spans="1:17" s="72" customFormat="1" ht="14.25" x14ac:dyDescent="0.2">
      <c r="A85" s="63"/>
      <c r="B85" s="143" t="s">
        <v>161</v>
      </c>
      <c r="C85" s="64">
        <v>27</v>
      </c>
      <c r="D85" s="75" t="s">
        <v>116</v>
      </c>
      <c r="E85" s="134"/>
      <c r="F85" s="134"/>
      <c r="G85" s="134"/>
      <c r="H85" s="135"/>
      <c r="I85" s="152"/>
      <c r="J85" s="135"/>
      <c r="K85" s="136"/>
      <c r="L85" s="135"/>
      <c r="M85" s="137"/>
      <c r="N85" s="144"/>
      <c r="O85" s="130"/>
      <c r="P85" s="159"/>
      <c r="Q85" s="159"/>
    </row>
    <row r="86" spans="1:17" s="72" customFormat="1" ht="14.25" x14ac:dyDescent="0.2">
      <c r="A86" s="63"/>
      <c r="B86" s="143" t="s">
        <v>230</v>
      </c>
      <c r="C86" s="64">
        <v>2</v>
      </c>
      <c r="D86" s="75" t="s">
        <v>148</v>
      </c>
      <c r="E86" s="134">
        <v>1</v>
      </c>
      <c r="F86" s="134">
        <f>C86*E86</f>
        <v>2</v>
      </c>
      <c r="G86" s="134">
        <f>$H$11*E86</f>
        <v>50</v>
      </c>
      <c r="H86" s="135">
        <f>F86*$H$11</f>
        <v>100</v>
      </c>
      <c r="I86" s="152">
        <v>20</v>
      </c>
      <c r="J86" s="135">
        <f>C86*I86</f>
        <v>40</v>
      </c>
      <c r="K86" s="136">
        <f>SUM(H86,J86)</f>
        <v>140</v>
      </c>
      <c r="L86" s="135">
        <f>K86/C86</f>
        <v>70</v>
      </c>
      <c r="M86" s="137">
        <f>C86*L86</f>
        <v>140</v>
      </c>
      <c r="N86" s="144">
        <v>0</v>
      </c>
      <c r="O86" s="130">
        <f>M86*N86</f>
        <v>0</v>
      </c>
      <c r="P86" s="159"/>
      <c r="Q86" s="159"/>
    </row>
    <row r="87" spans="1:17" s="72" customFormat="1" ht="14.25" x14ac:dyDescent="0.2">
      <c r="A87" s="63"/>
      <c r="B87" s="143" t="s">
        <v>711</v>
      </c>
      <c r="C87" s="195">
        <v>4</v>
      </c>
      <c r="D87" s="75" t="s">
        <v>148</v>
      </c>
      <c r="E87" s="134">
        <v>3</v>
      </c>
      <c r="F87" s="134">
        <f>C87*E87</f>
        <v>12</v>
      </c>
      <c r="G87" s="134">
        <f>$H$11*E87</f>
        <v>150</v>
      </c>
      <c r="H87" s="135">
        <f>F87*$H$11</f>
        <v>600</v>
      </c>
      <c r="I87" s="152">
        <v>112</v>
      </c>
      <c r="J87" s="135">
        <f>C87*I87</f>
        <v>448</v>
      </c>
      <c r="K87" s="136">
        <f>SUM(H87,J87)</f>
        <v>1048</v>
      </c>
      <c r="L87" s="135">
        <f>K87/C87</f>
        <v>262</v>
      </c>
      <c r="M87" s="137">
        <f>C87*L87</f>
        <v>1048</v>
      </c>
      <c r="N87" s="144">
        <v>0</v>
      </c>
      <c r="O87" s="130">
        <f>M87*N87</f>
        <v>0</v>
      </c>
      <c r="P87" s="159"/>
      <c r="Q87" s="159"/>
    </row>
    <row r="88" spans="1:17" s="72" customFormat="1" ht="15" x14ac:dyDescent="0.2">
      <c r="A88" s="63"/>
      <c r="B88" s="176"/>
      <c r="C88" s="64"/>
      <c r="D88" s="75"/>
      <c r="E88" s="128"/>
      <c r="F88" s="129"/>
      <c r="G88" s="129"/>
      <c r="H88" s="129"/>
      <c r="I88" s="153"/>
      <c r="J88" s="128"/>
      <c r="K88" s="128"/>
      <c r="L88" s="128"/>
      <c r="M88" s="120"/>
      <c r="N88" s="126"/>
      <c r="O88" s="127"/>
      <c r="P88" s="159"/>
      <c r="Q88" s="159"/>
    </row>
    <row r="89" spans="1:17" s="72" customFormat="1" ht="14.25" x14ac:dyDescent="0.2">
      <c r="A89" s="63"/>
      <c r="B89" s="121" t="s">
        <v>648</v>
      </c>
      <c r="C89" s="674">
        <v>33</v>
      </c>
      <c r="D89" s="675" t="s">
        <v>151</v>
      </c>
      <c r="E89" s="676"/>
      <c r="F89" s="676">
        <f t="shared" ref="F89:F99" si="8">C89*E89</f>
        <v>0</v>
      </c>
      <c r="G89" s="676">
        <f t="shared" ref="G89:G99" si="9">$H$11*E89</f>
        <v>0</v>
      </c>
      <c r="H89" s="677">
        <f t="shared" ref="H89:H99" si="10">F89*$H$11</f>
        <v>0</v>
      </c>
      <c r="I89" s="678"/>
      <c r="J89" s="677">
        <f t="shared" ref="J89:J97" si="11">C89*I89</f>
        <v>0</v>
      </c>
      <c r="K89" s="679">
        <f t="shared" ref="K89:K99" si="12">SUM(H89,J89)</f>
        <v>0</v>
      </c>
      <c r="L89" s="677">
        <f t="shared" ref="L89:L99" si="13">K89/C89</f>
        <v>0</v>
      </c>
      <c r="M89" s="680">
        <f t="shared" ref="M89:M99" si="14">C89*L89</f>
        <v>0</v>
      </c>
      <c r="N89" s="681">
        <v>0</v>
      </c>
      <c r="O89" s="127">
        <f t="shared" ref="O89:O99" si="15">M89*N89</f>
        <v>0</v>
      </c>
      <c r="P89" s="159"/>
      <c r="Q89" s="159"/>
    </row>
    <row r="90" spans="1:17" s="72" customFormat="1" ht="14.25" hidden="1" x14ac:dyDescent="0.2">
      <c r="A90" s="63"/>
      <c r="B90" s="253" t="s">
        <v>667</v>
      </c>
      <c r="C90" s="201">
        <v>1</v>
      </c>
      <c r="D90" s="226" t="s">
        <v>704</v>
      </c>
      <c r="E90" s="227">
        <v>0</v>
      </c>
      <c r="F90" s="227">
        <f>C90*E90</f>
        <v>0</v>
      </c>
      <c r="G90" s="227">
        <f>$H$11*E90</f>
        <v>0</v>
      </c>
      <c r="H90" s="228">
        <f>F90*$H$11</f>
        <v>0</v>
      </c>
      <c r="I90" s="229">
        <v>214</v>
      </c>
      <c r="J90" s="228">
        <f>C90*I90</f>
        <v>214</v>
      </c>
      <c r="K90" s="230">
        <f>SUM(H90,J90)</f>
        <v>214</v>
      </c>
      <c r="L90" s="228">
        <f>K90/C90</f>
        <v>214</v>
      </c>
      <c r="M90" s="231">
        <f>C90*L90</f>
        <v>214</v>
      </c>
      <c r="N90" s="232">
        <v>0</v>
      </c>
      <c r="O90" s="233">
        <f>M90*N90</f>
        <v>0</v>
      </c>
      <c r="P90" s="465" t="s">
        <v>709</v>
      </c>
      <c r="Q90" s="159"/>
    </row>
    <row r="91" spans="1:17" s="72" customFormat="1" ht="14.25" hidden="1" x14ac:dyDescent="0.2">
      <c r="A91" s="63"/>
      <c r="B91" s="253" t="s">
        <v>705</v>
      </c>
      <c r="C91" s="201">
        <v>1</v>
      </c>
      <c r="D91" s="226" t="s">
        <v>704</v>
      </c>
      <c r="E91" s="227">
        <v>0</v>
      </c>
      <c r="F91" s="227">
        <f>C91*E91</f>
        <v>0</v>
      </c>
      <c r="G91" s="227">
        <f>$H$11*E91</f>
        <v>0</v>
      </c>
      <c r="H91" s="228">
        <f>F91*$H$11</f>
        <v>0</v>
      </c>
      <c r="I91" s="229">
        <v>247</v>
      </c>
      <c r="J91" s="228">
        <f>C91*I91</f>
        <v>247</v>
      </c>
      <c r="K91" s="230">
        <f>SUM(H91,J91)</f>
        <v>247</v>
      </c>
      <c r="L91" s="228">
        <f>K91/C91</f>
        <v>247</v>
      </c>
      <c r="M91" s="231">
        <f>C91*L91</f>
        <v>247</v>
      </c>
      <c r="N91" s="232">
        <v>0</v>
      </c>
      <c r="O91" s="233">
        <f>M91*N91</f>
        <v>0</v>
      </c>
      <c r="P91" s="465" t="s">
        <v>708</v>
      </c>
      <c r="Q91" s="159"/>
    </row>
    <row r="92" spans="1:17" s="72" customFormat="1" ht="14.25" x14ac:dyDescent="0.2">
      <c r="A92" s="63"/>
      <c r="B92" s="143" t="s">
        <v>646</v>
      </c>
      <c r="C92" s="64">
        <v>1</v>
      </c>
      <c r="D92" s="75" t="s">
        <v>75</v>
      </c>
      <c r="E92" s="134">
        <v>1</v>
      </c>
      <c r="F92" s="134">
        <f>C92*E92</f>
        <v>1</v>
      </c>
      <c r="G92" s="134">
        <f>$H$11*E92</f>
        <v>50</v>
      </c>
      <c r="H92" s="135">
        <f>F92*$H$11</f>
        <v>50</v>
      </c>
      <c r="I92" s="247">
        <f>WORKINGS_Ceilngs!I6</f>
        <v>790</v>
      </c>
      <c r="J92" s="135">
        <f>C92*I92</f>
        <v>790</v>
      </c>
      <c r="K92" s="136">
        <f>SUM(H92,J92)</f>
        <v>840</v>
      </c>
      <c r="L92" s="135">
        <f>K92/C92</f>
        <v>840</v>
      </c>
      <c r="M92" s="137">
        <f>C92*L92</f>
        <v>840</v>
      </c>
      <c r="N92" s="144">
        <v>0</v>
      </c>
      <c r="O92" s="130">
        <f>M92*N92</f>
        <v>0</v>
      </c>
      <c r="P92" s="159"/>
      <c r="Q92" s="159"/>
    </row>
    <row r="93" spans="1:17" s="72" customFormat="1" ht="14.25" x14ac:dyDescent="0.2">
      <c r="A93" s="63"/>
      <c r="B93" s="143" t="s">
        <v>161</v>
      </c>
      <c r="C93" s="64">
        <v>28</v>
      </c>
      <c r="D93" s="75" t="s">
        <v>116</v>
      </c>
      <c r="E93" s="134">
        <v>0.15</v>
      </c>
      <c r="F93" s="134">
        <f>C93*E93</f>
        <v>4.2</v>
      </c>
      <c r="G93" s="134">
        <f>$H$11*E93</f>
        <v>7.5</v>
      </c>
      <c r="H93" s="135">
        <f>F93*$H$11</f>
        <v>210</v>
      </c>
      <c r="I93" s="247">
        <v>12</v>
      </c>
      <c r="J93" s="135">
        <f>C93*I93</f>
        <v>336</v>
      </c>
      <c r="K93" s="136">
        <f>SUM(H93,J93)</f>
        <v>546</v>
      </c>
      <c r="L93" s="135">
        <f>K93/C93</f>
        <v>19.5</v>
      </c>
      <c r="M93" s="137">
        <f>C93*L93</f>
        <v>546</v>
      </c>
      <c r="N93" s="144">
        <v>0</v>
      </c>
      <c r="O93" s="130">
        <f>M93*N93</f>
        <v>0</v>
      </c>
      <c r="P93" s="159"/>
      <c r="Q93" s="159"/>
    </row>
    <row r="94" spans="1:17" s="72" customFormat="1" ht="14.25" x14ac:dyDescent="0.2">
      <c r="A94" s="63"/>
      <c r="B94" s="143" t="s">
        <v>651</v>
      </c>
      <c r="C94" s="64">
        <v>1</v>
      </c>
      <c r="D94" s="75" t="s">
        <v>148</v>
      </c>
      <c r="E94" s="134">
        <v>0.5</v>
      </c>
      <c r="F94" s="134">
        <f>C94*E94</f>
        <v>0.5</v>
      </c>
      <c r="G94" s="134">
        <f>$H$11*E94</f>
        <v>25</v>
      </c>
      <c r="H94" s="135">
        <f>F94*$H$11</f>
        <v>25</v>
      </c>
      <c r="I94" s="152">
        <v>100</v>
      </c>
      <c r="J94" s="135">
        <f>C94*I94</f>
        <v>100</v>
      </c>
      <c r="K94" s="136">
        <f>SUM(H94,J94)</f>
        <v>125</v>
      </c>
      <c r="L94" s="135">
        <f>K94/C94</f>
        <v>125</v>
      </c>
      <c r="M94" s="137">
        <f>C94*L94</f>
        <v>125</v>
      </c>
      <c r="N94" s="144">
        <v>0</v>
      </c>
      <c r="O94" s="130">
        <f>M94*N94</f>
        <v>0</v>
      </c>
      <c r="P94" s="159"/>
      <c r="Q94" s="159"/>
    </row>
    <row r="95" spans="1:17" s="72" customFormat="1" ht="14.25" x14ac:dyDescent="0.2">
      <c r="A95" s="63"/>
      <c r="B95" s="316" t="s">
        <v>715</v>
      </c>
      <c r="C95" s="64">
        <v>28</v>
      </c>
      <c r="D95" s="75" t="s">
        <v>116</v>
      </c>
      <c r="E95" s="134">
        <v>0.15</v>
      </c>
      <c r="F95" s="134">
        <f t="shared" si="8"/>
        <v>4.2</v>
      </c>
      <c r="G95" s="134">
        <f t="shared" si="9"/>
        <v>7.5</v>
      </c>
      <c r="H95" s="135">
        <f t="shared" si="10"/>
        <v>210</v>
      </c>
      <c r="I95" s="152">
        <v>21.44</v>
      </c>
      <c r="J95" s="135">
        <f t="shared" si="11"/>
        <v>600.32000000000005</v>
      </c>
      <c r="K95" s="136">
        <f t="shared" si="12"/>
        <v>810.32</v>
      </c>
      <c r="L95" s="135">
        <f t="shared" si="13"/>
        <v>28.94</v>
      </c>
      <c r="M95" s="137">
        <f t="shared" si="14"/>
        <v>810.32</v>
      </c>
      <c r="N95" s="144">
        <v>0</v>
      </c>
      <c r="O95" s="130">
        <f t="shared" si="15"/>
        <v>0</v>
      </c>
      <c r="P95" s="159"/>
      <c r="Q95" s="159"/>
    </row>
    <row r="96" spans="1:17" s="72" customFormat="1" ht="14.25" customHeight="1" x14ac:dyDescent="0.2">
      <c r="A96" s="63"/>
      <c r="B96" s="175" t="s">
        <v>849</v>
      </c>
      <c r="C96" s="64">
        <v>33</v>
      </c>
      <c r="D96" s="75" t="s">
        <v>151</v>
      </c>
      <c r="E96" s="134">
        <v>0.25</v>
      </c>
      <c r="F96" s="134">
        <f t="shared" si="8"/>
        <v>8.25</v>
      </c>
      <c r="G96" s="134">
        <f t="shared" si="9"/>
        <v>12.5</v>
      </c>
      <c r="H96" s="135">
        <f t="shared" si="10"/>
        <v>412.5</v>
      </c>
      <c r="I96" s="582">
        <v>158.21</v>
      </c>
      <c r="J96" s="135">
        <f t="shared" si="11"/>
        <v>5220.93</v>
      </c>
      <c r="K96" s="136">
        <f t="shared" si="12"/>
        <v>5633.43</v>
      </c>
      <c r="L96" s="135">
        <f t="shared" si="13"/>
        <v>170.71</v>
      </c>
      <c r="M96" s="137">
        <f t="shared" si="14"/>
        <v>5633.43</v>
      </c>
      <c r="N96" s="144">
        <v>0</v>
      </c>
      <c r="O96" s="130">
        <f t="shared" si="15"/>
        <v>0</v>
      </c>
      <c r="P96" s="159"/>
      <c r="Q96" s="467"/>
    </row>
    <row r="97" spans="1:17" s="72" customFormat="1" ht="14.25" x14ac:dyDescent="0.2">
      <c r="A97" s="63"/>
      <c r="B97" s="143" t="s">
        <v>228</v>
      </c>
      <c r="C97" s="64">
        <v>1</v>
      </c>
      <c r="D97" s="75" t="s">
        <v>148</v>
      </c>
      <c r="E97" s="134">
        <v>0</v>
      </c>
      <c r="F97" s="134">
        <f t="shared" si="8"/>
        <v>0</v>
      </c>
      <c r="G97" s="134">
        <f t="shared" si="9"/>
        <v>0</v>
      </c>
      <c r="H97" s="135">
        <f t="shared" si="10"/>
        <v>0</v>
      </c>
      <c r="I97" s="152">
        <v>500</v>
      </c>
      <c r="J97" s="135">
        <f t="shared" si="11"/>
        <v>500</v>
      </c>
      <c r="K97" s="136">
        <f t="shared" si="12"/>
        <v>500</v>
      </c>
      <c r="L97" s="135">
        <f t="shared" si="13"/>
        <v>500</v>
      </c>
      <c r="M97" s="137">
        <f t="shared" si="14"/>
        <v>500</v>
      </c>
      <c r="N97" s="144">
        <v>0</v>
      </c>
      <c r="O97" s="130">
        <f t="shared" si="15"/>
        <v>0</v>
      </c>
      <c r="P97" s="159"/>
      <c r="Q97" s="159"/>
    </row>
    <row r="98" spans="1:17" s="72" customFormat="1" ht="14.25" x14ac:dyDescent="0.2">
      <c r="A98" s="63"/>
      <c r="B98" s="143" t="s">
        <v>644</v>
      </c>
      <c r="C98" s="64">
        <v>11</v>
      </c>
      <c r="D98" s="75" t="s">
        <v>148</v>
      </c>
      <c r="E98" s="134">
        <v>0.5</v>
      </c>
      <c r="F98" s="134">
        <f>C98*E98</f>
        <v>5.5</v>
      </c>
      <c r="G98" s="134">
        <f>$H$11*E98</f>
        <v>25</v>
      </c>
      <c r="H98" s="135">
        <f>F98*$H$11</f>
        <v>275</v>
      </c>
      <c r="I98" s="152">
        <v>5</v>
      </c>
      <c r="J98" s="135">
        <f>C98*I98</f>
        <v>55</v>
      </c>
      <c r="K98" s="136">
        <f>SUM(H98,J98)</f>
        <v>330</v>
      </c>
      <c r="L98" s="135">
        <f>K98/C98</f>
        <v>30</v>
      </c>
      <c r="M98" s="137">
        <f>C98*L98</f>
        <v>330</v>
      </c>
      <c r="N98" s="144">
        <v>0</v>
      </c>
      <c r="O98" s="130">
        <f>M98*N98</f>
        <v>0</v>
      </c>
      <c r="P98" s="159"/>
      <c r="Q98" s="159"/>
    </row>
    <row r="99" spans="1:17" s="72" customFormat="1" ht="14.25" x14ac:dyDescent="0.2">
      <c r="A99" s="63"/>
      <c r="B99" s="143" t="s">
        <v>167</v>
      </c>
      <c r="C99" s="64">
        <v>33</v>
      </c>
      <c r="D99" s="75" t="s">
        <v>151</v>
      </c>
      <c r="E99" s="134">
        <v>0.15</v>
      </c>
      <c r="F99" s="134">
        <f t="shared" si="8"/>
        <v>4.95</v>
      </c>
      <c r="G99" s="134">
        <f t="shared" si="9"/>
        <v>7.5</v>
      </c>
      <c r="H99" s="135">
        <f t="shared" si="10"/>
        <v>247.5</v>
      </c>
      <c r="I99" s="629">
        <v>175</v>
      </c>
      <c r="J99" s="135">
        <f>C99*I99</f>
        <v>5775</v>
      </c>
      <c r="K99" s="136">
        <f t="shared" si="12"/>
        <v>6022.5</v>
      </c>
      <c r="L99" s="135">
        <f t="shared" si="13"/>
        <v>182.5</v>
      </c>
      <c r="M99" s="137">
        <f t="shared" si="14"/>
        <v>6022.5</v>
      </c>
      <c r="N99" s="144">
        <v>0</v>
      </c>
      <c r="O99" s="130">
        <f t="shared" si="15"/>
        <v>0</v>
      </c>
      <c r="P99" s="465"/>
      <c r="Q99" s="467"/>
    </row>
    <row r="100" spans="1:17" s="72" customFormat="1" ht="14.25" x14ac:dyDescent="0.2">
      <c r="A100" s="63"/>
      <c r="B100" s="143" t="s">
        <v>233</v>
      </c>
      <c r="C100" s="192" t="s">
        <v>647</v>
      </c>
      <c r="D100" s="75"/>
      <c r="E100" s="134"/>
      <c r="F100" s="134"/>
      <c r="G100" s="134"/>
      <c r="H100" s="135"/>
      <c r="I100" s="152"/>
      <c r="J100" s="135"/>
      <c r="K100" s="136"/>
      <c r="L100" s="135"/>
      <c r="M100" s="137"/>
      <c r="N100" s="144"/>
      <c r="O100" s="130"/>
      <c r="P100" s="159"/>
      <c r="Q100" s="159"/>
    </row>
    <row r="101" spans="1:17" s="72" customFormat="1" ht="14.25" x14ac:dyDescent="0.2">
      <c r="A101" s="63"/>
      <c r="B101" s="316" t="s">
        <v>338</v>
      </c>
      <c r="C101" s="195">
        <v>4</v>
      </c>
      <c r="D101" s="75" t="s">
        <v>148</v>
      </c>
      <c r="E101" s="134">
        <v>1.25</v>
      </c>
      <c r="F101" s="134">
        <f>C101*E101</f>
        <v>5</v>
      </c>
      <c r="G101" s="134">
        <f>$H$11*E101</f>
        <v>62.5</v>
      </c>
      <c r="H101" s="135">
        <f>F101*$H$11</f>
        <v>250</v>
      </c>
      <c r="I101" s="247">
        <v>130</v>
      </c>
      <c r="J101" s="135">
        <f>C101*I101</f>
        <v>520</v>
      </c>
      <c r="K101" s="136">
        <f>SUM(H101,J101)</f>
        <v>770</v>
      </c>
      <c r="L101" s="135">
        <f>K101/C101</f>
        <v>192.5</v>
      </c>
      <c r="M101" s="137">
        <f>C101*L101</f>
        <v>770</v>
      </c>
      <c r="N101" s="144">
        <v>0</v>
      </c>
      <c r="O101" s="130">
        <f>M101*N101</f>
        <v>0</v>
      </c>
      <c r="P101" s="159"/>
      <c r="Q101" s="159"/>
    </row>
    <row r="102" spans="1:17" s="72" customFormat="1" ht="14.25" x14ac:dyDescent="0.2">
      <c r="A102" s="63"/>
      <c r="B102" s="143"/>
      <c r="C102" s="64"/>
      <c r="D102" s="75"/>
      <c r="E102" s="134"/>
      <c r="F102" s="134"/>
      <c r="G102" s="134"/>
      <c r="H102" s="135"/>
      <c r="I102" s="152"/>
      <c r="J102" s="135"/>
      <c r="K102" s="136"/>
      <c r="L102" s="135"/>
      <c r="M102" s="137"/>
      <c r="N102" s="144"/>
      <c r="O102" s="130"/>
      <c r="P102" s="159"/>
      <c r="Q102" s="159"/>
    </row>
    <row r="103" spans="1:17" s="72" customFormat="1" ht="14.25" x14ac:dyDescent="0.2">
      <c r="A103" s="63"/>
      <c r="B103" s="143" t="s">
        <v>231</v>
      </c>
      <c r="C103" s="64">
        <v>204</v>
      </c>
      <c r="D103" s="75" t="s">
        <v>151</v>
      </c>
      <c r="E103" s="134">
        <v>0.35</v>
      </c>
      <c r="F103" s="134">
        <f>C103*E103</f>
        <v>71.399999999999991</v>
      </c>
      <c r="G103" s="134">
        <f>$H$11*E103</f>
        <v>17.5</v>
      </c>
      <c r="H103" s="135">
        <f>F103*$H$11</f>
        <v>3569.9999999999995</v>
      </c>
      <c r="I103" s="152">
        <v>28.63</v>
      </c>
      <c r="J103" s="135">
        <f>C103*I103</f>
        <v>5840.5199999999995</v>
      </c>
      <c r="K103" s="136">
        <f>SUM(H103,J103)</f>
        <v>9410.5199999999986</v>
      </c>
      <c r="L103" s="135">
        <f>K103/C103</f>
        <v>46.129999999999995</v>
      </c>
      <c r="M103" s="137">
        <f>C103*L103</f>
        <v>9410.5199999999986</v>
      </c>
      <c r="N103" s="144">
        <v>0</v>
      </c>
      <c r="O103" s="130">
        <f>M103*N103</f>
        <v>0</v>
      </c>
      <c r="P103" s="159"/>
      <c r="Q103" s="159"/>
    </row>
    <row r="104" spans="1:17" s="72" customFormat="1" ht="14.25" x14ac:dyDescent="0.2">
      <c r="A104" s="63"/>
      <c r="B104" s="143" t="s">
        <v>161</v>
      </c>
      <c r="C104" s="64">
        <v>155</v>
      </c>
      <c r="D104" s="75" t="s">
        <v>116</v>
      </c>
      <c r="E104" s="134"/>
      <c r="F104" s="134"/>
      <c r="G104" s="134"/>
      <c r="H104" s="135"/>
      <c r="I104" s="152"/>
      <c r="J104" s="135"/>
      <c r="K104" s="136"/>
      <c r="L104" s="135"/>
      <c r="M104" s="137"/>
      <c r="N104" s="144"/>
      <c r="O104" s="130"/>
      <c r="P104" s="159"/>
      <c r="Q104" s="159"/>
    </row>
    <row r="105" spans="1:17" s="72" customFormat="1" ht="14.25" x14ac:dyDescent="0.2">
      <c r="A105" s="63"/>
      <c r="B105" s="316" t="s">
        <v>230</v>
      </c>
      <c r="C105" s="64">
        <v>27</v>
      </c>
      <c r="D105" s="75" t="s">
        <v>148</v>
      </c>
      <c r="E105" s="134">
        <v>1</v>
      </c>
      <c r="F105" s="134">
        <f>C105*E105</f>
        <v>27</v>
      </c>
      <c r="G105" s="134">
        <f>$H$11*E105</f>
        <v>50</v>
      </c>
      <c r="H105" s="135">
        <f>F105*$H$11</f>
        <v>1350</v>
      </c>
      <c r="I105" s="152">
        <v>20</v>
      </c>
      <c r="J105" s="135">
        <f>C105*I105</f>
        <v>540</v>
      </c>
      <c r="K105" s="136">
        <f>SUM(H105,J105)</f>
        <v>1890</v>
      </c>
      <c r="L105" s="135">
        <f>K105/C105</f>
        <v>70</v>
      </c>
      <c r="M105" s="137">
        <f>C105*L105</f>
        <v>1890</v>
      </c>
      <c r="N105" s="144">
        <v>0</v>
      </c>
      <c r="O105" s="130">
        <f>M105*N105</f>
        <v>0</v>
      </c>
      <c r="P105" s="159"/>
      <c r="Q105" s="159"/>
    </row>
    <row r="106" spans="1:17" s="72" customFormat="1" ht="14.25" x14ac:dyDescent="0.2">
      <c r="A106" s="63"/>
      <c r="B106" s="143" t="s">
        <v>642</v>
      </c>
      <c r="C106" s="195">
        <v>23</v>
      </c>
      <c r="D106" s="75" t="s">
        <v>148</v>
      </c>
      <c r="E106" s="134">
        <v>3.5</v>
      </c>
      <c r="F106" s="134">
        <f>C106*E106</f>
        <v>80.5</v>
      </c>
      <c r="G106" s="134">
        <f>$H$11*E106</f>
        <v>175</v>
      </c>
      <c r="H106" s="135">
        <f>F106*$H$11</f>
        <v>4025</v>
      </c>
      <c r="I106" s="152">
        <v>190</v>
      </c>
      <c r="J106" s="135">
        <f>C106*I106</f>
        <v>4370</v>
      </c>
      <c r="K106" s="136">
        <f>SUM(H106,J106)</f>
        <v>8395</v>
      </c>
      <c r="L106" s="135">
        <f>K106/C106</f>
        <v>365</v>
      </c>
      <c r="M106" s="137">
        <f>C106*L106</f>
        <v>8395</v>
      </c>
      <c r="N106" s="144">
        <v>0</v>
      </c>
      <c r="O106" s="130">
        <f>M106*N106</f>
        <v>0</v>
      </c>
      <c r="P106" s="159"/>
      <c r="Q106" s="159"/>
    </row>
    <row r="107" spans="1:17" s="72" customFormat="1" ht="14.25" x14ac:dyDescent="0.2">
      <c r="A107" s="63"/>
      <c r="B107" s="316" t="s">
        <v>264</v>
      </c>
      <c r="C107" s="195">
        <v>12</v>
      </c>
      <c r="D107" s="75" t="s">
        <v>148</v>
      </c>
      <c r="E107" s="134">
        <v>1</v>
      </c>
      <c r="F107" s="134">
        <f>C107*E107</f>
        <v>12</v>
      </c>
      <c r="G107" s="134">
        <f>$H$11*E107</f>
        <v>50</v>
      </c>
      <c r="H107" s="135">
        <f>F107*$H$11</f>
        <v>600</v>
      </c>
      <c r="I107" s="152">
        <v>86.38</v>
      </c>
      <c r="J107" s="135">
        <f>C107*I107</f>
        <v>1036.56</v>
      </c>
      <c r="K107" s="136">
        <f>SUM(H107,J107)</f>
        <v>1636.56</v>
      </c>
      <c r="L107" s="135">
        <f>K107/C107</f>
        <v>136.38</v>
      </c>
      <c r="M107" s="137">
        <f>C107*L107</f>
        <v>1636.56</v>
      </c>
      <c r="N107" s="144">
        <v>0</v>
      </c>
      <c r="O107" s="130">
        <f>M107*N107</f>
        <v>0</v>
      </c>
      <c r="P107" s="159"/>
      <c r="Q107" s="159"/>
    </row>
    <row r="108" spans="1:17" s="72" customFormat="1" ht="14.25" x14ac:dyDescent="0.2">
      <c r="A108" s="63"/>
      <c r="B108" s="316"/>
      <c r="C108" s="195"/>
      <c r="D108" s="75"/>
      <c r="E108" s="134"/>
      <c r="F108" s="134"/>
      <c r="G108" s="134"/>
      <c r="H108" s="135"/>
      <c r="I108" s="152"/>
      <c r="J108" s="135"/>
      <c r="K108" s="136"/>
      <c r="L108" s="135"/>
      <c r="M108" s="137"/>
      <c r="N108" s="144"/>
      <c r="O108" s="130"/>
      <c r="P108" s="159"/>
      <c r="Q108" s="159"/>
    </row>
    <row r="109" spans="1:17" s="72" customFormat="1" ht="14.25" x14ac:dyDescent="0.2">
      <c r="A109" s="63"/>
      <c r="B109" s="143" t="s">
        <v>725</v>
      </c>
      <c r="C109" s="64">
        <v>1</v>
      </c>
      <c r="D109" s="75" t="s">
        <v>75</v>
      </c>
      <c r="E109" s="134">
        <v>40</v>
      </c>
      <c r="F109" s="134">
        <f>C109*E109</f>
        <v>40</v>
      </c>
      <c r="G109" s="134">
        <f>$H$11*E109</f>
        <v>2000</v>
      </c>
      <c r="H109" s="135">
        <f>F109*$H$11</f>
        <v>2000</v>
      </c>
      <c r="I109" s="152">
        <v>400</v>
      </c>
      <c r="J109" s="135">
        <f>C109*I109</f>
        <v>400</v>
      </c>
      <c r="K109" s="136">
        <f>SUM(H109,J109)</f>
        <v>2400</v>
      </c>
      <c r="L109" s="135">
        <f>K109/C109</f>
        <v>2400</v>
      </c>
      <c r="M109" s="137">
        <f>C109*L109</f>
        <v>2400</v>
      </c>
      <c r="N109" s="144">
        <v>0</v>
      </c>
      <c r="O109" s="130">
        <f>M109*N109</f>
        <v>0</v>
      </c>
      <c r="P109" s="159"/>
      <c r="Q109" s="159"/>
    </row>
    <row r="110" spans="1:17" s="72" customFormat="1" ht="14.25" x14ac:dyDescent="0.2">
      <c r="A110" s="63"/>
      <c r="B110" s="143"/>
      <c r="C110" s="64"/>
      <c r="D110" s="75"/>
      <c r="E110" s="134"/>
      <c r="F110" s="134"/>
      <c r="G110" s="134"/>
      <c r="H110" s="135"/>
      <c r="I110" s="152"/>
      <c r="J110" s="135"/>
      <c r="K110" s="136"/>
      <c r="L110" s="135"/>
      <c r="M110" s="137"/>
      <c r="N110" s="144"/>
      <c r="O110" s="130"/>
      <c r="P110" s="159"/>
      <c r="Q110" s="159"/>
    </row>
    <row r="111" spans="1:17" s="72" customFormat="1" ht="14.25" x14ac:dyDescent="0.2">
      <c r="A111" s="63"/>
      <c r="B111" s="242" t="s">
        <v>731</v>
      </c>
      <c r="C111" s="195">
        <v>4</v>
      </c>
      <c r="D111" s="75" t="s">
        <v>116</v>
      </c>
      <c r="E111" s="134">
        <f>WORKINGS_Ceilngs!G336</f>
        <v>1.6366666666666667</v>
      </c>
      <c r="F111" s="134">
        <f>C111*E111</f>
        <v>6.5466666666666669</v>
      </c>
      <c r="G111" s="134">
        <f>$H$11*E111</f>
        <v>81.833333333333343</v>
      </c>
      <c r="H111" s="135">
        <f>F111*$H$11</f>
        <v>327.33333333333337</v>
      </c>
      <c r="I111" s="152">
        <f>WORKINGS_Ceilngs!K336</f>
        <v>92.158333333333331</v>
      </c>
      <c r="J111" s="135">
        <f>C111*I111</f>
        <v>368.63333333333333</v>
      </c>
      <c r="K111" s="136">
        <f>SUM(H111,J111)</f>
        <v>695.9666666666667</v>
      </c>
      <c r="L111" s="135">
        <f>K111/C111</f>
        <v>173.99166666666667</v>
      </c>
      <c r="M111" s="137">
        <f>C111*L111</f>
        <v>695.9666666666667</v>
      </c>
      <c r="N111" s="144">
        <v>0</v>
      </c>
      <c r="O111" s="130">
        <f>M111*N111</f>
        <v>0</v>
      </c>
      <c r="P111" s="159"/>
      <c r="Q111" s="159"/>
    </row>
    <row r="112" spans="1:17" s="72" customFormat="1" ht="14.25" x14ac:dyDescent="0.2">
      <c r="A112" s="63"/>
      <c r="B112" s="316" t="s">
        <v>732</v>
      </c>
      <c r="C112" s="64">
        <v>18</v>
      </c>
      <c r="D112" s="75" t="s">
        <v>116</v>
      </c>
      <c r="E112" s="134">
        <f>WORKINGS_Ceilngs!G336</f>
        <v>1.6366666666666667</v>
      </c>
      <c r="F112" s="134">
        <f>C112*E112</f>
        <v>29.46</v>
      </c>
      <c r="G112" s="134">
        <f>$H$11*E112</f>
        <v>81.833333333333343</v>
      </c>
      <c r="H112" s="135">
        <f>F112*$H$11</f>
        <v>1473</v>
      </c>
      <c r="I112" s="152">
        <f>WORKINGS_Ceilngs!K336</f>
        <v>92.158333333333331</v>
      </c>
      <c r="J112" s="135">
        <f>C112*I112</f>
        <v>1658.85</v>
      </c>
      <c r="K112" s="136">
        <f>SUM(H112,J112)</f>
        <v>3131.85</v>
      </c>
      <c r="L112" s="135">
        <f>K112/C112</f>
        <v>173.99166666666667</v>
      </c>
      <c r="M112" s="137">
        <f>C112*L112</f>
        <v>3131.8500000000004</v>
      </c>
      <c r="N112" s="144">
        <v>0</v>
      </c>
      <c r="O112" s="130">
        <f>M112*N112</f>
        <v>0</v>
      </c>
      <c r="P112" s="159"/>
      <c r="Q112" s="159"/>
    </row>
    <row r="113" spans="1:17" s="72" customFormat="1" ht="14.25" x14ac:dyDescent="0.2">
      <c r="A113" s="63"/>
      <c r="B113" s="316"/>
      <c r="C113" s="64"/>
      <c r="D113" s="75"/>
      <c r="E113" s="134"/>
      <c r="F113" s="134"/>
      <c r="G113" s="134"/>
      <c r="H113" s="135"/>
      <c r="I113" s="152"/>
      <c r="J113" s="135"/>
      <c r="K113" s="136"/>
      <c r="L113" s="135"/>
      <c r="M113" s="137"/>
      <c r="N113" s="144"/>
      <c r="O113" s="130"/>
      <c r="P113" s="159"/>
      <c r="Q113" s="159"/>
    </row>
    <row r="114" spans="1:17" s="72" customFormat="1" ht="14.25" x14ac:dyDescent="0.2">
      <c r="A114" s="63"/>
      <c r="B114" s="316" t="s">
        <v>966</v>
      </c>
      <c r="C114" s="64">
        <v>106</v>
      </c>
      <c r="D114" s="75" t="s">
        <v>116</v>
      </c>
      <c r="E114" s="134">
        <v>1.45</v>
      </c>
      <c r="F114" s="134">
        <f>C114*E114</f>
        <v>153.69999999999999</v>
      </c>
      <c r="G114" s="134">
        <f>$H$11*E114</f>
        <v>72.5</v>
      </c>
      <c r="H114" s="135">
        <f>F114*$H$11</f>
        <v>7684.9999999999991</v>
      </c>
      <c r="I114" s="152">
        <v>62.89</v>
      </c>
      <c r="J114" s="135">
        <f>C114*I114</f>
        <v>6666.34</v>
      </c>
      <c r="K114" s="136">
        <f>SUM(H114,J114)</f>
        <v>14351.34</v>
      </c>
      <c r="L114" s="135">
        <f>K114/C114</f>
        <v>135.39000000000001</v>
      </c>
      <c r="M114" s="137">
        <f>C114*L114</f>
        <v>14351.340000000002</v>
      </c>
      <c r="N114" s="144">
        <v>0</v>
      </c>
      <c r="O114" s="130">
        <f>M114*N114</f>
        <v>0</v>
      </c>
      <c r="P114" s="159"/>
      <c r="Q114" s="159"/>
    </row>
    <row r="115" spans="1:17" s="72" customFormat="1" ht="14.25" x14ac:dyDescent="0.2">
      <c r="A115" s="63"/>
      <c r="B115" s="316" t="s">
        <v>973</v>
      </c>
      <c r="C115" s="64">
        <v>1</v>
      </c>
      <c r="D115" s="75" t="s">
        <v>75</v>
      </c>
      <c r="E115" s="134">
        <v>0</v>
      </c>
      <c r="F115" s="134">
        <f>C115*E115</f>
        <v>0</v>
      </c>
      <c r="G115" s="134">
        <f>$H$11*E115</f>
        <v>0</v>
      </c>
      <c r="H115" s="135">
        <f>F115*$H$11</f>
        <v>0</v>
      </c>
      <c r="I115" s="152">
        <v>2500</v>
      </c>
      <c r="J115" s="135">
        <f>C115*I115</f>
        <v>2500</v>
      </c>
      <c r="K115" s="136">
        <f>SUM(H115,J115)</f>
        <v>2500</v>
      </c>
      <c r="L115" s="135">
        <f>K115/C115</f>
        <v>2500</v>
      </c>
      <c r="M115" s="137">
        <f>C115*L115</f>
        <v>2500</v>
      </c>
      <c r="N115" s="144">
        <v>0</v>
      </c>
      <c r="O115" s="130">
        <f>M115*N115</f>
        <v>0</v>
      </c>
      <c r="P115" s="159"/>
      <c r="Q115" s="159"/>
    </row>
    <row r="116" spans="1:17" s="72" customFormat="1" ht="14.25" x14ac:dyDescent="0.2">
      <c r="A116" s="63"/>
      <c r="B116" s="143" t="s">
        <v>976</v>
      </c>
      <c r="C116" s="64">
        <v>106</v>
      </c>
      <c r="D116" s="75" t="s">
        <v>116</v>
      </c>
      <c r="E116" s="134">
        <v>0.3</v>
      </c>
      <c r="F116" s="134">
        <f>C116*E116</f>
        <v>31.799999999999997</v>
      </c>
      <c r="G116" s="134">
        <f>$H$11*E116</f>
        <v>15</v>
      </c>
      <c r="H116" s="135">
        <f>F116*$H$11</f>
        <v>1589.9999999999998</v>
      </c>
      <c r="I116" s="152">
        <v>120</v>
      </c>
      <c r="J116" s="135">
        <f>C116*I116</f>
        <v>12720</v>
      </c>
      <c r="K116" s="136">
        <f>SUM(H116,J116)</f>
        <v>14310</v>
      </c>
      <c r="L116" s="135">
        <f>K116/C116</f>
        <v>135</v>
      </c>
      <c r="M116" s="137">
        <f>C116*L116</f>
        <v>14310</v>
      </c>
      <c r="N116" s="144">
        <v>0</v>
      </c>
      <c r="O116" s="130">
        <f>M116*N116</f>
        <v>0</v>
      </c>
      <c r="P116" s="159"/>
      <c r="Q116" s="159"/>
    </row>
    <row r="117" spans="1:17" s="72" customFormat="1" ht="14.25" x14ac:dyDescent="0.2">
      <c r="A117" s="63"/>
      <c r="B117" s="143"/>
      <c r="C117" s="64"/>
      <c r="D117" s="75"/>
      <c r="E117" s="134"/>
      <c r="F117" s="134"/>
      <c r="G117" s="134"/>
      <c r="H117" s="135"/>
      <c r="I117" s="152"/>
      <c r="J117" s="135"/>
      <c r="K117" s="136"/>
      <c r="L117" s="135"/>
      <c r="M117" s="137"/>
      <c r="N117" s="144"/>
      <c r="O117" s="130"/>
      <c r="P117" s="159"/>
      <c r="Q117" s="159"/>
    </row>
    <row r="118" spans="1:17" s="72" customFormat="1" ht="25.5" x14ac:dyDescent="0.2">
      <c r="A118" s="63"/>
      <c r="B118" s="655" t="s">
        <v>994</v>
      </c>
      <c r="C118" s="64">
        <v>60</v>
      </c>
      <c r="D118" s="75" t="s">
        <v>116</v>
      </c>
      <c r="E118" s="134">
        <v>1.6</v>
      </c>
      <c r="F118" s="134">
        <f>C118*E118</f>
        <v>96</v>
      </c>
      <c r="G118" s="134">
        <f>$H$11*E118</f>
        <v>80</v>
      </c>
      <c r="H118" s="135">
        <f>F118*$H$11</f>
        <v>4800</v>
      </c>
      <c r="I118" s="152">
        <v>70</v>
      </c>
      <c r="J118" s="135">
        <f>C118*I118</f>
        <v>4200</v>
      </c>
      <c r="K118" s="136">
        <f>SUM(H118,J118)</f>
        <v>9000</v>
      </c>
      <c r="L118" s="135">
        <f>K118/C118</f>
        <v>150</v>
      </c>
      <c r="M118" s="137">
        <f>C118*L118</f>
        <v>9000</v>
      </c>
      <c r="N118" s="144">
        <v>0</v>
      </c>
      <c r="O118" s="130">
        <f>M118*N118</f>
        <v>0</v>
      </c>
      <c r="P118" s="159"/>
      <c r="Q118" s="159"/>
    </row>
    <row r="119" spans="1:17" s="72" customFormat="1" ht="14.25" x14ac:dyDescent="0.2">
      <c r="A119" s="63"/>
      <c r="B119" s="655" t="s">
        <v>993</v>
      </c>
      <c r="C119" s="64">
        <v>60</v>
      </c>
      <c r="D119" s="75" t="s">
        <v>116</v>
      </c>
      <c r="E119" s="134">
        <v>0.35</v>
      </c>
      <c r="F119" s="134">
        <f>C119*E119</f>
        <v>21</v>
      </c>
      <c r="G119" s="134">
        <f>$H$11*E119</f>
        <v>17.5</v>
      </c>
      <c r="H119" s="135">
        <f>F119*$H$11</f>
        <v>1050</v>
      </c>
      <c r="I119" s="152">
        <v>23.84</v>
      </c>
      <c r="J119" s="135">
        <f>C119*I119</f>
        <v>1430.4</v>
      </c>
      <c r="K119" s="136">
        <f>SUM(H119,J119)</f>
        <v>2480.4</v>
      </c>
      <c r="L119" s="135">
        <f>K119/C119</f>
        <v>41.34</v>
      </c>
      <c r="M119" s="137">
        <f>C119*L119</f>
        <v>2480.4</v>
      </c>
      <c r="N119" s="144">
        <v>0</v>
      </c>
      <c r="O119" s="130">
        <f>M119*N119</f>
        <v>0</v>
      </c>
      <c r="P119" s="159"/>
      <c r="Q119" s="159"/>
    </row>
    <row r="120" spans="1:17" s="72" customFormat="1" ht="14.25" x14ac:dyDescent="0.2">
      <c r="A120" s="63"/>
      <c r="B120" s="655" t="s">
        <v>992</v>
      </c>
      <c r="C120" s="64">
        <v>60</v>
      </c>
      <c r="D120" s="75" t="s">
        <v>116</v>
      </c>
      <c r="E120" s="134">
        <v>0.35</v>
      </c>
      <c r="F120" s="134">
        <f>C120*E120</f>
        <v>21</v>
      </c>
      <c r="G120" s="134">
        <f>$H$11*E120</f>
        <v>17.5</v>
      </c>
      <c r="H120" s="135">
        <f>F120*$H$11</f>
        <v>1050</v>
      </c>
      <c r="I120" s="152">
        <v>155</v>
      </c>
      <c r="J120" s="135">
        <f>C120*I120</f>
        <v>9300</v>
      </c>
      <c r="K120" s="136">
        <f>SUM(H120,J120)</f>
        <v>10350</v>
      </c>
      <c r="L120" s="135">
        <f>K120/C120</f>
        <v>172.5</v>
      </c>
      <c r="M120" s="137">
        <f>C120*L120</f>
        <v>10350</v>
      </c>
      <c r="N120" s="144">
        <v>0</v>
      </c>
      <c r="O120" s="130">
        <f>M120*N120</f>
        <v>0</v>
      </c>
      <c r="P120" s="159"/>
      <c r="Q120" s="467"/>
    </row>
    <row r="121" spans="1:17" s="72" customFormat="1" ht="14.25" x14ac:dyDescent="0.2">
      <c r="A121" s="63"/>
      <c r="B121" s="143"/>
      <c r="C121" s="64"/>
      <c r="D121" s="75"/>
      <c r="E121" s="134"/>
      <c r="F121" s="134"/>
      <c r="G121" s="134"/>
      <c r="H121" s="135"/>
      <c r="I121" s="152"/>
      <c r="J121" s="135"/>
      <c r="K121" s="136"/>
      <c r="L121" s="135"/>
      <c r="M121" s="137"/>
      <c r="N121" s="144"/>
      <c r="O121" s="130"/>
      <c r="P121" s="159"/>
      <c r="Q121" s="159"/>
    </row>
    <row r="122" spans="1:17" ht="23.25" customHeight="1" x14ac:dyDescent="0.2">
      <c r="A122" s="63"/>
      <c r="B122" s="132"/>
      <c r="C122" s="138"/>
      <c r="D122" s="142"/>
      <c r="E122" s="133"/>
      <c r="F122" s="134"/>
      <c r="G122" s="134"/>
      <c r="H122" s="135"/>
      <c r="I122" s="135"/>
      <c r="J122" s="135"/>
      <c r="K122" s="136"/>
      <c r="L122" s="135"/>
      <c r="M122" s="137"/>
      <c r="N122" s="131"/>
      <c r="O122" s="130"/>
      <c r="P122" s="60"/>
      <c r="Q122" s="59"/>
    </row>
    <row r="123" spans="1:17" ht="24" customHeight="1" x14ac:dyDescent="0.2">
      <c r="A123" s="30"/>
      <c r="B123" s="31"/>
      <c r="C123" s="32"/>
      <c r="D123" s="33"/>
      <c r="E123" s="33"/>
      <c r="F123" s="33">
        <f>SUM(F13:F122)</f>
        <v>1278.6266666666666</v>
      </c>
      <c r="G123" s="33"/>
      <c r="H123" s="86">
        <f>SUM(H13:H122)</f>
        <v>63931.333333333336</v>
      </c>
      <c r="I123" s="33"/>
      <c r="J123" s="78">
        <f>SUM(J13:J122)</f>
        <v>156338.78683333335</v>
      </c>
      <c r="K123" s="33"/>
      <c r="L123" s="33"/>
      <c r="M123" s="68"/>
      <c r="N123" s="94"/>
      <c r="O123" s="104"/>
      <c r="P123" s="60"/>
      <c r="Q123" s="59"/>
    </row>
    <row r="124" spans="1:17" ht="15" customHeight="1" x14ac:dyDescent="0.2">
      <c r="A124" s="15"/>
      <c r="B124" s="28" t="s">
        <v>16</v>
      </c>
      <c r="C124" s="24"/>
      <c r="D124" s="25"/>
      <c r="E124" s="25"/>
      <c r="F124" s="25"/>
      <c r="G124" s="25"/>
      <c r="H124" s="25"/>
      <c r="I124" s="25"/>
      <c r="J124" s="25"/>
      <c r="K124" s="25"/>
      <c r="L124" s="25"/>
      <c r="M124" s="26">
        <f>SUM(M13:M122)</f>
        <v>220270.12016666666</v>
      </c>
      <c r="N124" s="100"/>
      <c r="O124" s="103">
        <f>SUM(O13:O122)</f>
        <v>0</v>
      </c>
      <c r="P124" s="60"/>
      <c r="Q124" s="65"/>
    </row>
    <row r="125" spans="1:17" x14ac:dyDescent="0.2">
      <c r="A125" s="13"/>
      <c r="B125" s="35" t="s">
        <v>12</v>
      </c>
      <c r="C125" s="24"/>
      <c r="D125" s="36"/>
      <c r="E125" s="36"/>
      <c r="F125" s="36"/>
      <c r="G125" s="36"/>
      <c r="H125" s="36"/>
      <c r="I125" s="36"/>
      <c r="J125" s="36"/>
      <c r="K125" s="36"/>
      <c r="L125" s="36"/>
      <c r="M125" s="26"/>
      <c r="N125" s="100"/>
      <c r="O125" s="103"/>
      <c r="P125" s="60"/>
      <c r="Q125" s="65"/>
    </row>
    <row r="126" spans="1:17" ht="24" customHeight="1" x14ac:dyDescent="0.2">
      <c r="A126" s="13"/>
      <c r="B126" s="37"/>
      <c r="C126" s="24"/>
      <c r="D126" s="36"/>
      <c r="E126" s="36"/>
      <c r="F126" s="36"/>
      <c r="G126" s="36"/>
      <c r="H126" s="36"/>
      <c r="I126" s="36"/>
      <c r="J126" s="36"/>
      <c r="K126" s="36"/>
      <c r="L126" s="36"/>
      <c r="M126" s="26"/>
      <c r="N126" s="100"/>
      <c r="O126" s="103"/>
      <c r="P126" s="60"/>
      <c r="Q126" s="59"/>
    </row>
    <row r="127" spans="1:17" ht="18.75" customHeight="1" x14ac:dyDescent="0.2">
      <c r="A127" s="15"/>
      <c r="B127" s="13" t="s">
        <v>8</v>
      </c>
      <c r="C127" s="24"/>
      <c r="D127" s="36" t="s">
        <v>5</v>
      </c>
      <c r="E127" s="36"/>
      <c r="F127" s="36"/>
      <c r="G127" s="36"/>
      <c r="H127" s="36"/>
      <c r="I127" s="36"/>
      <c r="J127" s="36"/>
      <c r="K127" s="36"/>
      <c r="L127" s="609">
        <v>2.0500000000000001E-2</v>
      </c>
      <c r="M127" s="84">
        <f>M124*L127</f>
        <v>4515.5374634166665</v>
      </c>
      <c r="N127" s="100"/>
      <c r="O127" s="103">
        <f>(O124/M124)*M127</f>
        <v>0</v>
      </c>
    </row>
    <row r="128" spans="1:17" ht="18.75" customHeight="1" x14ac:dyDescent="0.2">
      <c r="A128" s="38"/>
      <c r="B128" s="13"/>
      <c r="C128" s="24"/>
      <c r="D128" s="36"/>
      <c r="E128" s="36"/>
      <c r="F128" s="36"/>
      <c r="G128" s="36"/>
      <c r="H128" s="36"/>
      <c r="I128" s="36"/>
      <c r="J128" s="36"/>
      <c r="K128" s="36"/>
      <c r="L128" s="36"/>
      <c r="M128" s="26"/>
      <c r="N128" s="100"/>
      <c r="O128" s="103"/>
    </row>
    <row r="129" spans="1:20" s="42" customFormat="1" x14ac:dyDescent="0.2">
      <c r="A129" s="15"/>
      <c r="B129" s="39" t="s">
        <v>9</v>
      </c>
      <c r="C129" s="40"/>
      <c r="D129" s="41" t="s">
        <v>5</v>
      </c>
      <c r="E129" s="41"/>
      <c r="F129" s="41"/>
      <c r="G129" s="41"/>
      <c r="H129" s="41"/>
      <c r="I129" s="41"/>
      <c r="J129" s="41"/>
      <c r="K129" s="41"/>
      <c r="L129" s="79">
        <v>0.01</v>
      </c>
      <c r="M129" s="34">
        <f>M124*L129</f>
        <v>2202.7012016666667</v>
      </c>
      <c r="N129" s="100"/>
      <c r="O129" s="103">
        <f>(O124/M124)*M129</f>
        <v>0</v>
      </c>
    </row>
    <row r="130" spans="1:20" s="42" customFormat="1" x14ac:dyDescent="0.2">
      <c r="A130" s="15"/>
      <c r="B130" s="39"/>
      <c r="C130" s="40"/>
      <c r="D130" s="41"/>
      <c r="E130" s="41"/>
      <c r="F130" s="41"/>
      <c r="G130" s="41"/>
      <c r="H130" s="41"/>
      <c r="I130" s="41"/>
      <c r="J130" s="41"/>
      <c r="K130" s="41"/>
      <c r="L130" s="41"/>
      <c r="M130" s="34"/>
      <c r="N130" s="100"/>
      <c r="O130" s="103"/>
    </row>
    <row r="131" spans="1:20" s="42" customFormat="1" x14ac:dyDescent="0.2">
      <c r="A131" s="15"/>
      <c r="B131" s="39" t="s">
        <v>10</v>
      </c>
      <c r="C131" s="40"/>
      <c r="D131" s="41" t="s">
        <v>5</v>
      </c>
      <c r="E131" s="41"/>
      <c r="F131" s="41"/>
      <c r="G131" s="41"/>
      <c r="H131" s="41"/>
      <c r="I131" s="41"/>
      <c r="J131" s="41"/>
      <c r="K131" s="41"/>
      <c r="L131" s="79">
        <v>2.5000000000000001E-3</v>
      </c>
      <c r="M131" s="34">
        <f>M124*L131</f>
        <v>550.67530041666669</v>
      </c>
      <c r="N131" s="100"/>
      <c r="O131" s="103">
        <f>(O124/M124)*M131</f>
        <v>0</v>
      </c>
    </row>
    <row r="132" spans="1:20" s="42" customFormat="1" ht="20.25" customHeight="1" x14ac:dyDescent="0.2">
      <c r="A132" s="15"/>
      <c r="B132" s="80"/>
      <c r="C132" s="81"/>
      <c r="D132" s="82"/>
      <c r="E132" s="82"/>
      <c r="F132" s="82"/>
      <c r="G132" s="82"/>
      <c r="H132" s="82"/>
      <c r="I132" s="82"/>
      <c r="J132" s="82"/>
      <c r="K132" s="82"/>
      <c r="L132" s="82"/>
      <c r="M132" s="85"/>
      <c r="N132" s="100"/>
      <c r="O132" s="103"/>
    </row>
    <row r="133" spans="1:20" s="42" customFormat="1" ht="21.75" customHeight="1" x14ac:dyDescent="0.2">
      <c r="A133" s="29"/>
      <c r="B133" s="141" t="s">
        <v>42</v>
      </c>
      <c r="C133" s="81"/>
      <c r="D133" s="82" t="s">
        <v>5</v>
      </c>
      <c r="E133" s="82"/>
      <c r="F133" s="82"/>
      <c r="G133" s="82"/>
      <c r="H133" s="82"/>
      <c r="I133" s="82"/>
      <c r="J133" s="82"/>
      <c r="K133" s="82"/>
      <c r="L133" s="83">
        <f>M133/M124</f>
        <v>1.3060827305234116E-2</v>
      </c>
      <c r="M133" s="85">
        <f>I146</f>
        <v>2876.91</v>
      </c>
      <c r="N133" s="100"/>
      <c r="O133" s="103"/>
      <c r="P133" s="172"/>
    </row>
    <row r="134" spans="1:20" s="42" customFormat="1" ht="18" customHeight="1" x14ac:dyDescent="0.2">
      <c r="A134" s="29"/>
      <c r="B134" s="80"/>
      <c r="C134" s="81"/>
      <c r="D134" s="82"/>
      <c r="E134" s="82"/>
      <c r="F134" s="82"/>
      <c r="G134" s="82"/>
      <c r="H134" s="82"/>
      <c r="I134" s="82"/>
      <c r="J134" s="82"/>
      <c r="K134" s="82"/>
      <c r="L134" s="82"/>
      <c r="M134" s="85"/>
      <c r="N134" s="100"/>
      <c r="O134" s="103"/>
    </row>
    <row r="135" spans="1:20" s="42" customFormat="1" x14ac:dyDescent="0.2">
      <c r="A135" s="29"/>
      <c r="B135" s="80" t="s">
        <v>582</v>
      </c>
      <c r="C135" s="81"/>
      <c r="D135" s="82" t="s">
        <v>5</v>
      </c>
      <c r="E135" s="82"/>
      <c r="F135" s="82"/>
      <c r="G135" s="82"/>
      <c r="H135" s="82"/>
      <c r="I135" s="82"/>
      <c r="J135" s="82"/>
      <c r="K135" s="82"/>
      <c r="L135" s="83"/>
      <c r="M135" s="85"/>
      <c r="N135" s="100"/>
      <c r="O135" s="103">
        <f>M135*N135</f>
        <v>0</v>
      </c>
    </row>
    <row r="136" spans="1:20" s="42" customFormat="1" x14ac:dyDescent="0.2">
      <c r="A136" s="15"/>
      <c r="B136" s="80"/>
      <c r="C136" s="81"/>
      <c r="D136" s="82"/>
      <c r="E136" s="82"/>
      <c r="F136" s="82"/>
      <c r="G136" s="82"/>
      <c r="H136" s="82"/>
      <c r="I136" s="82"/>
      <c r="J136" s="82"/>
      <c r="K136" s="82"/>
      <c r="L136" s="82"/>
      <c r="M136" s="34"/>
      <c r="N136" s="100"/>
      <c r="O136" s="105"/>
    </row>
    <row r="137" spans="1:20" ht="18.75" customHeight="1" x14ac:dyDescent="0.2">
      <c r="A137" s="43"/>
      <c r="B137" s="44" t="s">
        <v>17</v>
      </c>
      <c r="C137" s="45"/>
      <c r="D137" s="46"/>
      <c r="E137" s="46"/>
      <c r="F137" s="46"/>
      <c r="G137" s="46"/>
      <c r="H137" s="46"/>
      <c r="I137" s="46"/>
      <c r="J137" s="46"/>
      <c r="K137" s="46"/>
      <c r="L137" s="46"/>
      <c r="M137" s="69">
        <f>SUM(M124:M136)</f>
        <v>230415.94413216665</v>
      </c>
      <c r="N137" s="101"/>
      <c r="O137" s="106">
        <f>SUM(O124:O136)</f>
        <v>0</v>
      </c>
      <c r="P137" s="42"/>
      <c r="Q137" s="42"/>
    </row>
    <row r="138" spans="1:20" ht="16.5" customHeight="1" x14ac:dyDescent="0.2">
      <c r="A138" s="15"/>
      <c r="B138" s="19"/>
      <c r="C138" s="24"/>
      <c r="D138" s="36"/>
      <c r="E138" s="36"/>
      <c r="F138" s="36"/>
      <c r="G138" s="36"/>
      <c r="H138" s="36"/>
      <c r="I138" s="36"/>
      <c r="J138" s="36"/>
      <c r="K138" s="36"/>
      <c r="L138" s="36"/>
      <c r="M138" s="26"/>
      <c r="N138" s="95"/>
      <c r="O138" s="107"/>
      <c r="P138" s="42"/>
      <c r="Q138" s="42"/>
    </row>
    <row r="139" spans="1:20" x14ac:dyDescent="0.2">
      <c r="A139" s="15"/>
      <c r="B139" s="19" t="s">
        <v>11</v>
      </c>
      <c r="C139" s="24"/>
      <c r="D139" s="36"/>
      <c r="E139" s="36"/>
      <c r="F139" s="36"/>
      <c r="G139" s="36"/>
      <c r="H139" s="36"/>
      <c r="I139" s="36"/>
      <c r="J139" s="36"/>
      <c r="K139" s="36"/>
      <c r="L139" s="79">
        <v>0.05</v>
      </c>
      <c r="M139" s="26">
        <f>M137*L139</f>
        <v>11520.797206608333</v>
      </c>
      <c r="N139" s="95"/>
      <c r="O139" s="107">
        <f>O137/M137*M139</f>
        <v>0</v>
      </c>
      <c r="P139" s="42"/>
      <c r="Q139" s="42"/>
    </row>
    <row r="140" spans="1:20" x14ac:dyDescent="0.2">
      <c r="A140" s="47"/>
      <c r="B140" s="48"/>
      <c r="C140" s="49"/>
      <c r="D140" s="49"/>
      <c r="E140" s="49"/>
      <c r="F140" s="49"/>
      <c r="G140" s="49"/>
      <c r="H140" s="49"/>
      <c r="I140" s="49"/>
      <c r="J140" s="49"/>
      <c r="K140" s="49"/>
      <c r="L140" s="174"/>
      <c r="M140" s="70"/>
      <c r="N140" s="95"/>
      <c r="O140" s="107"/>
      <c r="P140" s="42"/>
      <c r="Q140" s="42"/>
    </row>
    <row r="141" spans="1:20" ht="27.75" customHeight="1" x14ac:dyDescent="0.2">
      <c r="A141" s="50"/>
      <c r="B141" s="56" t="s">
        <v>54</v>
      </c>
      <c r="C141" s="51"/>
      <c r="D141" s="52"/>
      <c r="E141" s="52"/>
      <c r="F141" s="52"/>
      <c r="G141" s="52"/>
      <c r="H141" s="52"/>
      <c r="I141" s="52"/>
      <c r="J141" s="52"/>
      <c r="K141" s="52"/>
      <c r="L141" s="173"/>
      <c r="M141" s="71">
        <f>ROUNDUP(SUM(M137:M140),0)</f>
        <v>241937</v>
      </c>
      <c r="N141" s="151">
        <f>O141/M141</f>
        <v>0</v>
      </c>
      <c r="O141" s="109">
        <f>SUM(O137:O140)</f>
        <v>0</v>
      </c>
      <c r="P141" s="42"/>
      <c r="Q141" s="42"/>
      <c r="T141" s="60">
        <v>218089</v>
      </c>
    </row>
    <row r="142" spans="1:20" ht="13.5" customHeight="1" x14ac:dyDescent="0.2">
      <c r="A142" s="161"/>
      <c r="B142" s="162"/>
      <c r="C142" s="163"/>
      <c r="D142" s="164"/>
      <c r="E142" s="164"/>
      <c r="F142" s="164"/>
      <c r="G142" s="72"/>
      <c r="H142" s="72"/>
      <c r="I142" s="72"/>
      <c r="J142" s="72"/>
      <c r="K142" s="164"/>
      <c r="L142" s="164"/>
      <c r="M142" s="165"/>
      <c r="N142" s="166">
        <f>SUM(L126:L136)</f>
        <v>4.6060827305234114E-2</v>
      </c>
      <c r="O142" s="240"/>
      <c r="P142" s="166">
        <f>L139</f>
        <v>0.05</v>
      </c>
      <c r="Q142" s="42"/>
      <c r="T142" s="60">
        <v>183827</v>
      </c>
    </row>
    <row r="143" spans="1:20" ht="13.5" customHeight="1" x14ac:dyDescent="0.2">
      <c r="A143" s="161"/>
      <c r="B143" s="162"/>
      <c r="C143" s="163"/>
      <c r="D143" s="164"/>
      <c r="E143" s="164"/>
      <c r="F143" s="167"/>
      <c r="G143" s="410" t="s">
        <v>45</v>
      </c>
      <c r="H143" s="411"/>
      <c r="I143" s="411"/>
      <c r="J143" s="412"/>
      <c r="K143" s="633">
        <f>SUM(F15:F30)</f>
        <v>123.13000000000001</v>
      </c>
      <c r="L143" s="169" t="s">
        <v>328</v>
      </c>
      <c r="M143" s="165">
        <f>SUM(M15:M30)</f>
        <v>11366.875166666669</v>
      </c>
      <c r="N143" s="561">
        <f>M143*$N$142</f>
        <v>523.56767405198764</v>
      </c>
      <c r="O143" s="156">
        <f>SUM(M143:N143)</f>
        <v>11890.442840718657</v>
      </c>
      <c r="P143" s="560">
        <f>O143*$P$142</f>
        <v>594.52214203593292</v>
      </c>
      <c r="Q143" s="565">
        <f>SUM(O143:P143)</f>
        <v>12484.964982754589</v>
      </c>
      <c r="T143" s="60">
        <f>T141-T142</f>
        <v>34262</v>
      </c>
    </row>
    <row r="144" spans="1:20" ht="13.5" customHeight="1" x14ac:dyDescent="0.2">
      <c r="A144" s="161"/>
      <c r="B144" s="162"/>
      <c r="C144" s="163"/>
      <c r="D144" s="164"/>
      <c r="E144" s="164"/>
      <c r="F144" s="164"/>
      <c r="G144" s="413"/>
      <c r="H144" s="414" t="s">
        <v>583</v>
      </c>
      <c r="I144" s="72"/>
      <c r="J144" s="415"/>
      <c r="K144" s="634"/>
      <c r="L144" s="169"/>
      <c r="M144" s="165"/>
      <c r="N144" s="561"/>
      <c r="O144" s="156"/>
      <c r="P144" s="560"/>
      <c r="Q144" s="566"/>
    </row>
    <row r="145" spans="2:17" x14ac:dyDescent="0.2">
      <c r="F145" s="168"/>
      <c r="G145" s="413">
        <f>F123/8</f>
        <v>159.82833333333332</v>
      </c>
      <c r="H145" s="416">
        <v>1</v>
      </c>
      <c r="I145" s="72"/>
      <c r="J145" s="415"/>
      <c r="K145" s="635">
        <f>SUM(F31:F41)</f>
        <v>31</v>
      </c>
      <c r="L145" s="169" t="s">
        <v>329</v>
      </c>
      <c r="M145" s="53">
        <f>SUM(M31:M41)</f>
        <v>2604.6383333333333</v>
      </c>
      <c r="N145" s="561">
        <f>M145*$N$142</f>
        <v>119.97179646425947</v>
      </c>
      <c r="O145" s="156">
        <f>SUM(M145:N145)</f>
        <v>2724.6101297975929</v>
      </c>
      <c r="P145" s="560">
        <f>O145*$P$142</f>
        <v>136.23050648987964</v>
      </c>
      <c r="Q145" s="219">
        <f>SUM(O145:P145)</f>
        <v>2860.8406362874725</v>
      </c>
    </row>
    <row r="146" spans="2:17" x14ac:dyDescent="0.2">
      <c r="F146" s="168"/>
      <c r="G146" s="413">
        <f>G145/H145</f>
        <v>159.82833333333332</v>
      </c>
      <c r="H146" s="61">
        <v>18</v>
      </c>
      <c r="I146" s="61">
        <f>G146*H146</f>
        <v>2876.91</v>
      </c>
      <c r="J146" s="415"/>
      <c r="K146" s="636"/>
      <c r="L146" s="169"/>
      <c r="M146" s="53"/>
      <c r="N146" s="561"/>
      <c r="O146" s="156"/>
      <c r="P146" s="560"/>
      <c r="Q146" s="566"/>
    </row>
    <row r="147" spans="2:17" x14ac:dyDescent="0.2">
      <c r="F147" s="168"/>
      <c r="G147" s="413"/>
      <c r="H147" s="72"/>
      <c r="I147" s="72"/>
      <c r="J147" s="415"/>
      <c r="K147" s="635">
        <f>SUM(F42:F122)</f>
        <v>1124.4966666666667</v>
      </c>
      <c r="L147" s="169" t="s">
        <v>330</v>
      </c>
      <c r="M147" s="53">
        <f>SUM(M42:M122)</f>
        <v>206298.60666666666</v>
      </c>
      <c r="N147" s="561">
        <f>M147*$N$142</f>
        <v>9502.2844949837527</v>
      </c>
      <c r="O147" s="156">
        <f>SUM(M147:N147)</f>
        <v>215800.89116165042</v>
      </c>
      <c r="P147" s="560">
        <f>O147*$P$142</f>
        <v>10790.044558082522</v>
      </c>
      <c r="Q147" s="567">
        <f>SUM(O147:P147)</f>
        <v>226590.93571973295</v>
      </c>
    </row>
    <row r="148" spans="2:17" x14ac:dyDescent="0.2">
      <c r="G148" s="417"/>
      <c r="H148" s="418"/>
      <c r="I148" s="418"/>
      <c r="J148" s="419"/>
      <c r="K148" s="637"/>
      <c r="L148" s="556"/>
      <c r="M148" s="557"/>
      <c r="N148" s="558"/>
      <c r="O148" s="559"/>
      <c r="P148" s="546"/>
      <c r="Q148" s="546"/>
    </row>
    <row r="149" spans="2:17" x14ac:dyDescent="0.2">
      <c r="K149" s="632">
        <f>SUM(K143:K148)</f>
        <v>1278.6266666666666</v>
      </c>
      <c r="L149" s="53"/>
      <c r="M149" s="53">
        <f>SUM(M143:M148)</f>
        <v>220270.12016666666</v>
      </c>
      <c r="N149" s="96"/>
      <c r="O149" s="108"/>
      <c r="P149" s="42"/>
      <c r="Q149" s="53">
        <f>SUM(Q143:Q148)</f>
        <v>241936.74133877503</v>
      </c>
    </row>
    <row r="150" spans="2:17" ht="15" x14ac:dyDescent="0.25">
      <c r="B150" s="113" t="s">
        <v>30</v>
      </c>
      <c r="C150" s="114"/>
      <c r="D150" s="114"/>
      <c r="E150" s="114"/>
      <c r="F150" s="114"/>
      <c r="I150" s="113" t="s">
        <v>30</v>
      </c>
      <c r="J150" s="114"/>
      <c r="K150" s="114"/>
      <c r="L150" s="114"/>
      <c r="M150" s="114"/>
      <c r="O150" s="108"/>
      <c r="P150" s="42"/>
      <c r="Q150" s="42"/>
    </row>
    <row r="151" spans="2:17" x14ac:dyDescent="0.2">
      <c r="B151" s="115" t="s">
        <v>43</v>
      </c>
      <c r="C151" s="116"/>
      <c r="D151" s="111"/>
      <c r="E151" s="111"/>
      <c r="F151" s="111"/>
      <c r="I151" s="115" t="s">
        <v>31</v>
      </c>
      <c r="J151" s="116"/>
      <c r="K151" s="111"/>
      <c r="L151" s="111"/>
      <c r="M151" s="111"/>
      <c r="O151" s="108"/>
      <c r="P151" s="42"/>
      <c r="Q151" s="42"/>
    </row>
    <row r="152" spans="2:17" ht="15" x14ac:dyDescent="0.25">
      <c r="B152" s="115" t="s">
        <v>32</v>
      </c>
      <c r="C152" s="116" t="s">
        <v>33</v>
      </c>
      <c r="D152" s="111" t="s">
        <v>34</v>
      </c>
      <c r="E152" s="111" t="s">
        <v>35</v>
      </c>
      <c r="F152" s="114"/>
      <c r="I152" s="115" t="s">
        <v>32</v>
      </c>
      <c r="J152" s="116" t="s">
        <v>33</v>
      </c>
      <c r="K152" s="111" t="s">
        <v>34</v>
      </c>
      <c r="L152" s="111" t="s">
        <v>35</v>
      </c>
      <c r="M152" s="114"/>
      <c r="O152" s="108"/>
      <c r="P152" s="42"/>
      <c r="Q152" s="42"/>
    </row>
    <row r="153" spans="2:17" x14ac:dyDescent="0.2">
      <c r="B153" s="117">
        <v>1</v>
      </c>
      <c r="C153" s="116">
        <v>55</v>
      </c>
      <c r="D153" s="111">
        <f>B153*C153</f>
        <v>55</v>
      </c>
      <c r="E153" s="111">
        <f>D153*F153</f>
        <v>110</v>
      </c>
      <c r="F153" s="118">
        <v>2</v>
      </c>
      <c r="I153" s="117">
        <v>4</v>
      </c>
      <c r="J153" s="116">
        <v>55</v>
      </c>
      <c r="K153" s="111">
        <f>I153*J153</f>
        <v>220</v>
      </c>
      <c r="L153" s="111">
        <f>K153*M153</f>
        <v>440</v>
      </c>
      <c r="M153" s="118">
        <v>2</v>
      </c>
      <c r="O153" s="108"/>
      <c r="P153" s="42"/>
      <c r="Q153" s="42"/>
    </row>
    <row r="154" spans="2:17" x14ac:dyDescent="0.2">
      <c r="B154" s="115" t="s">
        <v>36</v>
      </c>
      <c r="C154" s="116"/>
      <c r="D154" s="111"/>
      <c r="E154" s="111" t="s">
        <v>37</v>
      </c>
      <c r="F154" s="111"/>
      <c r="I154" s="115" t="s">
        <v>36</v>
      </c>
      <c r="J154" s="116"/>
      <c r="K154" s="111"/>
      <c r="L154" s="111" t="s">
        <v>37</v>
      </c>
      <c r="M154" s="111"/>
      <c r="O154" s="108"/>
      <c r="P154" s="42"/>
      <c r="Q154" s="42"/>
    </row>
    <row r="155" spans="2:17" ht="15" x14ac:dyDescent="0.25">
      <c r="B155" s="115">
        <v>0.7</v>
      </c>
      <c r="C155" s="119"/>
      <c r="D155" s="114"/>
      <c r="E155" s="111">
        <f>B155*C155</f>
        <v>0</v>
      </c>
      <c r="F155" s="111"/>
      <c r="I155" s="115">
        <v>0.7</v>
      </c>
      <c r="J155" s="119">
        <v>310</v>
      </c>
      <c r="K155" s="114"/>
      <c r="L155" s="111">
        <f>I155*J155</f>
        <v>217</v>
      </c>
      <c r="M155" s="111"/>
      <c r="O155" s="108"/>
      <c r="P155" s="42"/>
      <c r="Q155" s="42"/>
    </row>
    <row r="156" spans="2:17" x14ac:dyDescent="0.2">
      <c r="B156" s="115" t="s">
        <v>38</v>
      </c>
      <c r="C156" s="116"/>
      <c r="D156" s="111"/>
      <c r="E156" s="111">
        <f>SUM(E153:E155)</f>
        <v>110</v>
      </c>
      <c r="F156" s="111"/>
      <c r="I156" s="115" t="s">
        <v>38</v>
      </c>
      <c r="J156" s="116"/>
      <c r="K156" s="111"/>
      <c r="L156" s="111">
        <f>SUM(L153:L155)</f>
        <v>657</v>
      </c>
      <c r="M156" s="111"/>
      <c r="O156" s="108"/>
      <c r="P156" s="42"/>
      <c r="Q156" s="42"/>
    </row>
    <row r="157" spans="2:17" x14ac:dyDescent="0.2">
      <c r="B157" s="117">
        <v>2</v>
      </c>
      <c r="C157" s="116"/>
      <c r="D157" s="111"/>
      <c r="E157" s="111">
        <f>B157*E156</f>
        <v>220</v>
      </c>
      <c r="F157" s="111"/>
      <c r="I157" s="117">
        <v>1</v>
      </c>
      <c r="J157" s="116"/>
      <c r="K157" s="111"/>
      <c r="L157" s="111">
        <f>I157*L156</f>
        <v>657</v>
      </c>
      <c r="M157" s="111"/>
      <c r="O157" s="108"/>
      <c r="P157" s="42"/>
      <c r="Q157" s="42"/>
    </row>
    <row r="158" spans="2:17" x14ac:dyDescent="0.2">
      <c r="B158" s="115" t="s">
        <v>39</v>
      </c>
      <c r="C158" s="116" t="s">
        <v>40</v>
      </c>
      <c r="D158" s="111"/>
      <c r="E158" s="111" t="s">
        <v>41</v>
      </c>
      <c r="F158" s="111"/>
      <c r="I158" s="115" t="s">
        <v>39</v>
      </c>
      <c r="J158" s="116" t="s">
        <v>40</v>
      </c>
      <c r="K158" s="111"/>
      <c r="L158" s="111" t="s">
        <v>41</v>
      </c>
      <c r="M158" s="111"/>
      <c r="Q158" s="54"/>
    </row>
    <row r="159" spans="2:17" x14ac:dyDescent="0.2">
      <c r="B159" s="117"/>
      <c r="C159" s="119"/>
      <c r="D159" s="111">
        <f>B159*C159</f>
        <v>0</v>
      </c>
      <c r="E159" s="111">
        <f>D159*F153</f>
        <v>0</v>
      </c>
      <c r="F159" s="111"/>
      <c r="I159" s="117">
        <v>125</v>
      </c>
      <c r="J159" s="119">
        <v>4</v>
      </c>
      <c r="K159" s="111">
        <f>I159*J159</f>
        <v>500</v>
      </c>
      <c r="L159" s="111">
        <f>K159*M153</f>
        <v>1000</v>
      </c>
      <c r="M159" s="111"/>
    </row>
    <row r="160" spans="2:17" x14ac:dyDescent="0.2">
      <c r="B160" s="115"/>
      <c r="C160" s="116"/>
      <c r="D160" s="111"/>
      <c r="E160" s="112">
        <f>SUM(E157:E159)</f>
        <v>220</v>
      </c>
      <c r="F160" s="111"/>
      <c r="I160" s="115"/>
      <c r="J160" s="116"/>
      <c r="K160" s="111"/>
      <c r="L160" s="112">
        <f>SUM(L157:L159)</f>
        <v>1657</v>
      </c>
      <c r="M160" s="111"/>
    </row>
    <row r="164" spans="4:7" x14ac:dyDescent="0.2">
      <c r="D164" s="72" t="s">
        <v>45</v>
      </c>
      <c r="E164" s="14">
        <f>F123/8.5</f>
        <v>150.42666666666665</v>
      </c>
      <c r="F164" s="60">
        <f>E164*17.5</f>
        <v>2632.4666666666662</v>
      </c>
      <c r="G164" s="72" t="s">
        <v>48</v>
      </c>
    </row>
  </sheetData>
  <phoneticPr fontId="5" type="noConversion"/>
  <pageMargins left="0.7" right="0.7" top="0.75" bottom="0.75" header="0.3" footer="0.3"/>
  <pageSetup paperSize="9" scale="9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7BB0-9ADD-4864-B7C5-023BD25F2DB7}">
  <dimension ref="A1:V337"/>
  <sheetViews>
    <sheetView workbookViewId="0">
      <selection activeCell="I33" sqref="I33"/>
    </sheetView>
  </sheetViews>
  <sheetFormatPr defaultRowHeight="12.75" x14ac:dyDescent="0.2"/>
  <cols>
    <col min="2" max="2" width="32.5703125" customWidth="1"/>
    <col min="3" max="3" width="37.28515625" customWidth="1"/>
    <col min="4" max="4" width="19.7109375" customWidth="1"/>
    <col min="5" max="5" width="21.5703125" customWidth="1"/>
    <col min="6" max="6" width="21.7109375" customWidth="1"/>
    <col min="7" max="7" width="15.5703125" bestFit="1" customWidth="1"/>
    <col min="8" max="8" width="19.140625" bestFit="1" customWidth="1"/>
    <col min="9" max="9" width="20" customWidth="1"/>
    <col min="10" max="10" width="14" customWidth="1"/>
    <col min="14" max="14" width="11.140625" bestFit="1" customWidth="1"/>
    <col min="18" max="18" width="11.140625" bestFit="1" customWidth="1"/>
    <col min="20" max="20" width="10.140625" bestFit="1" customWidth="1"/>
  </cols>
  <sheetData>
    <row r="1" spans="2:22" x14ac:dyDescent="0.2">
      <c r="H1" s="72"/>
      <c r="K1" s="578"/>
      <c r="L1" s="578"/>
      <c r="M1" s="578"/>
      <c r="N1" s="578"/>
      <c r="O1" s="578"/>
      <c r="P1" s="578" t="s">
        <v>284</v>
      </c>
      <c r="Q1" s="578"/>
      <c r="R1" s="578"/>
      <c r="S1" s="578"/>
    </row>
    <row r="2" spans="2:22" x14ac:dyDescent="0.2">
      <c r="B2" s="465" t="s">
        <v>656</v>
      </c>
      <c r="C2" s="72" t="s">
        <v>667</v>
      </c>
      <c r="D2">
        <v>3</v>
      </c>
      <c r="E2">
        <v>20</v>
      </c>
      <c r="F2">
        <f>D2*E2</f>
        <v>60</v>
      </c>
      <c r="G2" s="66">
        <v>20</v>
      </c>
      <c r="H2" s="203">
        <f>F2*G2</f>
        <v>1200</v>
      </c>
      <c r="K2" s="578" t="s">
        <v>713</v>
      </c>
      <c r="L2" s="578">
        <v>164</v>
      </c>
      <c r="M2" s="578" t="s">
        <v>151</v>
      </c>
      <c r="N2" s="579">
        <v>223656</v>
      </c>
      <c r="O2" s="579">
        <f>N2/L2</f>
        <v>1363.7560975609756</v>
      </c>
      <c r="P2" s="579">
        <v>7</v>
      </c>
      <c r="Q2" s="579">
        <f>O2+P2</f>
        <v>1370.7560975609756</v>
      </c>
      <c r="R2" s="579">
        <f>L2*Q2</f>
        <v>224804</v>
      </c>
      <c r="S2" s="578"/>
    </row>
    <row r="3" spans="2:22" x14ac:dyDescent="0.2">
      <c r="C3" s="72" t="s">
        <v>705</v>
      </c>
      <c r="D3">
        <v>5</v>
      </c>
      <c r="E3">
        <v>60</v>
      </c>
      <c r="F3">
        <f>D3*E3</f>
        <v>300</v>
      </c>
      <c r="G3" s="66">
        <v>6.5</v>
      </c>
      <c r="H3" s="203">
        <f>F3*G3</f>
        <v>1950</v>
      </c>
      <c r="I3" s="203">
        <f>SUM(H2:H3)</f>
        <v>3150</v>
      </c>
      <c r="K3" s="578" t="s">
        <v>714</v>
      </c>
      <c r="L3" s="578">
        <v>33</v>
      </c>
      <c r="M3" s="578" t="s">
        <v>151</v>
      </c>
      <c r="N3" s="579">
        <v>45004</v>
      </c>
      <c r="O3" s="579">
        <f>N3/L3</f>
        <v>1363.7575757575758</v>
      </c>
      <c r="P3" s="579">
        <v>7</v>
      </c>
      <c r="Q3" s="579">
        <f>O3+P3</f>
        <v>1370.7575757575758</v>
      </c>
      <c r="R3" s="579">
        <f>L3*Q3</f>
        <v>45235</v>
      </c>
      <c r="S3" s="578"/>
    </row>
    <row r="4" spans="2:22" x14ac:dyDescent="0.2">
      <c r="C4" s="72"/>
      <c r="G4" s="66"/>
      <c r="H4" s="203"/>
      <c r="K4" s="580"/>
      <c r="L4" s="580"/>
      <c r="M4" s="580"/>
      <c r="N4" s="580"/>
      <c r="O4" s="580"/>
      <c r="P4" s="580"/>
      <c r="Q4" s="580"/>
      <c r="R4" s="580"/>
      <c r="S4" s="580"/>
    </row>
    <row r="5" spans="2:22" x14ac:dyDescent="0.2">
      <c r="B5" s="465" t="s">
        <v>657</v>
      </c>
      <c r="C5" s="72" t="s">
        <v>667</v>
      </c>
      <c r="D5">
        <v>1</v>
      </c>
      <c r="E5">
        <v>20</v>
      </c>
      <c r="F5">
        <f>D5*E5</f>
        <v>20</v>
      </c>
      <c r="G5" s="66">
        <v>20</v>
      </c>
      <c r="H5" s="203">
        <f>F5*G5</f>
        <v>400</v>
      </c>
      <c r="K5" s="578"/>
      <c r="L5" s="578"/>
      <c r="M5" s="578"/>
      <c r="N5" s="579">
        <f>SUM(N2:N4)</f>
        <v>268660</v>
      </c>
      <c r="O5" s="578"/>
      <c r="P5" s="578"/>
      <c r="Q5" s="578"/>
      <c r="R5" s="579">
        <f>SUM(R2:R4)</f>
        <v>270039</v>
      </c>
      <c r="S5" s="578"/>
    </row>
    <row r="6" spans="2:22" x14ac:dyDescent="0.2">
      <c r="C6" s="72" t="s">
        <v>705</v>
      </c>
      <c r="D6">
        <v>1</v>
      </c>
      <c r="E6">
        <v>60</v>
      </c>
      <c r="F6">
        <f>D6*E6</f>
        <v>60</v>
      </c>
      <c r="G6" s="66">
        <v>6.5</v>
      </c>
      <c r="H6" s="203">
        <f>F6*G6</f>
        <v>390</v>
      </c>
      <c r="I6" s="203">
        <f>SUM(H5:H6)</f>
        <v>790</v>
      </c>
    </row>
    <row r="7" spans="2:22" ht="13.5" thickBot="1" x14ac:dyDescent="0.25"/>
    <row r="8" spans="2:22" x14ac:dyDescent="0.2">
      <c r="B8" s="427"/>
      <c r="C8" s="428"/>
      <c r="D8" s="428"/>
      <c r="E8" s="428"/>
      <c r="F8" s="428"/>
      <c r="G8" s="429" t="s">
        <v>584</v>
      </c>
      <c r="O8">
        <v>1.05</v>
      </c>
      <c r="R8" s="72" t="s">
        <v>284</v>
      </c>
    </row>
    <row r="9" spans="2:22" ht="15" x14ac:dyDescent="0.25">
      <c r="B9" s="430" t="s">
        <v>585</v>
      </c>
      <c r="F9" t="s">
        <v>586</v>
      </c>
      <c r="G9" s="431" t="s">
        <v>587</v>
      </c>
      <c r="K9" s="72" t="s">
        <v>713</v>
      </c>
      <c r="L9" s="72">
        <v>164</v>
      </c>
      <c r="M9" s="72" t="s">
        <v>151</v>
      </c>
      <c r="N9" s="581">
        <v>227</v>
      </c>
      <c r="O9" s="581">
        <f>N9*O8</f>
        <v>238.35000000000002</v>
      </c>
      <c r="P9" s="61">
        <v>70.73</v>
      </c>
      <c r="Q9" s="61">
        <v>31</v>
      </c>
      <c r="R9" s="61">
        <v>7</v>
      </c>
      <c r="S9" s="61">
        <f>SUM(P9:R9)</f>
        <v>108.73</v>
      </c>
      <c r="T9" s="203">
        <f>O9*S9</f>
        <v>25915.795500000004</v>
      </c>
    </row>
    <row r="10" spans="2:22" x14ac:dyDescent="0.2">
      <c r="B10" s="432" t="s">
        <v>588</v>
      </c>
      <c r="C10" s="263">
        <v>0.6</v>
      </c>
      <c r="D10" s="262"/>
      <c r="E10" s="262" t="s">
        <v>589</v>
      </c>
      <c r="F10" s="263">
        <v>1.2</v>
      </c>
      <c r="G10" s="433">
        <v>1.2</v>
      </c>
      <c r="K10" s="72" t="s">
        <v>714</v>
      </c>
      <c r="L10" s="72">
        <v>33</v>
      </c>
      <c r="M10" s="72" t="s">
        <v>151</v>
      </c>
      <c r="N10" s="581">
        <v>46</v>
      </c>
      <c r="O10" s="581">
        <f>N10*O8</f>
        <v>48.300000000000004</v>
      </c>
      <c r="P10" s="61">
        <v>70.73</v>
      </c>
      <c r="Q10" s="61">
        <v>31</v>
      </c>
      <c r="R10" s="61">
        <v>7</v>
      </c>
      <c r="S10" s="61">
        <f>SUM(P10:R10)</f>
        <v>108.73</v>
      </c>
      <c r="T10" s="203">
        <f>O10*S10</f>
        <v>5251.6590000000006</v>
      </c>
    </row>
    <row r="11" spans="2:22" x14ac:dyDescent="0.2">
      <c r="B11" s="432" t="s">
        <v>590</v>
      </c>
      <c r="C11" s="263">
        <v>27</v>
      </c>
      <c r="D11" s="264"/>
      <c r="E11" s="264"/>
      <c r="F11" s="264"/>
      <c r="G11" s="434"/>
      <c r="K11" s="418"/>
      <c r="L11" s="418"/>
      <c r="M11" s="418"/>
      <c r="N11" s="418"/>
      <c r="O11" s="418"/>
      <c r="P11" s="418"/>
      <c r="Q11" s="418"/>
      <c r="R11" s="418"/>
      <c r="S11" s="418"/>
      <c r="T11" s="418"/>
    </row>
    <row r="12" spans="2:22" ht="15" x14ac:dyDescent="0.25">
      <c r="B12" s="432" t="s">
        <v>591</v>
      </c>
      <c r="C12" s="263">
        <v>36</v>
      </c>
      <c r="D12" s="264"/>
      <c r="E12" s="266" t="s">
        <v>592</v>
      </c>
      <c r="F12" s="266" t="s">
        <v>593</v>
      </c>
      <c r="G12" s="435" t="s">
        <v>594</v>
      </c>
      <c r="K12" s="72"/>
      <c r="L12" s="72">
        <f>SUM(L9:L11)</f>
        <v>197</v>
      </c>
      <c r="M12" s="72"/>
      <c r="N12" s="61"/>
      <c r="O12" s="581">
        <f>SUM(O9:O11)</f>
        <v>286.65000000000003</v>
      </c>
      <c r="P12" s="72"/>
      <c r="Q12" s="72"/>
      <c r="R12" s="61"/>
      <c r="S12" s="72"/>
      <c r="T12" s="203">
        <f>SUM(T9:T11)</f>
        <v>31167.454500000003</v>
      </c>
      <c r="U12" s="203">
        <f>T12/O12</f>
        <v>108.73</v>
      </c>
      <c r="V12" s="72" t="s">
        <v>673</v>
      </c>
    </row>
    <row r="13" spans="2:22" ht="15" x14ac:dyDescent="0.25">
      <c r="B13" s="436" t="s">
        <v>393</v>
      </c>
      <c r="C13" s="264"/>
      <c r="D13" s="264"/>
      <c r="E13" s="319">
        <f>SUM(G13/C10)</f>
        <v>60</v>
      </c>
      <c r="F13" s="262">
        <f>C11</f>
        <v>27</v>
      </c>
      <c r="G13" s="437">
        <f>C12</f>
        <v>36</v>
      </c>
      <c r="K13" s="72"/>
      <c r="L13" s="72"/>
      <c r="M13" s="72"/>
      <c r="N13" s="72"/>
      <c r="O13" s="72"/>
      <c r="P13" s="72"/>
      <c r="Q13" s="72"/>
      <c r="R13" s="72"/>
      <c r="S13" s="72"/>
      <c r="U13" s="203">
        <f>T12/L12</f>
        <v>158.21042893401017</v>
      </c>
      <c r="V13" s="72" t="s">
        <v>419</v>
      </c>
    </row>
    <row r="14" spans="2:22" x14ac:dyDescent="0.2">
      <c r="B14" s="438"/>
      <c r="C14" s="265" t="s">
        <v>399</v>
      </c>
      <c r="D14" s="265"/>
      <c r="G14" s="431"/>
      <c r="J14" s="205" t="s">
        <v>383</v>
      </c>
    </row>
    <row r="15" spans="2:22" ht="15" x14ac:dyDescent="0.25">
      <c r="B15" s="438"/>
      <c r="C15" s="265"/>
      <c r="D15" s="266" t="s">
        <v>595</v>
      </c>
      <c r="E15" s="439" t="s">
        <v>596</v>
      </c>
      <c r="F15" s="440" t="s">
        <v>34</v>
      </c>
      <c r="G15" s="437" t="s">
        <v>597</v>
      </c>
      <c r="J15" s="205" t="s">
        <v>384</v>
      </c>
    </row>
    <row r="16" spans="2:22" x14ac:dyDescent="0.2">
      <c r="B16" s="438" t="s">
        <v>598</v>
      </c>
      <c r="C16" s="264">
        <f>J16</f>
        <v>3.01</v>
      </c>
      <c r="D16" s="275" t="s">
        <v>599</v>
      </c>
      <c r="E16" s="441">
        <f>G13/C10</f>
        <v>60</v>
      </c>
      <c r="F16" s="59">
        <f>SUM(C16*E16)</f>
        <v>180.6</v>
      </c>
      <c r="G16" s="442"/>
      <c r="I16" s="72" t="s">
        <v>632</v>
      </c>
      <c r="J16" s="203">
        <v>3.01</v>
      </c>
    </row>
    <row r="17" spans="2:15" x14ac:dyDescent="0.2">
      <c r="B17" s="438"/>
      <c r="C17" s="264"/>
      <c r="D17" s="275"/>
      <c r="E17" s="441"/>
      <c r="F17" s="59"/>
      <c r="G17" s="442"/>
      <c r="J17" s="61"/>
    </row>
    <row r="18" spans="2:15" x14ac:dyDescent="0.2">
      <c r="B18" s="438" t="s">
        <v>600</v>
      </c>
      <c r="C18" s="464">
        <f>J18</f>
        <v>1.2</v>
      </c>
      <c r="D18" s="443">
        <f>C10*3.6</f>
        <v>2.16</v>
      </c>
      <c r="E18" s="441">
        <f>(G13/D18)</f>
        <v>16.666666666666664</v>
      </c>
      <c r="F18" s="59">
        <f>SUM(C18*E18)</f>
        <v>19.999999999999996</v>
      </c>
      <c r="G18" s="444"/>
      <c r="I18" s="72" t="s">
        <v>601</v>
      </c>
      <c r="J18" s="203">
        <v>1.2</v>
      </c>
    </row>
    <row r="19" spans="2:15" x14ac:dyDescent="0.2">
      <c r="B19" s="438" t="s">
        <v>602</v>
      </c>
      <c r="C19" s="464">
        <f>J19</f>
        <v>0.49</v>
      </c>
      <c r="D19" s="443">
        <f>C10*F10</f>
        <v>0.72</v>
      </c>
      <c r="E19" s="441">
        <f>(G13/D19)</f>
        <v>50</v>
      </c>
      <c r="F19" s="59">
        <f>SUM(C19*E19)</f>
        <v>24.5</v>
      </c>
      <c r="G19" s="444"/>
      <c r="I19" s="72" t="s">
        <v>603</v>
      </c>
      <c r="J19" s="203">
        <v>0.49</v>
      </c>
    </row>
    <row r="20" spans="2:15" x14ac:dyDescent="0.2">
      <c r="B20" s="438" t="s">
        <v>604</v>
      </c>
      <c r="C20" s="464">
        <f>J20</f>
        <v>4.04</v>
      </c>
      <c r="D20" s="443">
        <f>F10</f>
        <v>1.2</v>
      </c>
      <c r="E20" s="441">
        <f>(G13/D20)</f>
        <v>30</v>
      </c>
      <c r="F20" s="59">
        <f>SUM(C20*E20)</f>
        <v>121.2</v>
      </c>
      <c r="G20" s="444"/>
      <c r="I20" s="72" t="s">
        <v>605</v>
      </c>
      <c r="J20" s="203">
        <v>4.04</v>
      </c>
      <c r="L20" s="72" t="s">
        <v>630</v>
      </c>
      <c r="N20">
        <v>125</v>
      </c>
      <c r="O20">
        <v>129</v>
      </c>
    </row>
    <row r="21" spans="2:15" x14ac:dyDescent="0.2">
      <c r="B21" s="438" t="s">
        <v>606</v>
      </c>
      <c r="C21" s="464">
        <v>100</v>
      </c>
      <c r="D21" s="111"/>
      <c r="E21" s="445">
        <f>ROUNDUP(G13/200,0)</f>
        <v>1</v>
      </c>
      <c r="F21" s="59">
        <f>SUM(C21*E21)</f>
        <v>100</v>
      </c>
      <c r="G21" s="444"/>
      <c r="J21" s="203"/>
    </row>
    <row r="22" spans="2:15" x14ac:dyDescent="0.2">
      <c r="B22" s="438" t="s">
        <v>607</v>
      </c>
      <c r="C22" s="464">
        <v>2</v>
      </c>
      <c r="D22" s="111"/>
      <c r="E22" s="441">
        <f>(G13/F10/G10)</f>
        <v>25</v>
      </c>
      <c r="F22" s="446">
        <f>C22*E22</f>
        <v>50</v>
      </c>
      <c r="G22" s="444"/>
      <c r="J22" s="203"/>
    </row>
    <row r="23" spans="2:15" x14ac:dyDescent="0.2">
      <c r="B23" s="438" t="s">
        <v>608</v>
      </c>
      <c r="C23" s="464">
        <f>J23</f>
        <v>5.67</v>
      </c>
      <c r="D23" s="111"/>
      <c r="E23" s="441">
        <f>C11</f>
        <v>27</v>
      </c>
      <c r="F23" s="446">
        <f>C23*E23</f>
        <v>153.09</v>
      </c>
      <c r="G23" s="444"/>
      <c r="I23" s="72" t="s">
        <v>628</v>
      </c>
      <c r="J23" s="203">
        <v>5.67</v>
      </c>
      <c r="L23" s="72"/>
    </row>
    <row r="24" spans="2:15" x14ac:dyDescent="0.2">
      <c r="B24" s="438"/>
      <c r="C24" s="265"/>
      <c r="D24" s="265"/>
      <c r="F24" s="447">
        <f>SUM(F16:F23)</f>
        <v>649.39</v>
      </c>
      <c r="G24" s="434"/>
      <c r="I24" s="72" t="s">
        <v>629</v>
      </c>
      <c r="J24" s="203">
        <v>4.87</v>
      </c>
    </row>
    <row r="25" spans="2:15" ht="15" x14ac:dyDescent="0.25">
      <c r="B25" s="438" t="s">
        <v>609</v>
      </c>
      <c r="C25" s="448">
        <f>F24/G13</f>
        <v>18.038611111111109</v>
      </c>
      <c r="D25" s="113"/>
      <c r="F25" s="262"/>
      <c r="G25" s="434"/>
    </row>
    <row r="26" spans="2:15" x14ac:dyDescent="0.2">
      <c r="B26" s="438" t="s">
        <v>610</v>
      </c>
      <c r="C26" s="259">
        <v>1.4999999999999999E-2</v>
      </c>
      <c r="D26" s="259"/>
      <c r="F26" s="262"/>
      <c r="G26" s="434"/>
    </row>
    <row r="27" spans="2:15" x14ac:dyDescent="0.2">
      <c r="B27" s="438" t="s">
        <v>403</v>
      </c>
      <c r="C27" s="284">
        <v>0.03</v>
      </c>
      <c r="D27" s="275"/>
      <c r="F27" s="264"/>
      <c r="G27" s="434"/>
    </row>
    <row r="28" spans="2:15" x14ac:dyDescent="0.2">
      <c r="B28" s="438"/>
      <c r="C28" s="275">
        <f>SUM(C25:C27)</f>
        <v>18.083611111111111</v>
      </c>
      <c r="D28" s="275"/>
      <c r="F28" s="264"/>
      <c r="G28" s="434"/>
    </row>
    <row r="29" spans="2:15" x14ac:dyDescent="0.2">
      <c r="B29" s="438" t="s">
        <v>413</v>
      </c>
      <c r="C29" s="284">
        <f>C28*10%</f>
        <v>1.8083611111111111</v>
      </c>
      <c r="D29" s="284"/>
      <c r="F29" s="264"/>
      <c r="G29" s="444"/>
    </row>
    <row r="30" spans="2:15" x14ac:dyDescent="0.2">
      <c r="B30" s="438" t="s">
        <v>609</v>
      </c>
      <c r="C30" s="112">
        <f>SUM(C28:C29)</f>
        <v>19.891972222222222</v>
      </c>
      <c r="D30" s="112"/>
      <c r="F30" s="264"/>
      <c r="G30" s="434"/>
    </row>
    <row r="31" spans="2:15" x14ac:dyDescent="0.2">
      <c r="B31" s="436"/>
      <c r="C31" s="277"/>
      <c r="D31" s="277"/>
      <c r="F31" s="264"/>
      <c r="G31" s="434"/>
    </row>
    <row r="32" spans="2:15" ht="15" x14ac:dyDescent="0.25">
      <c r="B32" s="438"/>
      <c r="C32" s="277"/>
      <c r="D32" s="277"/>
      <c r="E32" s="285" t="s">
        <v>611</v>
      </c>
      <c r="F32" s="264"/>
      <c r="G32" s="434"/>
    </row>
    <row r="33" spans="2:7" ht="15" x14ac:dyDescent="0.25">
      <c r="B33" s="438"/>
      <c r="C33" s="265"/>
      <c r="D33" s="265"/>
      <c r="E33" s="113">
        <v>52</v>
      </c>
      <c r="F33" s="264"/>
      <c r="G33" s="434"/>
    </row>
    <row r="34" spans="2:7" x14ac:dyDescent="0.2">
      <c r="B34" s="436" t="s">
        <v>415</v>
      </c>
      <c r="D34" t="s">
        <v>612</v>
      </c>
      <c r="F34" s="264"/>
      <c r="G34" s="434"/>
    </row>
    <row r="35" spans="2:7" x14ac:dyDescent="0.2">
      <c r="B35" s="438" t="s">
        <v>613</v>
      </c>
      <c r="C35" s="111">
        <f>E33/D35</f>
        <v>2.08</v>
      </c>
      <c r="D35" s="111">
        <v>25</v>
      </c>
      <c r="E35" s="336">
        <f>C35*E13</f>
        <v>124.80000000000001</v>
      </c>
      <c r="F35" s="264"/>
      <c r="G35" s="431"/>
    </row>
    <row r="36" spans="2:7" x14ac:dyDescent="0.2">
      <c r="B36" s="438"/>
      <c r="C36" s="111"/>
      <c r="D36" s="111"/>
      <c r="E36" s="336"/>
      <c r="G36" s="431"/>
    </row>
    <row r="37" spans="2:7" x14ac:dyDescent="0.2">
      <c r="B37" s="438" t="s">
        <v>614</v>
      </c>
      <c r="C37" s="111">
        <f>E33/D37</f>
        <v>5.2</v>
      </c>
      <c r="D37" s="111">
        <v>10</v>
      </c>
      <c r="E37" s="336">
        <f>E20*C37</f>
        <v>156</v>
      </c>
      <c r="F37" s="264"/>
      <c r="G37" s="431"/>
    </row>
    <row r="38" spans="2:7" x14ac:dyDescent="0.2">
      <c r="B38" s="438" t="s">
        <v>404</v>
      </c>
      <c r="C38" s="111">
        <f>E33/D38</f>
        <v>4.333333333333333</v>
      </c>
      <c r="D38" s="111">
        <v>12</v>
      </c>
      <c r="E38" s="336">
        <f>SUM(C38*E22)</f>
        <v>108.33333333333333</v>
      </c>
      <c r="F38" s="264"/>
      <c r="G38" s="431"/>
    </row>
    <row r="39" spans="2:7" x14ac:dyDescent="0.2">
      <c r="B39" s="438" t="s">
        <v>615</v>
      </c>
      <c r="C39" s="111">
        <f>E33/D39</f>
        <v>5.2</v>
      </c>
      <c r="D39" s="111">
        <v>10</v>
      </c>
      <c r="E39" s="336">
        <f>C11*C39</f>
        <v>140.4</v>
      </c>
      <c r="F39" s="264"/>
      <c r="G39" s="431"/>
    </row>
    <row r="40" spans="2:7" x14ac:dyDescent="0.2">
      <c r="B40" s="438"/>
      <c r="C40" s="111"/>
      <c r="D40" s="111"/>
      <c r="E40" s="336">
        <f>SUM(E35:E39)</f>
        <v>529.5333333333333</v>
      </c>
      <c r="F40" s="336"/>
      <c r="G40" s="431"/>
    </row>
    <row r="41" spans="2:7" x14ac:dyDescent="0.2">
      <c r="B41" s="438" t="s">
        <v>616</v>
      </c>
      <c r="C41" s="112">
        <f>E40/G13</f>
        <v>14.709259259259259</v>
      </c>
      <c r="D41" s="112">
        <f>C41/E33</f>
        <v>0.28287037037037038</v>
      </c>
      <c r="E41" s="449"/>
      <c r="F41" s="264"/>
      <c r="G41" s="431"/>
    </row>
    <row r="42" spans="2:7" ht="13.5" thickBot="1" x14ac:dyDescent="0.25">
      <c r="B42" s="438"/>
      <c r="C42" s="450">
        <f>SUM(C30+C41)</f>
        <v>34.601231481481477</v>
      </c>
      <c r="D42" s="286" t="s">
        <v>151</v>
      </c>
      <c r="E42" s="451" t="s">
        <v>617</v>
      </c>
      <c r="F42" s="264"/>
      <c r="G42" s="431"/>
    </row>
    <row r="43" spans="2:7" ht="13.5" thickTop="1" x14ac:dyDescent="0.2">
      <c r="B43" s="452" t="s">
        <v>618</v>
      </c>
      <c r="C43" s="453"/>
      <c r="D43" s="265"/>
      <c r="E43" s="454">
        <f>C42*G13</f>
        <v>1245.6443333333332</v>
      </c>
      <c r="F43" s="264"/>
      <c r="G43" s="455"/>
    </row>
    <row r="44" spans="2:7" x14ac:dyDescent="0.2">
      <c r="B44" s="438"/>
      <c r="C44" s="456"/>
      <c r="D44" s="265"/>
      <c r="E44" s="264"/>
      <c r="F44" s="264"/>
      <c r="G44" s="434"/>
    </row>
    <row r="45" spans="2:7" x14ac:dyDescent="0.2">
      <c r="B45" s="457" t="s">
        <v>619</v>
      </c>
      <c r="C45" s="203"/>
      <c r="G45" s="431"/>
    </row>
    <row r="46" spans="2:7" x14ac:dyDescent="0.2">
      <c r="B46" s="457" t="s">
        <v>393</v>
      </c>
      <c r="C46" s="203">
        <f>C30</f>
        <v>19.891972222222222</v>
      </c>
      <c r="D46" t="s">
        <v>151</v>
      </c>
      <c r="G46" s="431"/>
    </row>
    <row r="47" spans="2:7" ht="13.5" thickBot="1" x14ac:dyDescent="0.25">
      <c r="B47" s="458" t="s">
        <v>439</v>
      </c>
      <c r="C47" s="459">
        <f>C41</f>
        <v>14.709259259259259</v>
      </c>
      <c r="D47" s="460" t="s">
        <v>151</v>
      </c>
      <c r="E47" s="459">
        <f>C47*G13</f>
        <v>529.5333333333333</v>
      </c>
      <c r="F47" s="461">
        <f>E47/E33</f>
        <v>10.183333333333334</v>
      </c>
      <c r="G47" s="462" t="s">
        <v>620</v>
      </c>
    </row>
    <row r="49" spans="2:15" ht="13.5" thickBot="1" x14ac:dyDescent="0.25"/>
    <row r="50" spans="2:15" x14ac:dyDescent="0.2">
      <c r="B50" s="427"/>
      <c r="C50" s="428"/>
      <c r="D50" s="428"/>
      <c r="E50" s="428"/>
      <c r="F50" s="428"/>
      <c r="G50" s="429" t="s">
        <v>584</v>
      </c>
    </row>
    <row r="51" spans="2:15" ht="15" x14ac:dyDescent="0.25">
      <c r="B51" s="430" t="s">
        <v>585</v>
      </c>
      <c r="F51" t="s">
        <v>586</v>
      </c>
      <c r="G51" s="431" t="s">
        <v>587</v>
      </c>
    </row>
    <row r="52" spans="2:15" x14ac:dyDescent="0.2">
      <c r="B52" s="432" t="s">
        <v>588</v>
      </c>
      <c r="C52" s="263">
        <v>0.3</v>
      </c>
      <c r="D52" s="262"/>
      <c r="E52" s="262" t="s">
        <v>589</v>
      </c>
      <c r="F52" s="263">
        <v>1.2</v>
      </c>
      <c r="G52" s="433">
        <v>1.2</v>
      </c>
    </row>
    <row r="53" spans="2:15" x14ac:dyDescent="0.2">
      <c r="B53" s="432" t="s">
        <v>590</v>
      </c>
      <c r="C53" s="263">
        <v>155</v>
      </c>
      <c r="D53" s="264"/>
      <c r="E53" s="264"/>
      <c r="F53" s="264"/>
      <c r="G53" s="434"/>
    </row>
    <row r="54" spans="2:15" ht="15" x14ac:dyDescent="0.25">
      <c r="B54" s="432" t="s">
        <v>591</v>
      </c>
      <c r="C54" s="263">
        <v>204</v>
      </c>
      <c r="D54" s="264"/>
      <c r="E54" s="266" t="s">
        <v>592</v>
      </c>
      <c r="F54" s="266" t="s">
        <v>593</v>
      </c>
      <c r="G54" s="435" t="s">
        <v>594</v>
      </c>
    </row>
    <row r="55" spans="2:15" ht="15" x14ac:dyDescent="0.25">
      <c r="B55" s="436" t="s">
        <v>393</v>
      </c>
      <c r="C55" s="264"/>
      <c r="D55" s="264"/>
      <c r="E55" s="319">
        <f>SUM(G55/C52)</f>
        <v>680</v>
      </c>
      <c r="F55" s="262">
        <f>C53</f>
        <v>155</v>
      </c>
      <c r="G55" s="437">
        <f>C54</f>
        <v>204</v>
      </c>
    </row>
    <row r="56" spans="2:15" x14ac:dyDescent="0.2">
      <c r="B56" s="438"/>
      <c r="C56" s="265" t="s">
        <v>399</v>
      </c>
      <c r="D56" s="265"/>
      <c r="G56" s="431"/>
      <c r="J56" s="205" t="s">
        <v>383</v>
      </c>
    </row>
    <row r="57" spans="2:15" ht="15" x14ac:dyDescent="0.25">
      <c r="B57" s="438"/>
      <c r="C57" s="265"/>
      <c r="D57" s="266" t="s">
        <v>595</v>
      </c>
      <c r="E57" s="439" t="s">
        <v>596</v>
      </c>
      <c r="F57" s="440" t="s">
        <v>34</v>
      </c>
      <c r="G57" s="437" t="s">
        <v>597</v>
      </c>
      <c r="J57" s="205" t="s">
        <v>384</v>
      </c>
    </row>
    <row r="58" spans="2:15" x14ac:dyDescent="0.2">
      <c r="B58" s="438" t="s">
        <v>710</v>
      </c>
      <c r="C58" s="264">
        <f>J58</f>
        <v>4.04</v>
      </c>
      <c r="D58" s="275" t="s">
        <v>599</v>
      </c>
      <c r="E58" s="441">
        <f>G55/C52</f>
        <v>680</v>
      </c>
      <c r="F58" s="59">
        <f>SUM(C58*E58)</f>
        <v>2747.2</v>
      </c>
      <c r="G58" s="442"/>
      <c r="I58" s="72" t="s">
        <v>632</v>
      </c>
      <c r="J58" s="203">
        <v>4.04</v>
      </c>
      <c r="K58" s="72" t="s">
        <v>639</v>
      </c>
    </row>
    <row r="59" spans="2:15" x14ac:dyDescent="0.2">
      <c r="B59" s="438"/>
      <c r="C59" s="264"/>
      <c r="D59" s="275"/>
      <c r="E59" s="441"/>
      <c r="F59" s="59"/>
      <c r="G59" s="442"/>
      <c r="J59" s="61"/>
    </row>
    <row r="60" spans="2:15" x14ac:dyDescent="0.2">
      <c r="B60" s="438" t="s">
        <v>600</v>
      </c>
      <c r="C60" s="464">
        <f>J60</f>
        <v>1.2</v>
      </c>
      <c r="D60" s="443">
        <f>C52*3.6</f>
        <v>1.08</v>
      </c>
      <c r="E60" s="441">
        <f>(G55/D60)</f>
        <v>188.88888888888889</v>
      </c>
      <c r="F60" s="59">
        <f>SUM(C60*E60)</f>
        <v>226.66666666666666</v>
      </c>
      <c r="G60" s="444"/>
      <c r="I60" s="72" t="s">
        <v>601</v>
      </c>
      <c r="J60" s="203">
        <v>1.2</v>
      </c>
    </row>
    <row r="61" spans="2:15" x14ac:dyDescent="0.2">
      <c r="B61" s="438" t="s">
        <v>602</v>
      </c>
      <c r="C61" s="464">
        <f>J61</f>
        <v>0.49</v>
      </c>
      <c r="D61" s="443">
        <f>C52*F52</f>
        <v>0.36</v>
      </c>
      <c r="E61" s="441">
        <f>(G55/D61)</f>
        <v>566.66666666666674</v>
      </c>
      <c r="F61" s="59">
        <f>SUM(C61*E61)</f>
        <v>277.66666666666669</v>
      </c>
      <c r="G61" s="444"/>
      <c r="I61" s="72" t="s">
        <v>603</v>
      </c>
      <c r="J61" s="203">
        <v>0.49</v>
      </c>
    </row>
    <row r="62" spans="2:15" x14ac:dyDescent="0.2">
      <c r="B62" s="438" t="s">
        <v>604</v>
      </c>
      <c r="C62" s="464">
        <f>J62</f>
        <v>4.04</v>
      </c>
      <c r="D62" s="443">
        <f>F52</f>
        <v>1.2</v>
      </c>
      <c r="E62" s="441">
        <f>(G55/D62)</f>
        <v>170</v>
      </c>
      <c r="F62" s="59">
        <f>SUM(C62*E62)</f>
        <v>686.8</v>
      </c>
      <c r="G62" s="444"/>
      <c r="I62" s="72" t="s">
        <v>605</v>
      </c>
      <c r="J62" s="203">
        <v>4.04</v>
      </c>
      <c r="L62" s="72" t="s">
        <v>630</v>
      </c>
      <c r="N62">
        <v>125</v>
      </c>
      <c r="O62">
        <v>129</v>
      </c>
    </row>
    <row r="63" spans="2:15" x14ac:dyDescent="0.2">
      <c r="B63" s="438" t="s">
        <v>606</v>
      </c>
      <c r="C63" s="464">
        <v>100</v>
      </c>
      <c r="D63" s="111"/>
      <c r="E63" s="445">
        <f>ROUNDUP(G55/200,0)</f>
        <v>2</v>
      </c>
      <c r="F63" s="59">
        <f>SUM(C63*E63)</f>
        <v>200</v>
      </c>
      <c r="G63" s="444"/>
      <c r="J63" s="203"/>
    </row>
    <row r="64" spans="2:15" x14ac:dyDescent="0.2">
      <c r="B64" s="438" t="s">
        <v>607</v>
      </c>
      <c r="C64" s="464">
        <v>2</v>
      </c>
      <c r="D64" s="111"/>
      <c r="E64" s="441">
        <f>(G55/F52/G52)</f>
        <v>141.66666666666669</v>
      </c>
      <c r="F64" s="446">
        <f>C64*E64</f>
        <v>283.33333333333337</v>
      </c>
      <c r="G64" s="444"/>
      <c r="J64" s="203"/>
    </row>
    <row r="65" spans="2:12" x14ac:dyDescent="0.2">
      <c r="B65" s="438" t="s">
        <v>608</v>
      </c>
      <c r="C65" s="464">
        <f>J65</f>
        <v>5.67</v>
      </c>
      <c r="D65" s="111"/>
      <c r="E65" s="441">
        <f>C53</f>
        <v>155</v>
      </c>
      <c r="F65" s="446">
        <f>C65*E65</f>
        <v>878.85</v>
      </c>
      <c r="G65" s="444"/>
      <c r="I65" s="72" t="s">
        <v>628</v>
      </c>
      <c r="J65" s="203">
        <v>5.67</v>
      </c>
      <c r="L65" s="72"/>
    </row>
    <row r="66" spans="2:12" x14ac:dyDescent="0.2">
      <c r="B66" s="438"/>
      <c r="C66" s="265"/>
      <c r="D66" s="265"/>
      <c r="F66" s="447">
        <f>SUM(F58:F65)</f>
        <v>5300.5166666666664</v>
      </c>
      <c r="G66" s="434"/>
      <c r="I66" s="72" t="s">
        <v>629</v>
      </c>
      <c r="J66" s="203">
        <v>4.87</v>
      </c>
    </row>
    <row r="67" spans="2:12" ht="15" x14ac:dyDescent="0.25">
      <c r="B67" s="438" t="s">
        <v>609</v>
      </c>
      <c r="C67" s="448">
        <f>F66/G55</f>
        <v>25.982924836601306</v>
      </c>
      <c r="D67" s="113"/>
      <c r="F67" s="262"/>
      <c r="G67" s="434"/>
    </row>
    <row r="68" spans="2:12" x14ac:dyDescent="0.2">
      <c r="B68" s="438" t="s">
        <v>610</v>
      </c>
      <c r="C68" s="259">
        <v>1.4999999999999999E-2</v>
      </c>
      <c r="D68" s="259"/>
      <c r="F68" s="262"/>
      <c r="G68" s="434"/>
    </row>
    <row r="69" spans="2:12" x14ac:dyDescent="0.2">
      <c r="B69" s="438" t="s">
        <v>403</v>
      </c>
      <c r="C69" s="284">
        <v>0.03</v>
      </c>
      <c r="D69" s="275"/>
      <c r="F69" s="264"/>
      <c r="G69" s="434"/>
    </row>
    <row r="70" spans="2:12" x14ac:dyDescent="0.2">
      <c r="B70" s="438"/>
      <c r="C70" s="275">
        <f>SUM(C67:C69)</f>
        <v>26.027924836601308</v>
      </c>
      <c r="D70" s="275"/>
      <c r="F70" s="264"/>
      <c r="G70" s="434"/>
    </row>
    <row r="71" spans="2:12" x14ac:dyDescent="0.2">
      <c r="B71" s="438" t="s">
        <v>413</v>
      </c>
      <c r="C71" s="284">
        <f>C70*10%</f>
        <v>2.6027924836601311</v>
      </c>
      <c r="D71" s="284"/>
      <c r="F71" s="264"/>
      <c r="G71" s="444"/>
    </row>
    <row r="72" spans="2:12" x14ac:dyDescent="0.2">
      <c r="B72" s="438" t="s">
        <v>609</v>
      </c>
      <c r="C72" s="112">
        <f>SUM(C70:C71)</f>
        <v>28.630717320261439</v>
      </c>
      <c r="D72" s="112"/>
      <c r="F72" s="264"/>
      <c r="G72" s="434"/>
    </row>
    <row r="73" spans="2:12" x14ac:dyDescent="0.2">
      <c r="B73" s="436"/>
      <c r="C73" s="277"/>
      <c r="D73" s="277"/>
      <c r="F73" s="264"/>
      <c r="G73" s="434"/>
    </row>
    <row r="74" spans="2:12" ht="15" x14ac:dyDescent="0.25">
      <c r="B74" s="438"/>
      <c r="C74" s="277"/>
      <c r="D74" s="277"/>
      <c r="E74" s="285" t="s">
        <v>611</v>
      </c>
      <c r="F74" s="264"/>
      <c r="G74" s="434"/>
    </row>
    <row r="75" spans="2:12" ht="15" x14ac:dyDescent="0.25">
      <c r="B75" s="438"/>
      <c r="C75" s="265"/>
      <c r="D75" s="265"/>
      <c r="E75" s="113">
        <v>52</v>
      </c>
      <c r="F75" s="264"/>
      <c r="G75" s="434"/>
    </row>
    <row r="76" spans="2:12" x14ac:dyDescent="0.2">
      <c r="B76" s="436" t="s">
        <v>415</v>
      </c>
      <c r="D76" t="s">
        <v>612</v>
      </c>
      <c r="F76" s="264"/>
      <c r="G76" s="434"/>
    </row>
    <row r="77" spans="2:12" x14ac:dyDescent="0.2">
      <c r="B77" s="438" t="s">
        <v>613</v>
      </c>
      <c r="C77" s="111">
        <f>E75/D77</f>
        <v>2.08</v>
      </c>
      <c r="D77" s="111">
        <v>25</v>
      </c>
      <c r="E77" s="336">
        <f>C77*E55</f>
        <v>1414.4</v>
      </c>
      <c r="F77" s="264"/>
      <c r="G77" s="431"/>
    </row>
    <row r="78" spans="2:12" x14ac:dyDescent="0.2">
      <c r="B78" s="438"/>
      <c r="C78" s="111"/>
      <c r="D78" s="111"/>
      <c r="E78" s="336"/>
      <c r="G78" s="431"/>
    </row>
    <row r="79" spans="2:12" x14ac:dyDescent="0.2">
      <c r="B79" s="438" t="s">
        <v>614</v>
      </c>
      <c r="C79" s="111">
        <f>E75/D79</f>
        <v>5.2</v>
      </c>
      <c r="D79" s="111">
        <v>10</v>
      </c>
      <c r="E79" s="336">
        <f>E62*C79</f>
        <v>884</v>
      </c>
      <c r="F79" s="264"/>
      <c r="G79" s="431"/>
    </row>
    <row r="80" spans="2:12" x14ac:dyDescent="0.2">
      <c r="B80" s="438" t="s">
        <v>404</v>
      </c>
      <c r="C80" s="111">
        <f>E75/D80</f>
        <v>4.333333333333333</v>
      </c>
      <c r="D80" s="111">
        <v>12</v>
      </c>
      <c r="E80" s="336">
        <f>SUM(C80*E64)</f>
        <v>613.88888888888891</v>
      </c>
      <c r="F80" s="264"/>
      <c r="G80" s="431"/>
    </row>
    <row r="81" spans="1:10" x14ac:dyDescent="0.2">
      <c r="B81" s="438" t="s">
        <v>615</v>
      </c>
      <c r="C81" s="111">
        <f>E75/D81</f>
        <v>5.2</v>
      </c>
      <c r="D81" s="111">
        <v>10</v>
      </c>
      <c r="E81" s="336">
        <f>C53*C81</f>
        <v>806</v>
      </c>
      <c r="F81" s="264"/>
      <c r="G81" s="431"/>
    </row>
    <row r="82" spans="1:10" x14ac:dyDescent="0.2">
      <c r="B82" s="438"/>
      <c r="C82" s="111"/>
      <c r="D82" s="111"/>
      <c r="E82" s="336">
        <f>SUM(E77:E81)</f>
        <v>3718.2888888888892</v>
      </c>
      <c r="F82" s="336"/>
      <c r="G82" s="431"/>
    </row>
    <row r="83" spans="1:10" x14ac:dyDescent="0.2">
      <c r="B83" s="438" t="s">
        <v>616</v>
      </c>
      <c r="C83" s="112">
        <f>E82/G55</f>
        <v>18.22690631808279</v>
      </c>
      <c r="D83" s="112">
        <f>C83/E75</f>
        <v>0.35051742919389983</v>
      </c>
      <c r="E83" s="449"/>
      <c r="F83" s="264"/>
      <c r="G83" s="431"/>
    </row>
    <row r="84" spans="1:10" ht="13.5" thickBot="1" x14ac:dyDescent="0.25">
      <c r="B84" s="438"/>
      <c r="C84" s="450">
        <f>SUM(C72+C83)</f>
        <v>46.857623638344229</v>
      </c>
      <c r="D84" s="286" t="s">
        <v>151</v>
      </c>
      <c r="E84" s="451" t="s">
        <v>617</v>
      </c>
      <c r="F84" s="264"/>
      <c r="G84" s="431"/>
    </row>
    <row r="85" spans="1:10" ht="13.5" thickTop="1" x14ac:dyDescent="0.2">
      <c r="B85" s="452" t="s">
        <v>618</v>
      </c>
      <c r="C85" s="453"/>
      <c r="D85" s="265"/>
      <c r="E85" s="454">
        <f>C84*G55</f>
        <v>9558.9552222222228</v>
      </c>
      <c r="F85" s="264"/>
      <c r="G85" s="455"/>
    </row>
    <row r="86" spans="1:10" x14ac:dyDescent="0.2">
      <c r="B86" s="438"/>
      <c r="C86" s="456"/>
      <c r="D86" s="265"/>
      <c r="E86" s="264"/>
      <c r="F86" s="264"/>
      <c r="G86" s="434"/>
    </row>
    <row r="87" spans="1:10" x14ac:dyDescent="0.2">
      <c r="B87" s="457" t="s">
        <v>619</v>
      </c>
      <c r="C87" s="203"/>
      <c r="G87" s="431"/>
    </row>
    <row r="88" spans="1:10" x14ac:dyDescent="0.2">
      <c r="B88" s="457" t="s">
        <v>393</v>
      </c>
      <c r="C88" s="203">
        <f>C72</f>
        <v>28.630717320261439</v>
      </c>
      <c r="D88" t="s">
        <v>151</v>
      </c>
      <c r="G88" s="431"/>
    </row>
    <row r="89" spans="1:10" ht="13.5" thickBot="1" x14ac:dyDescent="0.25">
      <c r="B89" s="458" t="s">
        <v>439</v>
      </c>
      <c r="C89" s="459">
        <f>C83</f>
        <v>18.22690631808279</v>
      </c>
      <c r="D89" s="460" t="s">
        <v>151</v>
      </c>
      <c r="E89" s="459">
        <f>C89*G55</f>
        <v>3718.2888888888892</v>
      </c>
      <c r="F89" s="461">
        <f>E89/E75</f>
        <v>71.50555555555556</v>
      </c>
      <c r="G89" s="462" t="s">
        <v>620</v>
      </c>
    </row>
    <row r="95" spans="1:10" ht="18" x14ac:dyDescent="0.25">
      <c r="A95" s="264"/>
      <c r="B95" s="468"/>
      <c r="C95" s="264"/>
      <c r="D95" s="264"/>
      <c r="E95" s="264"/>
      <c r="F95" s="264"/>
      <c r="G95" s="469"/>
      <c r="H95" s="469"/>
      <c r="I95" s="264"/>
      <c r="J95" s="264"/>
    </row>
    <row r="96" spans="1:10" ht="18" x14ac:dyDescent="0.25">
      <c r="A96" s="264"/>
      <c r="B96" s="470"/>
      <c r="C96" s="264"/>
      <c r="D96" s="264"/>
      <c r="E96" s="264"/>
      <c r="F96" s="264"/>
      <c r="G96" s="264"/>
      <c r="H96" s="264"/>
      <c r="I96" s="264"/>
      <c r="J96" s="264"/>
    </row>
    <row r="97" spans="1:11" ht="18" x14ac:dyDescent="0.25">
      <c r="A97" s="289"/>
      <c r="B97" s="289"/>
      <c r="C97" s="471"/>
      <c r="D97" s="471"/>
      <c r="E97" s="289"/>
      <c r="F97" s="289"/>
      <c r="G97" s="289"/>
      <c r="H97" s="289"/>
      <c r="I97" s="289"/>
      <c r="J97" s="264"/>
    </row>
    <row r="98" spans="1:11" ht="18.75" thickBot="1" x14ac:dyDescent="0.3">
      <c r="A98" s="468"/>
      <c r="B98" s="468" t="s">
        <v>658</v>
      </c>
      <c r="C98" s="472"/>
      <c r="D98" s="471"/>
      <c r="E98" s="468"/>
      <c r="F98" s="468"/>
      <c r="G98" s="468"/>
      <c r="H98" s="289">
        <v>0.1</v>
      </c>
      <c r="I98" s="264" t="s">
        <v>659</v>
      </c>
      <c r="J98" s="264"/>
    </row>
    <row r="99" spans="1:11" x14ac:dyDescent="0.2">
      <c r="A99" s="264"/>
      <c r="B99" s="473" t="s">
        <v>660</v>
      </c>
      <c r="C99" s="474">
        <v>164</v>
      </c>
      <c r="D99" s="475" t="s">
        <v>151</v>
      </c>
      <c r="E99" s="264"/>
      <c r="F99" s="262" t="s">
        <v>661</v>
      </c>
      <c r="G99" s="264"/>
      <c r="H99" s="476">
        <v>2.5000000000000001E-2</v>
      </c>
      <c r="I99" s="291" t="s">
        <v>370</v>
      </c>
      <c r="J99" s="264"/>
    </row>
    <row r="100" spans="1:11" x14ac:dyDescent="0.2">
      <c r="A100" s="264"/>
      <c r="B100" s="477" t="s">
        <v>662</v>
      </c>
      <c r="C100" s="478"/>
      <c r="D100" s="479"/>
      <c r="E100" s="264"/>
      <c r="F100" s="262" t="s">
        <v>663</v>
      </c>
      <c r="G100" s="262"/>
      <c r="H100" s="480">
        <f>SUM(H98:H99)</f>
        <v>0.125</v>
      </c>
      <c r="I100" s="264"/>
      <c r="J100" s="264"/>
    </row>
    <row r="101" spans="1:11" x14ac:dyDescent="0.2">
      <c r="A101" s="264"/>
      <c r="B101" s="477" t="s">
        <v>664</v>
      </c>
      <c r="C101" s="481"/>
      <c r="D101" s="479"/>
      <c r="E101" s="264"/>
      <c r="F101" s="264" t="s">
        <v>665</v>
      </c>
      <c r="G101" s="482"/>
      <c r="H101" s="264">
        <f>G101*1.13</f>
        <v>0</v>
      </c>
      <c r="I101" s="264"/>
      <c r="J101" s="264"/>
    </row>
    <row r="102" spans="1:11" x14ac:dyDescent="0.2">
      <c r="A102" s="264"/>
      <c r="B102" s="477" t="s">
        <v>666</v>
      </c>
      <c r="C102" s="483">
        <v>65</v>
      </c>
      <c r="D102" s="479"/>
      <c r="E102" s="264"/>
      <c r="F102" s="264" t="s">
        <v>667</v>
      </c>
      <c r="G102" s="484">
        <v>3.68</v>
      </c>
      <c r="H102" s="485">
        <f>G102*1.13</f>
        <v>4.1583999999999994</v>
      </c>
      <c r="I102" s="264"/>
      <c r="J102" s="264"/>
    </row>
    <row r="103" spans="1:11" x14ac:dyDescent="0.2">
      <c r="A103" s="264"/>
      <c r="B103" s="477" t="s">
        <v>668</v>
      </c>
      <c r="C103" s="486"/>
      <c r="D103" s="479" t="s">
        <v>116</v>
      </c>
      <c r="E103" s="264"/>
      <c r="F103" s="264" t="s">
        <v>669</v>
      </c>
      <c r="G103" s="484">
        <v>4.21</v>
      </c>
      <c r="H103" s="485">
        <f>G103*1.13</f>
        <v>4.7572999999999999</v>
      </c>
      <c r="I103" s="264"/>
      <c r="J103" s="264"/>
    </row>
    <row r="104" spans="1:11" x14ac:dyDescent="0.2">
      <c r="A104" s="264"/>
      <c r="B104" s="477" t="s">
        <v>670</v>
      </c>
      <c r="C104" s="487"/>
      <c r="D104" s="479"/>
      <c r="E104" s="264"/>
      <c r="F104" s="264" t="s">
        <v>671</v>
      </c>
      <c r="G104" s="488"/>
      <c r="H104" s="274">
        <f>K109</f>
        <v>0</v>
      </c>
      <c r="I104" s="264"/>
      <c r="J104" s="264"/>
    </row>
    <row r="105" spans="1:11" x14ac:dyDescent="0.2">
      <c r="A105" s="264"/>
      <c r="B105" s="477" t="s">
        <v>672</v>
      </c>
      <c r="C105" s="489"/>
      <c r="D105" s="479" t="s">
        <v>673</v>
      </c>
      <c r="E105" s="264"/>
      <c r="F105" s="264"/>
      <c r="G105" s="264"/>
      <c r="H105" s="264"/>
      <c r="I105" s="264"/>
      <c r="J105" s="264"/>
    </row>
    <row r="106" spans="1:11" ht="13.5" thickBot="1" x14ac:dyDescent="0.25">
      <c r="A106" s="264"/>
      <c r="B106" s="490" t="s">
        <v>674</v>
      </c>
      <c r="C106" s="491" t="s">
        <v>675</v>
      </c>
      <c r="D106" s="492"/>
      <c r="E106" s="264"/>
      <c r="F106" s="264"/>
      <c r="G106" s="264"/>
      <c r="H106" s="264"/>
      <c r="I106" s="264"/>
      <c r="J106" s="264"/>
    </row>
    <row r="107" spans="1:11" x14ac:dyDescent="0.2">
      <c r="A107" s="264"/>
      <c r="B107" s="264"/>
      <c r="C107" s="264"/>
      <c r="D107" s="264"/>
      <c r="E107" s="264"/>
      <c r="F107" s="264"/>
      <c r="G107" s="264"/>
      <c r="H107" s="264"/>
      <c r="I107" s="264"/>
      <c r="J107" s="264"/>
    </row>
    <row r="108" spans="1:11" ht="18.75" thickBot="1" x14ac:dyDescent="0.3">
      <c r="A108" s="264"/>
      <c r="B108" s="468"/>
      <c r="C108" s="264"/>
      <c r="D108" s="264"/>
      <c r="E108" s="264"/>
      <c r="F108" s="289"/>
      <c r="G108" s="264"/>
      <c r="H108" s="264"/>
      <c r="I108" s="264"/>
      <c r="J108" s="264"/>
      <c r="K108" s="72"/>
    </row>
    <row r="109" spans="1:11" x14ac:dyDescent="0.2">
      <c r="A109" s="264"/>
      <c r="B109" s="493" t="s">
        <v>676</v>
      </c>
      <c r="C109" s="494">
        <f>C99*C128</f>
        <v>3890.04</v>
      </c>
      <c r="D109" s="264"/>
      <c r="E109" s="495"/>
      <c r="F109" s="289"/>
      <c r="G109" s="264"/>
      <c r="H109" s="274"/>
      <c r="I109" s="274"/>
      <c r="J109" s="274"/>
      <c r="K109" s="203"/>
    </row>
    <row r="110" spans="1:11" x14ac:dyDescent="0.2">
      <c r="A110" s="264"/>
      <c r="B110" s="496" t="s">
        <v>677</v>
      </c>
      <c r="C110" s="497">
        <f>C109*(1+C100)</f>
        <v>3890.04</v>
      </c>
      <c r="D110" s="289" t="s">
        <v>678</v>
      </c>
      <c r="E110" s="495"/>
      <c r="F110" s="289"/>
      <c r="G110" s="264"/>
      <c r="H110" s="264"/>
      <c r="I110" s="264"/>
      <c r="J110" s="264"/>
    </row>
    <row r="111" spans="1:11" ht="13.5" thickBot="1" x14ac:dyDescent="0.25">
      <c r="A111" s="264"/>
      <c r="B111" s="498" t="s">
        <v>679</v>
      </c>
      <c r="C111" s="499">
        <f>C110-C109</f>
        <v>0</v>
      </c>
      <c r="D111" s="264"/>
      <c r="E111" s="495"/>
      <c r="F111" s="289"/>
      <c r="G111" s="264"/>
      <c r="H111" s="264"/>
      <c r="I111" s="264"/>
      <c r="J111" s="264"/>
    </row>
    <row r="112" spans="1:11" ht="18" x14ac:dyDescent="0.25">
      <c r="A112" s="264"/>
      <c r="B112" s="468"/>
      <c r="C112" s="500"/>
      <c r="D112" s="264"/>
      <c r="E112" s="495"/>
      <c r="F112" s="289"/>
      <c r="G112" s="264"/>
      <c r="H112" s="264"/>
      <c r="I112" s="264"/>
      <c r="J112" s="264"/>
    </row>
    <row r="113" spans="1:10" ht="18" x14ac:dyDescent="0.25">
      <c r="A113" s="264"/>
      <c r="B113" s="468" t="s">
        <v>661</v>
      </c>
      <c r="C113" s="264"/>
      <c r="D113" s="264"/>
      <c r="E113" s="501"/>
      <c r="F113" s="111"/>
      <c r="G113" s="111"/>
      <c r="H113" s="289"/>
      <c r="I113" s="264"/>
      <c r="J113" s="264"/>
    </row>
    <row r="114" spans="1:10" x14ac:dyDescent="0.2">
      <c r="A114" s="264"/>
      <c r="B114" s="262" t="s">
        <v>680</v>
      </c>
      <c r="C114" s="264"/>
      <c r="D114" s="264"/>
      <c r="E114" s="495" t="s">
        <v>681</v>
      </c>
      <c r="F114" s="264"/>
      <c r="G114" s="279"/>
      <c r="H114" s="264"/>
      <c r="I114" s="264"/>
      <c r="J114" s="264"/>
    </row>
    <row r="115" spans="1:10" x14ac:dyDescent="0.2">
      <c r="A115" s="264"/>
      <c r="B115" s="264" t="s">
        <v>682</v>
      </c>
      <c r="C115" s="264"/>
      <c r="D115" s="264"/>
      <c r="E115" s="264" t="s">
        <v>683</v>
      </c>
      <c r="F115" s="502">
        <f>SUM(C101)</f>
        <v>0</v>
      </c>
      <c r="G115" s="289" t="s">
        <v>684</v>
      </c>
      <c r="H115" s="264" t="s">
        <v>685</v>
      </c>
      <c r="I115" s="517">
        <f>'Suspended Ceilings'!H11</f>
        <v>50</v>
      </c>
      <c r="J115" s="264"/>
    </row>
    <row r="116" spans="1:10" x14ac:dyDescent="0.2">
      <c r="A116" s="264"/>
      <c r="B116" s="264" t="s">
        <v>686</v>
      </c>
      <c r="C116" s="264">
        <f>C103</f>
        <v>0</v>
      </c>
      <c r="D116" s="264" t="s">
        <v>116</v>
      </c>
      <c r="E116" s="503">
        <f>G101</f>
        <v>0</v>
      </c>
      <c r="F116" s="504">
        <f>C116*E116</f>
        <v>0</v>
      </c>
      <c r="G116" s="279"/>
      <c r="H116" s="503"/>
      <c r="I116" s="264"/>
      <c r="J116" s="264"/>
    </row>
    <row r="117" spans="1:10" x14ac:dyDescent="0.2">
      <c r="A117" s="264"/>
      <c r="B117" s="264" t="s">
        <v>687</v>
      </c>
      <c r="C117" s="264">
        <f>C99*90%</f>
        <v>147.6</v>
      </c>
      <c r="D117" s="264" t="s">
        <v>116</v>
      </c>
      <c r="E117" s="503">
        <f>G102</f>
        <v>3.68</v>
      </c>
      <c r="F117" s="504">
        <f>C117*E117</f>
        <v>543.16800000000001</v>
      </c>
      <c r="G117" s="279">
        <f>C117/25</f>
        <v>5.9039999999999999</v>
      </c>
      <c r="H117" s="503">
        <f>G117*$I$115</f>
        <v>295.2</v>
      </c>
      <c r="I117" s="264"/>
      <c r="J117" s="264"/>
    </row>
    <row r="118" spans="1:10" x14ac:dyDescent="0.2">
      <c r="A118" s="264"/>
      <c r="B118" s="264" t="s">
        <v>688</v>
      </c>
      <c r="C118" s="485">
        <f>C99*180%</f>
        <v>295.2</v>
      </c>
      <c r="D118" s="264" t="s">
        <v>116</v>
      </c>
      <c r="E118" s="503">
        <f>G103</f>
        <v>4.21</v>
      </c>
      <c r="F118" s="504">
        <f>C118*E118</f>
        <v>1242.7919999999999</v>
      </c>
      <c r="G118" s="279">
        <f>C118/25</f>
        <v>11.808</v>
      </c>
      <c r="H118" s="503">
        <f>G118*$I$115</f>
        <v>590.4</v>
      </c>
      <c r="I118" s="264"/>
      <c r="J118" s="264"/>
    </row>
    <row r="119" spans="1:10" x14ac:dyDescent="0.2">
      <c r="A119" s="264"/>
      <c r="B119" s="264" t="s">
        <v>689</v>
      </c>
      <c r="C119" s="264">
        <f>ROUND(C99/200, 0)</f>
        <v>1</v>
      </c>
      <c r="D119" s="264" t="s">
        <v>690</v>
      </c>
      <c r="E119" s="503">
        <v>100</v>
      </c>
      <c r="F119" s="504">
        <f>C119*E119</f>
        <v>100</v>
      </c>
      <c r="G119" s="264"/>
      <c r="H119" s="503">
        <f>G119*$I$115</f>
        <v>0</v>
      </c>
      <c r="I119" s="264"/>
      <c r="J119" s="264"/>
    </row>
    <row r="120" spans="1:10" x14ac:dyDescent="0.2">
      <c r="A120" s="264"/>
      <c r="B120" s="264" t="s">
        <v>404</v>
      </c>
      <c r="C120" s="279">
        <f>C99*66%</f>
        <v>108.24000000000001</v>
      </c>
      <c r="D120" s="264" t="s">
        <v>690</v>
      </c>
      <c r="E120" s="503">
        <v>2</v>
      </c>
      <c r="F120" s="504">
        <f>C120*E120</f>
        <v>216.48000000000002</v>
      </c>
      <c r="G120" s="279">
        <f>C120/6</f>
        <v>18.040000000000003</v>
      </c>
      <c r="H120" s="505">
        <f>G120*$I$115</f>
        <v>902.00000000000011</v>
      </c>
      <c r="I120" s="264"/>
      <c r="J120" s="264"/>
    </row>
    <row r="121" spans="1:10" x14ac:dyDescent="0.2">
      <c r="A121" s="264"/>
      <c r="B121" s="264" t="s">
        <v>691</v>
      </c>
      <c r="C121" s="504">
        <f>F121+H121</f>
        <v>3890.04</v>
      </c>
      <c r="D121" s="264"/>
      <c r="E121" s="111"/>
      <c r="F121" s="504">
        <f>SUM(F115:F120)</f>
        <v>2102.44</v>
      </c>
      <c r="G121" s="264"/>
      <c r="H121" s="503">
        <f>SUM(H116:H120)</f>
        <v>1787.6</v>
      </c>
      <c r="I121" s="440" t="s">
        <v>19</v>
      </c>
      <c r="J121" s="264"/>
    </row>
    <row r="122" spans="1:10" x14ac:dyDescent="0.2">
      <c r="A122" s="264"/>
      <c r="B122" s="264"/>
      <c r="C122" s="506">
        <f>C121/C99</f>
        <v>23.719756097560975</v>
      </c>
      <c r="D122" s="262" t="s">
        <v>591</v>
      </c>
      <c r="E122" s="283" t="s">
        <v>469</v>
      </c>
      <c r="F122" s="112">
        <f>F121/C99</f>
        <v>12.819756097560976</v>
      </c>
      <c r="G122" s="440" t="s">
        <v>692</v>
      </c>
      <c r="H122" s="506">
        <f>H121/C99</f>
        <v>10.899999999999999</v>
      </c>
      <c r="I122" s="112">
        <f>H122/I115</f>
        <v>0.21799999999999997</v>
      </c>
      <c r="J122" s="264"/>
    </row>
    <row r="123" spans="1:10" x14ac:dyDescent="0.2">
      <c r="A123" s="264"/>
      <c r="B123" s="264"/>
      <c r="C123" s="264"/>
      <c r="D123" s="264"/>
      <c r="E123" s="262"/>
      <c r="F123" s="112"/>
      <c r="G123" s="264"/>
      <c r="H123" s="503"/>
      <c r="I123" s="264"/>
      <c r="J123" s="264"/>
    </row>
    <row r="124" spans="1:10" x14ac:dyDescent="0.2">
      <c r="A124" s="264"/>
      <c r="B124" s="264" t="s">
        <v>693</v>
      </c>
      <c r="C124" s="279">
        <f>C99/0.72</f>
        <v>227.7777777777778</v>
      </c>
      <c r="D124" s="264" t="s">
        <v>690</v>
      </c>
      <c r="E124" s="503">
        <f>C105</f>
        <v>0</v>
      </c>
      <c r="F124" s="507">
        <f>C124*E124</f>
        <v>0</v>
      </c>
      <c r="G124" s="508">
        <f>C99/15</f>
        <v>10.933333333333334</v>
      </c>
      <c r="H124" s="504">
        <f>G124*$I$22</f>
        <v>0</v>
      </c>
      <c r="I124" s="264"/>
      <c r="J124" s="264"/>
    </row>
    <row r="125" spans="1:10" x14ac:dyDescent="0.2">
      <c r="A125" s="264"/>
      <c r="B125" s="264" t="s">
        <v>694</v>
      </c>
      <c r="C125" s="504">
        <f>F124+H124</f>
        <v>0</v>
      </c>
      <c r="D125" s="264"/>
      <c r="E125" s="112" t="s">
        <v>29</v>
      </c>
      <c r="I125" s="262"/>
      <c r="J125" s="440" t="s">
        <v>19</v>
      </c>
    </row>
    <row r="126" spans="1:10" x14ac:dyDescent="0.2">
      <c r="A126" s="264"/>
      <c r="B126" s="264"/>
      <c r="C126" s="506">
        <f>C125/C99</f>
        <v>0</v>
      </c>
      <c r="D126" s="264" t="s">
        <v>591</v>
      </c>
      <c r="E126" s="283" t="s">
        <v>469</v>
      </c>
      <c r="F126" s="112">
        <f>F124/C99</f>
        <v>0</v>
      </c>
      <c r="G126" s="440" t="s">
        <v>692</v>
      </c>
      <c r="H126" s="112">
        <f>H124/C99</f>
        <v>0</v>
      </c>
      <c r="I126" s="262" t="s">
        <v>151</v>
      </c>
      <c r="J126" s="509">
        <f>H126/I115</f>
        <v>0</v>
      </c>
    </row>
    <row r="127" spans="1:10" x14ac:dyDescent="0.2">
      <c r="A127" s="264"/>
      <c r="B127" s="264"/>
      <c r="C127" s="504"/>
      <c r="D127" s="264"/>
      <c r="E127" s="111"/>
      <c r="F127" s="264"/>
      <c r="G127" s="319">
        <f>SUM(G116:G124)</f>
        <v>46.685333333333332</v>
      </c>
      <c r="H127" s="112" t="s">
        <v>695</v>
      </c>
      <c r="I127" s="264"/>
      <c r="J127" s="264"/>
    </row>
    <row r="128" spans="1:10" ht="15" x14ac:dyDescent="0.2">
      <c r="A128" s="264"/>
      <c r="B128" s="510" t="s">
        <v>696</v>
      </c>
      <c r="C128" s="511">
        <f>C122+C126</f>
        <v>23.719756097560975</v>
      </c>
      <c r="D128" s="264" t="s">
        <v>591</v>
      </c>
      <c r="E128" s="264"/>
      <c r="F128" s="264"/>
      <c r="I128" s="264"/>
      <c r="J128" s="264"/>
    </row>
    <row r="129" spans="1:10" x14ac:dyDescent="0.2">
      <c r="A129" s="264"/>
      <c r="B129" s="262"/>
      <c r="C129" s="512"/>
      <c r="D129" s="262"/>
      <c r="E129" s="264" t="s">
        <v>469</v>
      </c>
      <c r="F129" s="264"/>
      <c r="I129" s="264"/>
      <c r="J129" s="264"/>
    </row>
    <row r="130" spans="1:10" x14ac:dyDescent="0.2">
      <c r="A130" s="264"/>
      <c r="B130" s="264"/>
      <c r="C130" s="264"/>
      <c r="D130" s="264"/>
      <c r="E130" s="336">
        <f>F124+F121</f>
        <v>2102.44</v>
      </c>
      <c r="H130" s="72" t="s">
        <v>697</v>
      </c>
      <c r="I130" s="264"/>
      <c r="J130" s="264"/>
    </row>
    <row r="131" spans="1:10" ht="15" x14ac:dyDescent="0.25">
      <c r="A131" s="264"/>
      <c r="B131" s="264"/>
      <c r="C131" s="513">
        <f>E131/E136</f>
        <v>0.5404674502061676</v>
      </c>
      <c r="D131" s="277"/>
      <c r="E131" s="514">
        <f>F126+F122</f>
        <v>12.819756097560976</v>
      </c>
      <c r="F131" s="262" t="s">
        <v>151</v>
      </c>
      <c r="H131" s="445">
        <f>E131</f>
        <v>12.819756097560976</v>
      </c>
      <c r="I131" s="264" t="s">
        <v>151</v>
      </c>
      <c r="J131" s="264"/>
    </row>
    <row r="132" spans="1:10" x14ac:dyDescent="0.2">
      <c r="A132" s="264"/>
      <c r="B132" s="264"/>
      <c r="C132" s="264"/>
      <c r="D132" s="264"/>
      <c r="E132" s="264" t="s">
        <v>496</v>
      </c>
      <c r="F132" s="264"/>
      <c r="I132" s="264"/>
      <c r="J132" s="264"/>
    </row>
    <row r="133" spans="1:10" x14ac:dyDescent="0.2">
      <c r="A133" s="264"/>
      <c r="B133" s="264"/>
      <c r="C133" s="264"/>
      <c r="D133" s="264"/>
      <c r="E133" s="59">
        <f>H124+H121</f>
        <v>1787.6</v>
      </c>
      <c r="H133" s="72" t="s">
        <v>698</v>
      </c>
      <c r="I133" s="264"/>
      <c r="J133" s="264"/>
    </row>
    <row r="134" spans="1:10" ht="15" x14ac:dyDescent="0.25">
      <c r="C134" s="513">
        <f>E134/E136</f>
        <v>0.4595325497938324</v>
      </c>
      <c r="E134" s="113">
        <f>H126+H122</f>
        <v>10.899999999999999</v>
      </c>
      <c r="F134" s="308" t="s">
        <v>151</v>
      </c>
      <c r="H134" s="259">
        <v>6.5</v>
      </c>
    </row>
    <row r="135" spans="1:10" x14ac:dyDescent="0.2">
      <c r="D135" s="72" t="s">
        <v>699</v>
      </c>
    </row>
    <row r="136" spans="1:10" ht="13.5" thickBot="1" x14ac:dyDescent="0.25">
      <c r="E136" s="515">
        <f>E131+E134</f>
        <v>23.719756097560975</v>
      </c>
    </row>
    <row r="137" spans="1:10" ht="13.5" thickTop="1" x14ac:dyDescent="0.2">
      <c r="C137" s="72"/>
      <c r="D137" s="414" t="s">
        <v>700</v>
      </c>
      <c r="E137">
        <v>24</v>
      </c>
      <c r="H137" s="259">
        <f>H131+H134</f>
        <v>19.319756097560976</v>
      </c>
    </row>
    <row r="138" spans="1:10" x14ac:dyDescent="0.2">
      <c r="H138" s="259">
        <f>E137-H137</f>
        <v>4.6802439024390239</v>
      </c>
      <c r="I138" t="s">
        <v>701</v>
      </c>
    </row>
    <row r="139" spans="1:10" ht="15" x14ac:dyDescent="0.25">
      <c r="D139" t="s">
        <v>582</v>
      </c>
      <c r="E139" s="259">
        <f>E136*0.04</f>
        <v>0.94879024390243905</v>
      </c>
      <c r="H139" s="516">
        <f>H138*C99</f>
        <v>767.56</v>
      </c>
      <c r="I139" s="308" t="s">
        <v>702</v>
      </c>
      <c r="J139" s="285"/>
    </row>
    <row r="140" spans="1:10" x14ac:dyDescent="0.2">
      <c r="B140" s="72"/>
      <c r="D140" t="s">
        <v>703</v>
      </c>
      <c r="E140" s="259">
        <f>E136*0.02</f>
        <v>0.47439512195121952</v>
      </c>
    </row>
    <row r="141" spans="1:10" x14ac:dyDescent="0.2">
      <c r="D141" t="s">
        <v>11</v>
      </c>
      <c r="E141" s="259">
        <f>E136*0.1</f>
        <v>2.3719756097560976</v>
      </c>
    </row>
    <row r="142" spans="1:10" ht="15" x14ac:dyDescent="0.25">
      <c r="E142" s="514">
        <f>SUM(E136:E141)</f>
        <v>51.514917073170729</v>
      </c>
    </row>
    <row r="168" spans="5:10" x14ac:dyDescent="0.2">
      <c r="F168" s="308" t="s">
        <v>452</v>
      </c>
      <c r="H168" s="308" t="s">
        <v>453</v>
      </c>
      <c r="I168" s="264"/>
      <c r="J168" s="264"/>
    </row>
    <row r="169" spans="5:10" x14ac:dyDescent="0.2">
      <c r="F169" s="72" t="s">
        <v>454</v>
      </c>
      <c r="H169" s="309">
        <v>52</v>
      </c>
      <c r="I169" s="264"/>
      <c r="J169" s="264"/>
    </row>
    <row r="170" spans="5:10" x14ac:dyDescent="0.2">
      <c r="E170" s="72" t="s">
        <v>480</v>
      </c>
      <c r="F170" s="72" t="s">
        <v>455</v>
      </c>
      <c r="G170" s="310">
        <v>57</v>
      </c>
      <c r="H170" t="s">
        <v>456</v>
      </c>
    </row>
    <row r="171" spans="5:10" ht="15" x14ac:dyDescent="0.25">
      <c r="F171" t="s">
        <v>457</v>
      </c>
      <c r="G171" s="311">
        <v>28</v>
      </c>
      <c r="I171">
        <v>0.2</v>
      </c>
      <c r="J171" t="s">
        <v>458</v>
      </c>
    </row>
    <row r="172" spans="5:10" x14ac:dyDescent="0.2">
      <c r="H172" t="s">
        <v>459</v>
      </c>
      <c r="I172" s="271">
        <v>1.2</v>
      </c>
    </row>
    <row r="173" spans="5:10" x14ac:dyDescent="0.2">
      <c r="F173" s="264"/>
      <c r="G173" s="264"/>
      <c r="H173" t="s">
        <v>460</v>
      </c>
      <c r="I173" s="271">
        <v>2.4</v>
      </c>
    </row>
    <row r="174" spans="5:10" x14ac:dyDescent="0.2">
      <c r="F174" s="264"/>
      <c r="G174" s="264"/>
      <c r="I174">
        <f>I172/I171</f>
        <v>5.9999999999999991</v>
      </c>
    </row>
    <row r="175" spans="5:10" x14ac:dyDescent="0.2">
      <c r="F175" s="264"/>
      <c r="G175" s="264"/>
      <c r="H175" t="s">
        <v>461</v>
      </c>
      <c r="I175">
        <f>I174*I173</f>
        <v>14.399999999999997</v>
      </c>
    </row>
    <row r="176" spans="5:10" x14ac:dyDescent="0.2">
      <c r="F176" s="308" t="s">
        <v>462</v>
      </c>
      <c r="H176" s="264"/>
      <c r="J176" s="264"/>
    </row>
    <row r="177" spans="6:10" x14ac:dyDescent="0.2">
      <c r="F177" t="s">
        <v>463</v>
      </c>
      <c r="I177" s="264"/>
      <c r="J177" s="264"/>
    </row>
    <row r="178" spans="6:10" ht="15" x14ac:dyDescent="0.25">
      <c r="G178" s="301">
        <f>ROUNDUP(SUM(G171/I175),0)</f>
        <v>2</v>
      </c>
      <c r="I178" s="264"/>
      <c r="J178" s="264"/>
    </row>
    <row r="179" spans="6:10" ht="15" x14ac:dyDescent="0.25">
      <c r="F179" s="72" t="s">
        <v>464</v>
      </c>
      <c r="G179" s="308">
        <f>G178*G170</f>
        <v>114</v>
      </c>
      <c r="I179" s="264"/>
      <c r="J179" s="285"/>
    </row>
    <row r="180" spans="6:10" x14ac:dyDescent="0.2">
      <c r="F180" s="72"/>
      <c r="G180" s="308"/>
      <c r="I180" s="264"/>
      <c r="J180" s="264"/>
    </row>
    <row r="181" spans="6:10" x14ac:dyDescent="0.2">
      <c r="F181" s="72" t="s">
        <v>465</v>
      </c>
      <c r="G181" s="259">
        <f>G179/G171</f>
        <v>4.0714285714285712</v>
      </c>
      <c r="J181" s="264"/>
    </row>
    <row r="182" spans="6:10" x14ac:dyDescent="0.2">
      <c r="G182" s="259"/>
    </row>
    <row r="183" spans="6:10" x14ac:dyDescent="0.2">
      <c r="F183" s="72" t="s">
        <v>466</v>
      </c>
      <c r="G183" s="259">
        <v>1.3</v>
      </c>
      <c r="I183" s="264"/>
    </row>
    <row r="184" spans="6:10" x14ac:dyDescent="0.2">
      <c r="F184" s="72" t="s">
        <v>467</v>
      </c>
      <c r="G184" s="312">
        <v>1</v>
      </c>
      <c r="I184" s="264"/>
    </row>
    <row r="185" spans="6:10" x14ac:dyDescent="0.2">
      <c r="G185" s="259">
        <f>SUM(G181:G184)</f>
        <v>6.371428571428571</v>
      </c>
    </row>
    <row r="186" spans="6:10" x14ac:dyDescent="0.2">
      <c r="F186" s="72" t="s">
        <v>468</v>
      </c>
      <c r="G186" s="312">
        <f>G185*0.1</f>
        <v>0.63714285714285712</v>
      </c>
      <c r="I186" s="72" t="s">
        <v>469</v>
      </c>
    </row>
    <row r="187" spans="6:10" x14ac:dyDescent="0.2">
      <c r="F187" s="72" t="s">
        <v>470</v>
      </c>
      <c r="G187" s="313">
        <f>SUM(G185:G186)</f>
        <v>7.008571428571428</v>
      </c>
      <c r="I187" s="111">
        <f>G187</f>
        <v>7.008571428571428</v>
      </c>
    </row>
    <row r="188" spans="6:10" x14ac:dyDescent="0.2">
      <c r="F188" s="314" t="s">
        <v>471</v>
      </c>
      <c r="G188" s="259"/>
      <c r="I188" s="259"/>
    </row>
    <row r="189" spans="6:10" x14ac:dyDescent="0.2">
      <c r="F189" s="72" t="s">
        <v>472</v>
      </c>
      <c r="G189" s="259"/>
      <c r="H189" s="72" t="s">
        <v>473</v>
      </c>
    </row>
    <row r="190" spans="6:10" x14ac:dyDescent="0.2">
      <c r="F190">
        <v>10</v>
      </c>
      <c r="G190" s="264"/>
      <c r="H190" s="259">
        <f>I190*H169</f>
        <v>8.6666666666666661</v>
      </c>
      <c r="I190" s="259">
        <f>F190/60</f>
        <v>0.16666666666666666</v>
      </c>
    </row>
    <row r="191" spans="6:10" x14ac:dyDescent="0.2">
      <c r="F191" s="72" t="s">
        <v>474</v>
      </c>
      <c r="G191" s="259"/>
      <c r="H191">
        <f>G171/I173</f>
        <v>11.666666666666668</v>
      </c>
      <c r="I191" s="259"/>
    </row>
    <row r="192" spans="6:10" x14ac:dyDescent="0.2">
      <c r="F192" s="264"/>
      <c r="G192" s="264"/>
      <c r="H192" s="111">
        <f>H190*H191</f>
        <v>101.11111111111111</v>
      </c>
      <c r="I192" s="264"/>
    </row>
    <row r="193" spans="5:11" x14ac:dyDescent="0.2">
      <c r="F193" s="264" t="s">
        <v>475</v>
      </c>
      <c r="G193" s="111">
        <f>H192/G171</f>
        <v>3.6111111111111112</v>
      </c>
      <c r="H193" s="264"/>
      <c r="I193" s="264"/>
    </row>
    <row r="194" spans="5:11" x14ac:dyDescent="0.2">
      <c r="F194" s="72" t="s">
        <v>476</v>
      </c>
      <c r="G194" s="259"/>
      <c r="I194" s="264"/>
    </row>
    <row r="195" spans="5:11" x14ac:dyDescent="0.2">
      <c r="F195" s="72" t="s">
        <v>477</v>
      </c>
      <c r="G195" s="259"/>
      <c r="I195" s="72" t="s">
        <v>471</v>
      </c>
      <c r="J195" s="264"/>
    </row>
    <row r="196" spans="5:11" x14ac:dyDescent="0.2">
      <c r="F196" s="72">
        <v>0.16</v>
      </c>
      <c r="G196" s="259">
        <f>F196*H169</f>
        <v>8.32</v>
      </c>
      <c r="I196" s="259">
        <f>G196+G193</f>
        <v>11.931111111111111</v>
      </c>
      <c r="J196" s="264"/>
      <c r="K196" s="259"/>
    </row>
    <row r="197" spans="5:11" ht="15.75" thickBot="1" x14ac:dyDescent="0.3">
      <c r="F197" s="308" t="s">
        <v>34</v>
      </c>
      <c r="G197" s="315">
        <f>SUM(G187:G196)</f>
        <v>18.93968253968254</v>
      </c>
      <c r="H197" s="308" t="s">
        <v>478</v>
      </c>
      <c r="I197" s="113">
        <f>SUM(I196*G171)/H169</f>
        <v>6.4244444444444451</v>
      </c>
      <c r="J197" s="285" t="s">
        <v>479</v>
      </c>
      <c r="K197" s="259"/>
    </row>
    <row r="198" spans="5:11" x14ac:dyDescent="0.2">
      <c r="F198" s="72"/>
      <c r="G198" s="312"/>
      <c r="K198" s="259"/>
    </row>
    <row r="199" spans="5:11" x14ac:dyDescent="0.2">
      <c r="F199" s="72" t="s">
        <v>481</v>
      </c>
      <c r="G199">
        <v>2.5</v>
      </c>
    </row>
    <row r="200" spans="5:11" x14ac:dyDescent="0.2">
      <c r="G200" s="259">
        <f>SUM(G197,G199)</f>
        <v>21.43968253968254</v>
      </c>
    </row>
    <row r="204" spans="5:11" x14ac:dyDescent="0.2">
      <c r="F204" s="308" t="s">
        <v>452</v>
      </c>
      <c r="H204" s="308" t="s">
        <v>453</v>
      </c>
      <c r="I204" s="264"/>
      <c r="J204" s="264"/>
    </row>
    <row r="205" spans="5:11" x14ac:dyDescent="0.2">
      <c r="F205" s="72" t="s">
        <v>454</v>
      </c>
      <c r="H205" s="309">
        <v>52</v>
      </c>
      <c r="I205" s="264"/>
      <c r="J205" s="264"/>
    </row>
    <row r="206" spans="5:11" x14ac:dyDescent="0.2">
      <c r="E206" s="72" t="s">
        <v>480</v>
      </c>
      <c r="F206" s="72" t="s">
        <v>455</v>
      </c>
      <c r="G206" s="310">
        <v>57</v>
      </c>
      <c r="H206" t="s">
        <v>456</v>
      </c>
    </row>
    <row r="207" spans="5:11" ht="15" x14ac:dyDescent="0.25">
      <c r="F207" t="s">
        <v>457</v>
      </c>
      <c r="G207" s="311">
        <v>26</v>
      </c>
      <c r="I207">
        <v>0.1</v>
      </c>
      <c r="J207" t="s">
        <v>458</v>
      </c>
    </row>
    <row r="208" spans="5:11" x14ac:dyDescent="0.2">
      <c r="H208" t="s">
        <v>459</v>
      </c>
      <c r="I208" s="271">
        <v>1.2</v>
      </c>
    </row>
    <row r="209" spans="6:10" x14ac:dyDescent="0.2">
      <c r="F209" s="264"/>
      <c r="G209" s="264"/>
      <c r="H209" t="s">
        <v>460</v>
      </c>
      <c r="I209" s="271">
        <v>2.4</v>
      </c>
    </row>
    <row r="210" spans="6:10" x14ac:dyDescent="0.2">
      <c r="F210" s="264"/>
      <c r="G210" s="264"/>
      <c r="I210">
        <f>I208/I207</f>
        <v>11.999999999999998</v>
      </c>
    </row>
    <row r="211" spans="6:10" x14ac:dyDescent="0.2">
      <c r="F211" s="264"/>
      <c r="G211" s="264"/>
      <c r="H211" t="s">
        <v>461</v>
      </c>
      <c r="I211">
        <f>I210*I209</f>
        <v>28.799999999999994</v>
      </c>
    </row>
    <row r="212" spans="6:10" x14ac:dyDescent="0.2">
      <c r="F212" s="308" t="s">
        <v>462</v>
      </c>
      <c r="H212" s="264"/>
      <c r="J212" s="264"/>
    </row>
    <row r="213" spans="6:10" x14ac:dyDescent="0.2">
      <c r="F213" t="s">
        <v>463</v>
      </c>
      <c r="I213" s="264"/>
      <c r="J213" s="264"/>
    </row>
    <row r="214" spans="6:10" ht="15" x14ac:dyDescent="0.25">
      <c r="G214" s="301">
        <f>ROUNDUP(SUM(G207/I211),0)</f>
        <v>1</v>
      </c>
      <c r="I214" s="264"/>
      <c r="J214" s="264"/>
    </row>
    <row r="215" spans="6:10" ht="15" x14ac:dyDescent="0.25">
      <c r="F215" s="72" t="s">
        <v>464</v>
      </c>
      <c r="G215" s="308">
        <f>G214*G206</f>
        <v>57</v>
      </c>
      <c r="I215" s="264"/>
      <c r="J215" s="285"/>
    </row>
    <row r="216" spans="6:10" x14ac:dyDescent="0.2">
      <c r="F216" s="72"/>
      <c r="G216" s="308"/>
      <c r="I216" s="264"/>
      <c r="J216" s="264"/>
    </row>
    <row r="217" spans="6:10" x14ac:dyDescent="0.2">
      <c r="F217" s="72" t="s">
        <v>465</v>
      </c>
      <c r="G217" s="259">
        <f>G215/G207</f>
        <v>2.1923076923076925</v>
      </c>
      <c r="J217" s="264"/>
    </row>
    <row r="218" spans="6:10" x14ac:dyDescent="0.2">
      <c r="G218" s="259"/>
    </row>
    <row r="219" spans="6:10" x14ac:dyDescent="0.2">
      <c r="F219" s="72" t="s">
        <v>466</v>
      </c>
      <c r="G219" s="259">
        <v>1.3</v>
      </c>
      <c r="I219" s="264"/>
    </row>
    <row r="220" spans="6:10" x14ac:dyDescent="0.2">
      <c r="F220" s="72" t="s">
        <v>467</v>
      </c>
      <c r="G220" s="312">
        <v>1</v>
      </c>
      <c r="I220" s="264"/>
    </row>
    <row r="221" spans="6:10" x14ac:dyDescent="0.2">
      <c r="G221" s="259">
        <f>SUM(G217:G220)</f>
        <v>4.4923076923076923</v>
      </c>
    </row>
    <row r="222" spans="6:10" x14ac:dyDescent="0.2">
      <c r="F222" s="72" t="s">
        <v>468</v>
      </c>
      <c r="G222" s="312">
        <f>G221*0.1</f>
        <v>0.44923076923076927</v>
      </c>
      <c r="I222" s="72" t="s">
        <v>469</v>
      </c>
    </row>
    <row r="223" spans="6:10" x14ac:dyDescent="0.2">
      <c r="F223" s="72" t="s">
        <v>470</v>
      </c>
      <c r="G223" s="313">
        <f>SUM(G221:G222)</f>
        <v>4.9415384615384612</v>
      </c>
      <c r="I223" s="111">
        <f>G223</f>
        <v>4.9415384615384612</v>
      </c>
    </row>
    <row r="224" spans="6:10" x14ac:dyDescent="0.2">
      <c r="F224" s="314" t="s">
        <v>471</v>
      </c>
      <c r="G224" s="259"/>
      <c r="I224" s="259"/>
    </row>
    <row r="225" spans="2:10" x14ac:dyDescent="0.2">
      <c r="F225" s="72" t="s">
        <v>472</v>
      </c>
      <c r="G225" s="259"/>
      <c r="H225" s="72" t="s">
        <v>473</v>
      </c>
    </row>
    <row r="226" spans="2:10" x14ac:dyDescent="0.2">
      <c r="F226">
        <v>10</v>
      </c>
      <c r="G226" s="264"/>
      <c r="H226" s="259">
        <f>I226*H205</f>
        <v>8.6666666666666661</v>
      </c>
      <c r="I226" s="259">
        <f>F226/60</f>
        <v>0.16666666666666666</v>
      </c>
    </row>
    <row r="227" spans="2:10" x14ac:dyDescent="0.2">
      <c r="F227" s="72" t="s">
        <v>474</v>
      </c>
      <c r="G227" s="259"/>
      <c r="H227">
        <f>G207/I209</f>
        <v>10.833333333333334</v>
      </c>
      <c r="I227" s="259"/>
    </row>
    <row r="228" spans="2:10" x14ac:dyDescent="0.2">
      <c r="F228" s="264"/>
      <c r="G228" s="264"/>
      <c r="H228" s="111">
        <f>H226*H227</f>
        <v>93.888888888888886</v>
      </c>
      <c r="I228" s="264"/>
    </row>
    <row r="229" spans="2:10" x14ac:dyDescent="0.2">
      <c r="F229" s="264" t="s">
        <v>475</v>
      </c>
      <c r="G229" s="111">
        <f>H228/G207</f>
        <v>3.6111111111111112</v>
      </c>
      <c r="H229" s="264"/>
      <c r="I229" s="264"/>
    </row>
    <row r="230" spans="2:10" x14ac:dyDescent="0.2">
      <c r="F230" s="72" t="s">
        <v>476</v>
      </c>
      <c r="G230" s="259"/>
      <c r="I230" s="264"/>
    </row>
    <row r="231" spans="2:10" x14ac:dyDescent="0.2">
      <c r="F231" s="72" t="s">
        <v>477</v>
      </c>
      <c r="G231" s="259"/>
      <c r="I231" s="72" t="s">
        <v>471</v>
      </c>
      <c r="J231" s="264"/>
    </row>
    <row r="232" spans="2:10" x14ac:dyDescent="0.2">
      <c r="F232" s="72">
        <v>0.16</v>
      </c>
      <c r="G232" s="259">
        <f>F232*H205</f>
        <v>8.32</v>
      </c>
      <c r="I232" s="259">
        <f>G232+G229</f>
        <v>11.931111111111111</v>
      </c>
      <c r="J232" s="264"/>
    </row>
    <row r="233" spans="2:10" ht="15.75" thickBot="1" x14ac:dyDescent="0.3">
      <c r="F233" s="308" t="s">
        <v>34</v>
      </c>
      <c r="G233" s="315">
        <f>SUM(G223:G232)</f>
        <v>16.872649572649571</v>
      </c>
      <c r="H233" s="308" t="s">
        <v>478</v>
      </c>
      <c r="I233" s="113">
        <f>SUM(I232*G207)/H205</f>
        <v>5.9655555555555555</v>
      </c>
      <c r="J233" s="285" t="s">
        <v>479</v>
      </c>
    </row>
    <row r="234" spans="2:10" x14ac:dyDescent="0.2">
      <c r="F234" s="72"/>
      <c r="G234" s="312"/>
    </row>
    <row r="235" spans="2:10" x14ac:dyDescent="0.2">
      <c r="F235" s="72" t="s">
        <v>481</v>
      </c>
      <c r="G235">
        <v>2.5</v>
      </c>
    </row>
    <row r="236" spans="2:10" x14ac:dyDescent="0.2">
      <c r="G236" s="259">
        <f>SUM(G233,G235)</f>
        <v>19.372649572649571</v>
      </c>
    </row>
    <row r="239" spans="2:10" x14ac:dyDescent="0.2">
      <c r="B239" s="346"/>
      <c r="C239" s="346"/>
      <c r="D239" s="345"/>
      <c r="E239" s="346"/>
      <c r="F239" s="346"/>
      <c r="G239" s="346"/>
      <c r="H239" s="518"/>
      <c r="I239" s="346"/>
      <c r="J239" s="346"/>
    </row>
    <row r="240" spans="2:10" x14ac:dyDescent="0.2">
      <c r="B240" s="346"/>
      <c r="C240" s="322"/>
      <c r="D240" s="323" t="s">
        <v>718</v>
      </c>
      <c r="E240" s="324"/>
      <c r="F240" s="325"/>
      <c r="G240" s="326"/>
      <c r="H240" s="327"/>
      <c r="I240" s="264"/>
      <c r="J240" s="264" t="s">
        <v>454</v>
      </c>
    </row>
    <row r="241" spans="2:10" x14ac:dyDescent="0.2">
      <c r="B241" s="346"/>
      <c r="C241" s="328"/>
      <c r="D241" s="329" t="s">
        <v>492</v>
      </c>
      <c r="E241" s="330"/>
      <c r="F241" s="331"/>
      <c r="G241" s="332"/>
      <c r="H241" s="333">
        <v>45</v>
      </c>
      <c r="I241" s="264"/>
      <c r="J241" s="264"/>
    </row>
    <row r="242" spans="2:10" ht="25.5" x14ac:dyDescent="0.2">
      <c r="B242" s="346"/>
      <c r="C242" s="334"/>
      <c r="D242" s="329" t="s">
        <v>719</v>
      </c>
      <c r="E242" s="335">
        <f>SUM(E243:E244)</f>
        <v>6</v>
      </c>
      <c r="F242" s="331" t="s">
        <v>116</v>
      </c>
      <c r="G242" s="332">
        <v>5.23</v>
      </c>
      <c r="H242" s="333">
        <f>+E242*G242</f>
        <v>31.380000000000003</v>
      </c>
      <c r="I242" s="264"/>
      <c r="J242" s="336">
        <f>SUM(H241:H247)</f>
        <v>86.38</v>
      </c>
    </row>
    <row r="243" spans="2:10" ht="25.5" x14ac:dyDescent="0.2">
      <c r="B243" s="346"/>
      <c r="C243" s="334"/>
      <c r="D243" s="329" t="s">
        <v>494</v>
      </c>
      <c r="E243" s="337">
        <v>1.5</v>
      </c>
      <c r="F243" s="331"/>
      <c r="G243" s="332"/>
      <c r="H243" s="333"/>
      <c r="I243" s="264"/>
      <c r="J243" s="336"/>
    </row>
    <row r="244" spans="2:10" ht="38.25" x14ac:dyDescent="0.2">
      <c r="B244" s="346"/>
      <c r="C244" s="334"/>
      <c r="D244" s="329" t="s">
        <v>495</v>
      </c>
      <c r="E244" s="335">
        <f>SUM(E243*1.5)*2</f>
        <v>4.5</v>
      </c>
      <c r="F244" s="331"/>
      <c r="G244" s="332"/>
      <c r="H244" s="333"/>
      <c r="I244" s="264"/>
      <c r="J244" s="336"/>
    </row>
    <row r="245" spans="2:10" x14ac:dyDescent="0.2">
      <c r="B245" s="346"/>
      <c r="C245" s="334"/>
      <c r="D245" s="329"/>
      <c r="E245" s="335"/>
      <c r="F245" s="331"/>
      <c r="G245" s="332"/>
      <c r="H245" s="333"/>
      <c r="I245" s="264"/>
      <c r="J245" s="336"/>
    </row>
    <row r="246" spans="2:10" x14ac:dyDescent="0.2">
      <c r="B246" s="346"/>
      <c r="C246" s="334"/>
      <c r="D246" s="329"/>
      <c r="E246" s="335"/>
      <c r="F246" s="331"/>
      <c r="G246" s="332"/>
      <c r="H246" s="333"/>
      <c r="I246" s="264"/>
      <c r="J246" s="336"/>
    </row>
    <row r="247" spans="2:10" x14ac:dyDescent="0.2">
      <c r="B247" s="346"/>
      <c r="C247" s="328"/>
      <c r="D247" s="329" t="s">
        <v>404</v>
      </c>
      <c r="E247" s="330"/>
      <c r="F247" s="331"/>
      <c r="G247" s="332"/>
      <c r="H247" s="333">
        <v>10</v>
      </c>
      <c r="I247" s="264"/>
      <c r="J247" s="264" t="s">
        <v>496</v>
      </c>
    </row>
    <row r="248" spans="2:10" x14ac:dyDescent="0.2">
      <c r="B248" s="346"/>
      <c r="C248" s="328"/>
      <c r="D248" s="329" t="s">
        <v>497</v>
      </c>
      <c r="E248" s="338">
        <v>1</v>
      </c>
      <c r="F248" s="331" t="s">
        <v>498</v>
      </c>
      <c r="G248" s="332">
        <v>52</v>
      </c>
      <c r="H248" s="333">
        <f>+E248*G248</f>
        <v>52</v>
      </c>
      <c r="I248" s="264"/>
      <c r="J248" s="336">
        <f>H248</f>
        <v>52</v>
      </c>
    </row>
    <row r="249" spans="2:10" x14ac:dyDescent="0.2">
      <c r="B249" s="346"/>
      <c r="C249" s="339"/>
      <c r="D249" s="340"/>
      <c r="E249" s="341"/>
      <c r="F249" s="342"/>
      <c r="G249" s="343"/>
      <c r="H249" s="344">
        <f>SUM(H241:H248)</f>
        <v>138.38</v>
      </c>
      <c r="I249" s="264"/>
      <c r="J249" s="264"/>
    </row>
    <row r="250" spans="2:10" x14ac:dyDescent="0.2">
      <c r="B250" s="346"/>
      <c r="C250" s="346"/>
      <c r="D250" s="345"/>
      <c r="E250" s="346"/>
      <c r="F250" s="346"/>
      <c r="G250" s="346"/>
      <c r="H250" s="346"/>
      <c r="I250" s="346"/>
      <c r="J250" s="346"/>
    </row>
    <row r="251" spans="2:10" x14ac:dyDescent="0.2">
      <c r="B251" s="346"/>
      <c r="C251" s="346"/>
      <c r="D251" s="345"/>
      <c r="E251" s="346"/>
      <c r="F251" s="346"/>
      <c r="G251" s="346"/>
      <c r="H251" s="346"/>
      <c r="I251" s="346"/>
      <c r="J251" s="346"/>
    </row>
    <row r="254" spans="2:10" x14ac:dyDescent="0.2">
      <c r="C254" s="72" t="s">
        <v>722</v>
      </c>
      <c r="D254">
        <v>1.5</v>
      </c>
      <c r="E254" s="72" t="s">
        <v>116</v>
      </c>
      <c r="F254" s="203">
        <v>15</v>
      </c>
    </row>
    <row r="255" spans="2:10" x14ac:dyDescent="0.2">
      <c r="C255" s="72" t="s">
        <v>723</v>
      </c>
      <c r="D255">
        <v>2</v>
      </c>
      <c r="E255" s="72" t="s">
        <v>148</v>
      </c>
      <c r="F255" s="203">
        <v>10</v>
      </c>
    </row>
    <row r="256" spans="2:10" x14ac:dyDescent="0.2">
      <c r="C256" s="72" t="s">
        <v>404</v>
      </c>
      <c r="D256">
        <v>3</v>
      </c>
      <c r="E256" s="72" t="s">
        <v>148</v>
      </c>
      <c r="F256" s="203">
        <v>1.75</v>
      </c>
    </row>
    <row r="257" spans="3:21" x14ac:dyDescent="0.2">
      <c r="C257" s="418" t="s">
        <v>724</v>
      </c>
      <c r="D257" s="216">
        <v>3</v>
      </c>
      <c r="E257" s="418" t="s">
        <v>148</v>
      </c>
      <c r="F257" s="216">
        <v>100</v>
      </c>
      <c r="G257" s="216"/>
    </row>
    <row r="258" spans="3:21" x14ac:dyDescent="0.2">
      <c r="F258" s="203">
        <f>SUM(F254:F257)</f>
        <v>126.75</v>
      </c>
    </row>
    <row r="266" spans="3:21" x14ac:dyDescent="0.2">
      <c r="R266" s="255" t="s">
        <v>382</v>
      </c>
      <c r="S266" s="255"/>
      <c r="T266" s="205" t="s">
        <v>383</v>
      </c>
      <c r="U266" s="256"/>
    </row>
    <row r="267" spans="3:21" x14ac:dyDescent="0.2">
      <c r="R267" s="255" t="s">
        <v>384</v>
      </c>
      <c r="S267" s="255" t="s">
        <v>385</v>
      </c>
      <c r="T267" s="205" t="s">
        <v>384</v>
      </c>
      <c r="U267" s="205" t="s">
        <v>385</v>
      </c>
    </row>
    <row r="268" spans="3:21" x14ac:dyDescent="0.2">
      <c r="O268" s="72" t="s">
        <v>380</v>
      </c>
      <c r="P268" s="72"/>
      <c r="R268" s="203"/>
      <c r="S268" s="203"/>
      <c r="T268" s="203">
        <v>10.17</v>
      </c>
      <c r="U268" s="203"/>
    </row>
    <row r="269" spans="3:21" x14ac:dyDescent="0.2">
      <c r="O269" s="72" t="s">
        <v>386</v>
      </c>
      <c r="P269" s="72" t="s">
        <v>527</v>
      </c>
      <c r="R269" s="203"/>
      <c r="S269" s="203"/>
      <c r="T269" s="203">
        <v>11.4</v>
      </c>
      <c r="U269" s="203"/>
    </row>
    <row r="270" spans="3:21" x14ac:dyDescent="0.2">
      <c r="O270" s="72" t="s">
        <v>451</v>
      </c>
      <c r="P270" s="72"/>
      <c r="R270" s="203"/>
      <c r="S270" s="203"/>
      <c r="T270" s="203">
        <v>6.13</v>
      </c>
      <c r="U270" s="203"/>
    </row>
    <row r="271" spans="3:21" x14ac:dyDescent="0.2">
      <c r="O271" s="72" t="s">
        <v>381</v>
      </c>
      <c r="P271" s="72" t="s">
        <v>526</v>
      </c>
      <c r="R271" s="203"/>
      <c r="S271" s="203"/>
      <c r="T271" s="203">
        <v>5.23</v>
      </c>
      <c r="U271" s="203"/>
    </row>
    <row r="272" spans="3:21" x14ac:dyDescent="0.2">
      <c r="O272" s="72" t="s">
        <v>446</v>
      </c>
      <c r="P272" s="72" t="s">
        <v>527</v>
      </c>
      <c r="R272" s="203"/>
      <c r="S272" s="203"/>
      <c r="T272" s="203">
        <v>5.23</v>
      </c>
      <c r="U272" s="203"/>
    </row>
    <row r="273" spans="3:21" x14ac:dyDescent="0.2">
      <c r="O273" s="72" t="s">
        <v>442</v>
      </c>
      <c r="R273" s="203"/>
      <c r="S273" s="203"/>
      <c r="T273" s="203">
        <v>8.48</v>
      </c>
      <c r="U273" s="203"/>
    </row>
    <row r="274" spans="3:21" x14ac:dyDescent="0.2">
      <c r="O274" s="72" t="s">
        <v>449</v>
      </c>
      <c r="R274" s="203"/>
      <c r="S274" s="203"/>
      <c r="T274" s="203">
        <v>5.67</v>
      </c>
      <c r="U274" s="203"/>
    </row>
    <row r="275" spans="3:21" x14ac:dyDescent="0.2">
      <c r="O275" s="72" t="s">
        <v>443</v>
      </c>
      <c r="R275" s="203"/>
      <c r="S275" s="203"/>
      <c r="T275" s="203">
        <v>6.5</v>
      </c>
      <c r="U275" s="203"/>
    </row>
    <row r="276" spans="3:21" x14ac:dyDescent="0.2">
      <c r="O276" s="72" t="s">
        <v>266</v>
      </c>
      <c r="R276" s="203"/>
      <c r="S276" s="203"/>
      <c r="T276" s="203">
        <v>2.89</v>
      </c>
      <c r="U276" s="203"/>
    </row>
    <row r="277" spans="3:21" x14ac:dyDescent="0.2">
      <c r="O277" s="72" t="s">
        <v>389</v>
      </c>
      <c r="R277" s="203"/>
      <c r="S277" s="203"/>
      <c r="T277" s="203">
        <v>4.71</v>
      </c>
      <c r="U277" s="203"/>
    </row>
    <row r="278" spans="3:21" x14ac:dyDescent="0.2">
      <c r="O278" s="72" t="s">
        <v>274</v>
      </c>
      <c r="R278" s="203"/>
      <c r="S278" s="203"/>
      <c r="T278" s="203">
        <v>4.8499999999999996</v>
      </c>
      <c r="U278" s="203"/>
    </row>
    <row r="279" spans="3:21" x14ac:dyDescent="0.2">
      <c r="O279" s="72" t="s">
        <v>346</v>
      </c>
      <c r="R279" s="203"/>
      <c r="S279" s="203"/>
      <c r="T279" s="203">
        <v>4.8499999999999996</v>
      </c>
      <c r="U279" s="203"/>
    </row>
    <row r="280" spans="3:21" x14ac:dyDescent="0.2">
      <c r="O280" s="72" t="s">
        <v>387</v>
      </c>
      <c r="Q280" s="203">
        <v>3.8</v>
      </c>
      <c r="R280" s="203"/>
      <c r="S280" s="203"/>
      <c r="T280" s="203"/>
      <c r="U280" s="203"/>
    </row>
    <row r="281" spans="3:21" x14ac:dyDescent="0.2">
      <c r="O281" s="72" t="s">
        <v>388</v>
      </c>
      <c r="Q281" s="203">
        <v>1.7</v>
      </c>
      <c r="R281" s="203"/>
      <c r="S281" s="203"/>
      <c r="T281" s="203"/>
      <c r="U281" s="203"/>
    </row>
    <row r="284" spans="3:21" x14ac:dyDescent="0.2">
      <c r="C284" s="209" t="s">
        <v>734</v>
      </c>
      <c r="D284" s="210">
        <v>1</v>
      </c>
      <c r="E284" s="211" t="s">
        <v>267</v>
      </c>
      <c r="F284" s="212">
        <v>1</v>
      </c>
      <c r="G284" s="213" t="s">
        <v>269</v>
      </c>
      <c r="H284" s="214">
        <f>'Suspended Ceilings'!H11</f>
        <v>50</v>
      </c>
      <c r="I284" s="215"/>
      <c r="J284" s="215"/>
      <c r="K284" s="215"/>
      <c r="L284" s="215"/>
      <c r="M284" s="215"/>
      <c r="N284" s="215"/>
      <c r="P284" s="72"/>
      <c r="Q284" s="72"/>
      <c r="R284" s="72"/>
    </row>
    <row r="285" spans="3:21" x14ac:dyDescent="0.2">
      <c r="P285" s="72" t="s">
        <v>282</v>
      </c>
      <c r="Q285" s="72" t="s">
        <v>283</v>
      </c>
      <c r="R285" s="72"/>
      <c r="S285" s="72" t="s">
        <v>284</v>
      </c>
    </row>
    <row r="286" spans="3:21" x14ac:dyDescent="0.2">
      <c r="P286" s="72"/>
      <c r="Q286" s="72">
        <v>1.05</v>
      </c>
      <c r="R286" s="72"/>
      <c r="S286" s="72"/>
    </row>
    <row r="287" spans="3:21" x14ac:dyDescent="0.2">
      <c r="C287" s="72" t="s">
        <v>735</v>
      </c>
      <c r="D287" s="207">
        <f>D284*2</f>
        <v>2</v>
      </c>
      <c r="E287" s="195" t="s">
        <v>116</v>
      </c>
      <c r="F287" s="134">
        <v>0.15</v>
      </c>
      <c r="G287" s="134">
        <f>D287*F287</f>
        <v>0.3</v>
      </c>
      <c r="H287" s="134">
        <f>$H$284*F287</f>
        <v>7.5</v>
      </c>
      <c r="I287" s="135">
        <f>G287*$H$284</f>
        <v>15</v>
      </c>
      <c r="J287" s="152">
        <f>T287</f>
        <v>3.2845000000000004</v>
      </c>
      <c r="K287" s="135">
        <f>D287*J287</f>
        <v>6.5690000000000008</v>
      </c>
      <c r="L287" s="136">
        <f>SUM(I287,K287)</f>
        <v>21.569000000000003</v>
      </c>
      <c r="M287" s="135">
        <f>L287/D287</f>
        <v>10.784500000000001</v>
      </c>
      <c r="N287" s="137">
        <f>D287*M287</f>
        <v>21.569000000000003</v>
      </c>
      <c r="P287" s="203">
        <f>T276</f>
        <v>2.89</v>
      </c>
      <c r="Q287" s="203">
        <f>P287*$Q$286</f>
        <v>3.0345000000000004</v>
      </c>
      <c r="R287" s="203">
        <f>Q287</f>
        <v>3.0345000000000004</v>
      </c>
      <c r="S287" s="203">
        <v>0.25</v>
      </c>
      <c r="T287" s="203">
        <f>SUM(R287:S287)</f>
        <v>3.2845000000000004</v>
      </c>
    </row>
    <row r="288" spans="3:21" x14ac:dyDescent="0.2">
      <c r="C288" s="72" t="s">
        <v>268</v>
      </c>
      <c r="D288" s="207">
        <f>D284/0.6</f>
        <v>1.6666666666666667</v>
      </c>
      <c r="E288" s="195" t="s">
        <v>148</v>
      </c>
      <c r="F288" s="134">
        <v>0.1</v>
      </c>
      <c r="G288" s="134">
        <f>D288*F288</f>
        <v>0.16666666666666669</v>
      </c>
      <c r="H288" s="134">
        <f t="shared" ref="H288:H295" si="0">$H$284*F288</f>
        <v>5</v>
      </c>
      <c r="I288" s="135">
        <f t="shared" ref="I288:I295" si="1">G288*$H$284</f>
        <v>8.3333333333333339</v>
      </c>
      <c r="J288" s="152">
        <v>1.7</v>
      </c>
      <c r="K288" s="135">
        <f>D288*J288</f>
        <v>2.8333333333333335</v>
      </c>
      <c r="L288" s="136">
        <f>SUM(I288,K288)</f>
        <v>11.166666666666668</v>
      </c>
      <c r="M288" s="135">
        <f>L288/D288</f>
        <v>6.7</v>
      </c>
      <c r="N288" s="137">
        <f>D288*M288</f>
        <v>11.166666666666668</v>
      </c>
      <c r="P288" s="203"/>
      <c r="Q288" s="203">
        <f t="shared" ref="Q288:Q295" si="2">P288*$Q$286</f>
        <v>0</v>
      </c>
      <c r="R288" s="203">
        <f t="shared" ref="R288:R295" si="3">Q288</f>
        <v>0</v>
      </c>
      <c r="S288" s="203">
        <v>0.25</v>
      </c>
      <c r="T288" s="203">
        <f t="shared" ref="T288:T295" si="4">SUM(R288:S288)</f>
        <v>0.25</v>
      </c>
    </row>
    <row r="289" spans="3:21" x14ac:dyDescent="0.2">
      <c r="C289" s="204" t="s">
        <v>270</v>
      </c>
      <c r="D289" s="207">
        <f>(D284/0.6)*F284</f>
        <v>1.6666666666666667</v>
      </c>
      <c r="E289" s="195" t="s">
        <v>116</v>
      </c>
      <c r="F289" s="134">
        <v>0.1</v>
      </c>
      <c r="G289" s="134">
        <f>D289*F289</f>
        <v>0.16666666666666669</v>
      </c>
      <c r="H289" s="134">
        <f t="shared" si="0"/>
        <v>5</v>
      </c>
      <c r="I289" s="135">
        <f t="shared" si="1"/>
        <v>8.3333333333333339</v>
      </c>
      <c r="J289" s="152">
        <f>T289</f>
        <v>5.1955</v>
      </c>
      <c r="K289" s="135">
        <f>D289*J289</f>
        <v>8.6591666666666676</v>
      </c>
      <c r="L289" s="136">
        <f>SUM(I289,K289)</f>
        <v>16.9925</v>
      </c>
      <c r="M289" s="135">
        <f>L289/D289</f>
        <v>10.195499999999999</v>
      </c>
      <c r="N289" s="137">
        <f>D289*M289</f>
        <v>16.9925</v>
      </c>
      <c r="P289" s="203">
        <f>T277</f>
        <v>4.71</v>
      </c>
      <c r="Q289" s="203">
        <f t="shared" si="2"/>
        <v>4.9455</v>
      </c>
      <c r="R289" s="203">
        <f t="shared" si="3"/>
        <v>4.9455</v>
      </c>
      <c r="S289" s="203">
        <v>0.25</v>
      </c>
      <c r="T289" s="203">
        <f t="shared" si="4"/>
        <v>5.1955</v>
      </c>
    </row>
    <row r="290" spans="3:21" x14ac:dyDescent="0.2">
      <c r="C290" s="72"/>
      <c r="D290" s="207"/>
      <c r="E290" s="195"/>
      <c r="F290" s="134"/>
      <c r="G290" s="134"/>
      <c r="H290" s="134"/>
      <c r="I290" s="135"/>
      <c r="J290" s="152"/>
      <c r="K290" s="135"/>
      <c r="L290" s="136"/>
      <c r="M290" s="135"/>
      <c r="N290" s="137"/>
      <c r="P290" s="203"/>
      <c r="Q290" s="203"/>
      <c r="R290" s="203"/>
      <c r="S290" s="203"/>
      <c r="T290" s="203"/>
    </row>
    <row r="291" spans="3:21" x14ac:dyDescent="0.2">
      <c r="C291" s="204" t="s">
        <v>736</v>
      </c>
      <c r="D291" s="207">
        <f>(D284/0.6)*1.5</f>
        <v>2.5</v>
      </c>
      <c r="E291" s="195" t="s">
        <v>116</v>
      </c>
      <c r="F291" s="134">
        <v>0.1</v>
      </c>
      <c r="G291" s="134">
        <f>D291*F291</f>
        <v>0.25</v>
      </c>
      <c r="H291" s="134">
        <f t="shared" si="0"/>
        <v>5</v>
      </c>
      <c r="I291" s="135">
        <f t="shared" si="1"/>
        <v>12.5</v>
      </c>
      <c r="J291" s="152">
        <f>T291</f>
        <v>5.1955</v>
      </c>
      <c r="K291" s="135">
        <f>D291*J291</f>
        <v>12.98875</v>
      </c>
      <c r="L291" s="136">
        <f>SUM(I291,K291)</f>
        <v>25.48875</v>
      </c>
      <c r="M291" s="135">
        <f>L291/D291</f>
        <v>10.195499999999999</v>
      </c>
      <c r="N291" s="137">
        <f>D291*M291</f>
        <v>25.488749999999996</v>
      </c>
      <c r="P291" s="203">
        <f>T277</f>
        <v>4.71</v>
      </c>
      <c r="Q291" s="203">
        <f t="shared" si="2"/>
        <v>4.9455</v>
      </c>
      <c r="R291" s="203">
        <f t="shared" si="3"/>
        <v>4.9455</v>
      </c>
      <c r="S291" s="203">
        <v>0.25</v>
      </c>
      <c r="T291" s="203">
        <f t="shared" si="4"/>
        <v>5.1955</v>
      </c>
    </row>
    <row r="292" spans="3:21" x14ac:dyDescent="0.2">
      <c r="C292" s="204" t="s">
        <v>346</v>
      </c>
      <c r="D292" s="207">
        <f>(D284/0.6)*2</f>
        <v>3.3333333333333335</v>
      </c>
      <c r="E292" s="195" t="s">
        <v>148</v>
      </c>
      <c r="F292" s="134">
        <v>0.15</v>
      </c>
      <c r="G292" s="134">
        <f>D292*F292</f>
        <v>0.5</v>
      </c>
      <c r="H292" s="134">
        <f t="shared" si="0"/>
        <v>7.5</v>
      </c>
      <c r="I292" s="135">
        <f t="shared" si="1"/>
        <v>25</v>
      </c>
      <c r="J292" s="152">
        <f>T292</f>
        <v>5.3425000000000002</v>
      </c>
      <c r="K292" s="135">
        <f>D292*J292</f>
        <v>17.808333333333334</v>
      </c>
      <c r="L292" s="136">
        <f>SUM(I292,K292)</f>
        <v>42.808333333333337</v>
      </c>
      <c r="M292" s="135">
        <f>L292/D292</f>
        <v>12.842500000000001</v>
      </c>
      <c r="N292" s="137">
        <f>D292*M292</f>
        <v>42.808333333333337</v>
      </c>
      <c r="P292" s="203">
        <f>T279</f>
        <v>4.8499999999999996</v>
      </c>
      <c r="Q292" s="203">
        <f t="shared" si="2"/>
        <v>5.0925000000000002</v>
      </c>
      <c r="R292" s="203">
        <f t="shared" si="3"/>
        <v>5.0925000000000002</v>
      </c>
      <c r="S292" s="203">
        <v>0.25</v>
      </c>
      <c r="T292" s="203">
        <f t="shared" si="4"/>
        <v>5.3425000000000002</v>
      </c>
    </row>
    <row r="293" spans="3:21" x14ac:dyDescent="0.2">
      <c r="C293" s="72" t="s">
        <v>268</v>
      </c>
      <c r="D293" s="207">
        <f>D284/0.6</f>
        <v>1.6666666666666667</v>
      </c>
      <c r="E293" s="195" t="s">
        <v>148</v>
      </c>
      <c r="F293" s="134">
        <v>0.1</v>
      </c>
      <c r="G293" s="134">
        <f>D293*F293</f>
        <v>0.16666666666666669</v>
      </c>
      <c r="H293" s="134">
        <f t="shared" si="0"/>
        <v>5</v>
      </c>
      <c r="I293" s="135">
        <f t="shared" si="1"/>
        <v>8.3333333333333339</v>
      </c>
      <c r="J293" s="152">
        <v>1.7</v>
      </c>
      <c r="K293" s="135">
        <f>D293*J293</f>
        <v>2.8333333333333335</v>
      </c>
      <c r="L293" s="136">
        <f>SUM(I293,K293)</f>
        <v>11.166666666666668</v>
      </c>
      <c r="M293" s="135">
        <f>L293/D293</f>
        <v>6.7</v>
      </c>
      <c r="N293" s="137">
        <f>D293*M293</f>
        <v>11.166666666666668</v>
      </c>
      <c r="P293" s="203"/>
      <c r="Q293" s="203">
        <f t="shared" si="2"/>
        <v>0</v>
      </c>
      <c r="R293" s="203">
        <f t="shared" si="3"/>
        <v>0</v>
      </c>
      <c r="S293" s="203"/>
      <c r="T293" s="203">
        <f t="shared" si="4"/>
        <v>0</v>
      </c>
    </row>
    <row r="294" spans="3:21" x14ac:dyDescent="0.2">
      <c r="D294" s="208"/>
      <c r="E294" s="206"/>
      <c r="F294" s="260"/>
      <c r="G294" s="206"/>
      <c r="H294" s="134"/>
      <c r="I294" s="135"/>
      <c r="J294" s="206"/>
      <c r="K294" s="206"/>
      <c r="L294" s="206"/>
      <c r="M294" s="206"/>
      <c r="N294" s="206"/>
      <c r="P294" s="203"/>
      <c r="Q294" s="203"/>
      <c r="R294" s="203"/>
      <c r="S294" s="203"/>
      <c r="T294" s="203"/>
    </row>
    <row r="295" spans="3:21" x14ac:dyDescent="0.2">
      <c r="C295" s="204" t="s">
        <v>272</v>
      </c>
      <c r="D295" s="207">
        <f>(D284/0.6)*24</f>
        <v>40</v>
      </c>
      <c r="E295" s="195" t="s">
        <v>148</v>
      </c>
      <c r="F295" s="134">
        <v>0</v>
      </c>
      <c r="G295" s="134">
        <f>D295*F295</f>
        <v>0</v>
      </c>
      <c r="H295" s="134">
        <f t="shared" si="0"/>
        <v>0</v>
      </c>
      <c r="I295" s="135">
        <f t="shared" si="1"/>
        <v>0</v>
      </c>
      <c r="J295" s="257">
        <v>2.5999999999999999E-2</v>
      </c>
      <c r="K295" s="135">
        <f>D295*J295</f>
        <v>1.04</v>
      </c>
      <c r="L295" s="136">
        <f>SUM(I295,K295)</f>
        <v>1.04</v>
      </c>
      <c r="M295" s="135">
        <f>L295/D295</f>
        <v>2.6000000000000002E-2</v>
      </c>
      <c r="N295" s="137">
        <f>D295*M295</f>
        <v>1.04</v>
      </c>
      <c r="P295" s="203"/>
      <c r="Q295" s="203">
        <f t="shared" si="2"/>
        <v>0</v>
      </c>
      <c r="R295" s="203">
        <f t="shared" si="3"/>
        <v>0</v>
      </c>
      <c r="S295" s="203"/>
      <c r="T295" s="203">
        <f t="shared" si="4"/>
        <v>0</v>
      </c>
    </row>
    <row r="296" spans="3:21" x14ac:dyDescent="0.2">
      <c r="C296" s="216"/>
      <c r="D296" s="216"/>
      <c r="E296" s="216"/>
      <c r="F296" s="258"/>
      <c r="G296" s="216"/>
      <c r="H296" s="216"/>
      <c r="I296" s="216"/>
      <c r="J296" s="216"/>
      <c r="K296" s="216"/>
      <c r="L296" s="216"/>
      <c r="M296" s="216"/>
      <c r="N296" s="216"/>
      <c r="O296" s="216"/>
      <c r="P296" s="216"/>
      <c r="Q296" s="216"/>
      <c r="R296" s="216"/>
      <c r="S296" s="216"/>
      <c r="T296" s="216"/>
      <c r="U296" s="216"/>
    </row>
    <row r="297" spans="3:21" ht="13.5" thickBot="1" x14ac:dyDescent="0.25">
      <c r="C297" s="221"/>
      <c r="D297" s="221"/>
      <c r="E297" s="221"/>
      <c r="F297" s="221"/>
      <c r="G297" s="222">
        <f>SUM(G287:G296)</f>
        <v>1.55</v>
      </c>
      <c r="H297" s="223"/>
      <c r="I297" s="224">
        <f>SUM(I287:I296)</f>
        <v>77.5</v>
      </c>
      <c r="J297" s="224"/>
      <c r="K297" s="224">
        <f>SUM(K287:K296)</f>
        <v>52.73191666666667</v>
      </c>
      <c r="L297" s="224"/>
      <c r="M297" s="224"/>
      <c r="N297" s="224">
        <f>SUM(N287:N296)</f>
        <v>130.23191666666665</v>
      </c>
      <c r="O297" s="221"/>
      <c r="P297" s="221"/>
      <c r="Q297" s="221"/>
      <c r="R297" s="221"/>
      <c r="S297" s="221"/>
      <c r="T297" s="221"/>
      <c r="U297" s="221"/>
    </row>
    <row r="298" spans="3:21" ht="13.5" thickTop="1" x14ac:dyDescent="0.2"/>
    <row r="302" spans="3:21" x14ac:dyDescent="0.2">
      <c r="C302" s="209" t="s">
        <v>737</v>
      </c>
      <c r="D302" s="210">
        <v>1</v>
      </c>
      <c r="E302" s="211" t="s">
        <v>267</v>
      </c>
      <c r="F302" s="212">
        <v>1</v>
      </c>
      <c r="G302" s="213" t="s">
        <v>269</v>
      </c>
      <c r="H302" s="214">
        <f>'Suspended Ceilings'!H11</f>
        <v>50</v>
      </c>
      <c r="I302" s="215"/>
      <c r="J302" s="215"/>
      <c r="K302" s="215"/>
      <c r="L302" s="215"/>
      <c r="M302" s="215"/>
      <c r="N302" s="215"/>
      <c r="P302" s="72"/>
      <c r="Q302" s="72"/>
      <c r="R302" s="72"/>
    </row>
    <row r="303" spans="3:21" x14ac:dyDescent="0.2">
      <c r="P303" s="72" t="s">
        <v>282</v>
      </c>
      <c r="Q303" s="72" t="s">
        <v>283</v>
      </c>
      <c r="R303" s="72"/>
      <c r="S303" s="72" t="s">
        <v>284</v>
      </c>
    </row>
    <row r="304" spans="3:21" x14ac:dyDescent="0.2">
      <c r="P304" s="72"/>
      <c r="Q304" s="72">
        <v>1.05</v>
      </c>
      <c r="R304" s="72"/>
      <c r="S304" s="72"/>
    </row>
    <row r="305" spans="3:21" x14ac:dyDescent="0.2">
      <c r="C305" s="72" t="s">
        <v>739</v>
      </c>
      <c r="D305" s="207">
        <f>(D302/0.6)</f>
        <v>1.6666666666666667</v>
      </c>
      <c r="E305" s="195" t="s">
        <v>148</v>
      </c>
      <c r="F305" s="134">
        <v>7.0000000000000007E-2</v>
      </c>
      <c r="G305" s="134">
        <f t="shared" ref="G305:G310" si="5">D305*F305</f>
        <v>0.11666666666666668</v>
      </c>
      <c r="H305" s="134">
        <f t="shared" ref="H305:H310" si="6">$H$284*F305</f>
        <v>3.5000000000000004</v>
      </c>
      <c r="I305" s="135">
        <f t="shared" ref="I305:I310" si="7">G305*$H$284</f>
        <v>5.8333333333333339</v>
      </c>
      <c r="J305" s="152">
        <f>T305</f>
        <v>5.3425000000000002</v>
      </c>
      <c r="K305" s="135">
        <f t="shared" ref="K305:K310" si="8">D305*J305</f>
        <v>8.9041666666666668</v>
      </c>
      <c r="L305" s="136">
        <f t="shared" ref="L305:L310" si="9">SUM(I305,K305)</f>
        <v>14.737500000000001</v>
      </c>
      <c r="M305" s="135">
        <f t="shared" ref="M305:M310" si="10">L305/D305</f>
        <v>8.8424999999999994</v>
      </c>
      <c r="N305" s="137">
        <f t="shared" ref="N305:N310" si="11">D305*M305</f>
        <v>14.737499999999999</v>
      </c>
      <c r="P305" s="203">
        <f>T278</f>
        <v>4.8499999999999996</v>
      </c>
      <c r="Q305" s="203">
        <f t="shared" ref="Q305:Q310" si="12">P305*$Q$286</f>
        <v>5.0925000000000002</v>
      </c>
      <c r="R305" s="203">
        <f t="shared" ref="R305:R310" si="13">Q305</f>
        <v>5.0925000000000002</v>
      </c>
      <c r="S305" s="203">
        <v>0.25</v>
      </c>
      <c r="T305" s="203">
        <f t="shared" ref="T305:T310" si="14">SUM(R305:S305)</f>
        <v>5.3425000000000002</v>
      </c>
    </row>
    <row r="306" spans="3:21" x14ac:dyDescent="0.2">
      <c r="C306" s="72" t="s">
        <v>268</v>
      </c>
      <c r="D306" s="207">
        <f>(D302/0.6)</f>
        <v>1.6666666666666667</v>
      </c>
      <c r="E306" s="195" t="s">
        <v>148</v>
      </c>
      <c r="F306" s="134">
        <v>0.1</v>
      </c>
      <c r="G306" s="134">
        <f t="shared" si="5"/>
        <v>0.16666666666666669</v>
      </c>
      <c r="H306" s="134">
        <f t="shared" si="6"/>
        <v>5</v>
      </c>
      <c r="I306" s="135">
        <f t="shared" si="7"/>
        <v>8.3333333333333339</v>
      </c>
      <c r="J306" s="152">
        <v>1.7</v>
      </c>
      <c r="K306" s="135">
        <f t="shared" si="8"/>
        <v>2.8333333333333335</v>
      </c>
      <c r="L306" s="136">
        <f t="shared" si="9"/>
        <v>11.166666666666668</v>
      </c>
      <c r="M306" s="135">
        <f t="shared" si="10"/>
        <v>6.7</v>
      </c>
      <c r="N306" s="137">
        <f t="shared" si="11"/>
        <v>11.166666666666668</v>
      </c>
      <c r="P306" s="203"/>
      <c r="Q306" s="203">
        <f t="shared" si="12"/>
        <v>0</v>
      </c>
      <c r="R306" s="203">
        <f t="shared" si="13"/>
        <v>0</v>
      </c>
      <c r="S306" s="203">
        <v>0.25</v>
      </c>
      <c r="T306" s="203">
        <f t="shared" si="14"/>
        <v>0.25</v>
      </c>
    </row>
    <row r="307" spans="3:21" x14ac:dyDescent="0.2">
      <c r="C307" s="204" t="s">
        <v>270</v>
      </c>
      <c r="D307" s="207">
        <f>(D302/0.6)*F302</f>
        <v>1.6666666666666667</v>
      </c>
      <c r="E307" s="195" t="s">
        <v>116</v>
      </c>
      <c r="F307" s="134">
        <v>0.1</v>
      </c>
      <c r="G307" s="134">
        <f t="shared" si="5"/>
        <v>0.16666666666666669</v>
      </c>
      <c r="H307" s="134">
        <f t="shared" si="6"/>
        <v>5</v>
      </c>
      <c r="I307" s="135">
        <f t="shared" si="7"/>
        <v>8.3333333333333339</v>
      </c>
      <c r="J307" s="152">
        <f>T307</f>
        <v>5.1955</v>
      </c>
      <c r="K307" s="135">
        <f t="shared" si="8"/>
        <v>8.6591666666666676</v>
      </c>
      <c r="L307" s="136">
        <f t="shared" si="9"/>
        <v>16.9925</v>
      </c>
      <c r="M307" s="135">
        <f t="shared" si="10"/>
        <v>10.195499999999999</v>
      </c>
      <c r="N307" s="137">
        <f t="shared" si="11"/>
        <v>16.9925</v>
      </c>
      <c r="P307" s="203">
        <f>T277</f>
        <v>4.71</v>
      </c>
      <c r="Q307" s="203">
        <f t="shared" si="12"/>
        <v>4.9455</v>
      </c>
      <c r="R307" s="203">
        <f t="shared" si="13"/>
        <v>4.9455</v>
      </c>
      <c r="S307" s="203">
        <v>0.25</v>
      </c>
      <c r="T307" s="203">
        <f t="shared" si="14"/>
        <v>5.1955</v>
      </c>
    </row>
    <row r="308" spans="3:21" x14ac:dyDescent="0.2">
      <c r="C308" s="204" t="s">
        <v>740</v>
      </c>
      <c r="D308" s="207">
        <f>(D302/0.6)</f>
        <v>1.6666666666666667</v>
      </c>
      <c r="E308" s="195" t="s">
        <v>148</v>
      </c>
      <c r="F308" s="134">
        <v>7.0000000000000007E-2</v>
      </c>
      <c r="G308" s="134">
        <f t="shared" si="5"/>
        <v>0.11666666666666668</v>
      </c>
      <c r="H308" s="134">
        <f t="shared" si="6"/>
        <v>3.5000000000000004</v>
      </c>
      <c r="I308" s="135">
        <f t="shared" si="7"/>
        <v>5.8333333333333339</v>
      </c>
      <c r="J308" s="152">
        <f>T308</f>
        <v>5.3425000000000002</v>
      </c>
      <c r="K308" s="135">
        <f t="shared" si="8"/>
        <v>8.9041666666666668</v>
      </c>
      <c r="L308" s="136">
        <f t="shared" si="9"/>
        <v>14.737500000000001</v>
      </c>
      <c r="M308" s="135">
        <f t="shared" si="10"/>
        <v>8.8424999999999994</v>
      </c>
      <c r="N308" s="137">
        <f t="shared" si="11"/>
        <v>14.737499999999999</v>
      </c>
      <c r="P308" s="203">
        <f>T279</f>
        <v>4.8499999999999996</v>
      </c>
      <c r="Q308" s="203">
        <f t="shared" si="12"/>
        <v>5.0925000000000002</v>
      </c>
      <c r="R308" s="203">
        <f t="shared" si="13"/>
        <v>5.0925000000000002</v>
      </c>
      <c r="S308" s="203">
        <v>0.25</v>
      </c>
      <c r="T308" s="203">
        <f t="shared" si="14"/>
        <v>5.3425000000000002</v>
      </c>
    </row>
    <row r="309" spans="3:21" x14ac:dyDescent="0.2">
      <c r="C309" s="72" t="s">
        <v>268</v>
      </c>
      <c r="D309" s="207">
        <f>(D302/0.6)</f>
        <v>1.6666666666666667</v>
      </c>
      <c r="E309" s="195" t="s">
        <v>148</v>
      </c>
      <c r="F309" s="134">
        <v>0.1</v>
      </c>
      <c r="G309" s="134">
        <f t="shared" si="5"/>
        <v>0.16666666666666669</v>
      </c>
      <c r="H309" s="134">
        <f t="shared" si="6"/>
        <v>5</v>
      </c>
      <c r="I309" s="135">
        <f t="shared" si="7"/>
        <v>8.3333333333333339</v>
      </c>
      <c r="J309" s="152">
        <v>1.7</v>
      </c>
      <c r="K309" s="135">
        <f t="shared" si="8"/>
        <v>2.8333333333333335</v>
      </c>
      <c r="L309" s="136">
        <f t="shared" si="9"/>
        <v>11.166666666666668</v>
      </c>
      <c r="M309" s="135">
        <f t="shared" si="10"/>
        <v>6.7</v>
      </c>
      <c r="N309" s="137">
        <f t="shared" si="11"/>
        <v>11.166666666666668</v>
      </c>
      <c r="P309" s="203"/>
      <c r="Q309" s="203">
        <f t="shared" si="12"/>
        <v>0</v>
      </c>
      <c r="R309" s="203">
        <f t="shared" si="13"/>
        <v>0</v>
      </c>
      <c r="S309" s="203">
        <v>0.25</v>
      </c>
      <c r="T309" s="203">
        <f t="shared" si="14"/>
        <v>0.25</v>
      </c>
    </row>
    <row r="310" spans="3:21" x14ac:dyDescent="0.2">
      <c r="C310" s="204" t="s">
        <v>741</v>
      </c>
      <c r="D310" s="207">
        <f>(D302/0.6)*1.5</f>
        <v>2.5</v>
      </c>
      <c r="E310" s="195" t="s">
        <v>116</v>
      </c>
      <c r="F310" s="134">
        <v>0.1</v>
      </c>
      <c r="G310" s="134">
        <f t="shared" si="5"/>
        <v>0.25</v>
      </c>
      <c r="H310" s="134">
        <f t="shared" si="6"/>
        <v>5</v>
      </c>
      <c r="I310" s="135">
        <f t="shared" si="7"/>
        <v>12.5</v>
      </c>
      <c r="J310" s="152">
        <f>T310</f>
        <v>5.1955</v>
      </c>
      <c r="K310" s="135">
        <f t="shared" si="8"/>
        <v>12.98875</v>
      </c>
      <c r="L310" s="136">
        <f t="shared" si="9"/>
        <v>25.48875</v>
      </c>
      <c r="M310" s="135">
        <f t="shared" si="10"/>
        <v>10.195499999999999</v>
      </c>
      <c r="N310" s="137">
        <f t="shared" si="11"/>
        <v>25.488749999999996</v>
      </c>
      <c r="P310" s="203">
        <f>T277</f>
        <v>4.71</v>
      </c>
      <c r="Q310" s="203">
        <f t="shared" si="12"/>
        <v>4.9455</v>
      </c>
      <c r="R310" s="203">
        <f t="shared" si="13"/>
        <v>4.9455</v>
      </c>
      <c r="S310" s="203">
        <v>0.25</v>
      </c>
      <c r="T310" s="203">
        <f t="shared" si="14"/>
        <v>5.1955</v>
      </c>
    </row>
    <row r="311" spans="3:21" x14ac:dyDescent="0.2">
      <c r="C311" s="204"/>
      <c r="D311" s="207"/>
      <c r="E311" s="195"/>
      <c r="F311" s="134"/>
      <c r="G311" s="134"/>
      <c r="H311" s="134"/>
      <c r="I311" s="135"/>
      <c r="J311" s="152"/>
      <c r="K311" s="135"/>
      <c r="L311" s="136"/>
      <c r="M311" s="135"/>
      <c r="N311" s="137"/>
      <c r="P311" s="203"/>
      <c r="Q311" s="203"/>
      <c r="R311" s="203"/>
      <c r="S311" s="203"/>
      <c r="T311" s="203"/>
    </row>
    <row r="312" spans="3:21" x14ac:dyDescent="0.2">
      <c r="C312" s="204" t="s">
        <v>738</v>
      </c>
      <c r="D312" s="207">
        <f>(D302/0.6)</f>
        <v>1.6666666666666667</v>
      </c>
      <c r="E312" s="195" t="s">
        <v>148</v>
      </c>
      <c r="F312" s="134">
        <v>0.25</v>
      </c>
      <c r="G312" s="134">
        <f>D312*F312</f>
        <v>0.41666666666666669</v>
      </c>
      <c r="H312" s="134">
        <f>$H$284*F312</f>
        <v>12.5</v>
      </c>
      <c r="I312" s="135">
        <f>G312*$H$284</f>
        <v>20.833333333333336</v>
      </c>
      <c r="J312" s="152">
        <v>50</v>
      </c>
      <c r="K312" s="135">
        <f>D312*J312</f>
        <v>83.333333333333343</v>
      </c>
      <c r="L312" s="136">
        <f>SUM(I312,K312)</f>
        <v>104.16666666666669</v>
      </c>
      <c r="M312" s="135">
        <f>L312/D312</f>
        <v>62.500000000000007</v>
      </c>
      <c r="N312" s="137">
        <f>D312*M312</f>
        <v>104.16666666666669</v>
      </c>
      <c r="P312" s="203"/>
      <c r="Q312" s="203">
        <f>P312*$Q$286</f>
        <v>0</v>
      </c>
      <c r="R312" s="203">
        <f>Q312</f>
        <v>0</v>
      </c>
      <c r="S312" s="203">
        <v>0.25</v>
      </c>
      <c r="T312" s="203">
        <f>SUM(R312:S312)</f>
        <v>0.25</v>
      </c>
    </row>
    <row r="313" spans="3:21" x14ac:dyDescent="0.2">
      <c r="C313" s="72" t="s">
        <v>281</v>
      </c>
      <c r="D313" s="208">
        <f>D302</f>
        <v>1</v>
      </c>
      <c r="E313" s="195" t="s">
        <v>116</v>
      </c>
      <c r="F313" s="260">
        <v>0.17</v>
      </c>
      <c r="G313" s="134">
        <f>D313*F313</f>
        <v>0.17</v>
      </c>
      <c r="H313" s="134">
        <f>$H$43*F313</f>
        <v>0</v>
      </c>
      <c r="I313" s="135">
        <f>G313*$H$20</f>
        <v>0</v>
      </c>
      <c r="J313" s="152">
        <f>T313</f>
        <v>4.24</v>
      </c>
      <c r="K313" s="135">
        <f>D313*J313</f>
        <v>4.24</v>
      </c>
      <c r="L313" s="136">
        <f>SUM(I313,K313)</f>
        <v>4.24</v>
      </c>
      <c r="M313" s="135">
        <f>L313/D313</f>
        <v>4.24</v>
      </c>
      <c r="N313" s="137">
        <f>D313*M313</f>
        <v>4.24</v>
      </c>
      <c r="P313" s="203">
        <f>Q280</f>
        <v>3.8</v>
      </c>
      <c r="Q313" s="203">
        <f>P313*$Q$286</f>
        <v>3.9899999999999998</v>
      </c>
      <c r="R313" s="203">
        <f>Q313</f>
        <v>3.9899999999999998</v>
      </c>
      <c r="S313" s="203">
        <v>0.25</v>
      </c>
      <c r="T313" s="203">
        <f>SUM(R313:S313)</f>
        <v>4.24</v>
      </c>
    </row>
    <row r="314" spans="3:21" x14ac:dyDescent="0.2">
      <c r="D314" s="208"/>
      <c r="E314" s="206"/>
      <c r="F314" s="260"/>
      <c r="G314" s="206"/>
      <c r="H314" s="134"/>
      <c r="I314" s="135"/>
      <c r="J314" s="206"/>
      <c r="K314" s="206"/>
      <c r="L314" s="206"/>
      <c r="M314" s="206"/>
      <c r="N314" s="206"/>
      <c r="P314" s="203"/>
      <c r="Q314" s="203"/>
      <c r="R314" s="203"/>
      <c r="S314" s="203"/>
      <c r="T314" s="203"/>
    </row>
    <row r="315" spans="3:21" x14ac:dyDescent="0.2">
      <c r="C315" s="204" t="s">
        <v>272</v>
      </c>
      <c r="D315" s="207">
        <f>(D302/0.6)*20</f>
        <v>33.333333333333336</v>
      </c>
      <c r="E315" s="195" t="s">
        <v>148</v>
      </c>
      <c r="F315" s="134">
        <v>0</v>
      </c>
      <c r="G315" s="134">
        <f>D315*F315</f>
        <v>0</v>
      </c>
      <c r="H315" s="134">
        <f>$H$284*F315</f>
        <v>0</v>
      </c>
      <c r="I315" s="135">
        <f>G315*$H$284</f>
        <v>0</v>
      </c>
      <c r="J315" s="257">
        <v>2.5999999999999999E-2</v>
      </c>
      <c r="K315" s="135">
        <f>D315*J315</f>
        <v>0.8666666666666667</v>
      </c>
      <c r="L315" s="136">
        <f>SUM(I315,K315)</f>
        <v>0.8666666666666667</v>
      </c>
      <c r="M315" s="135">
        <f>L315/D315</f>
        <v>2.5999999999999999E-2</v>
      </c>
      <c r="N315" s="137">
        <f>D315*M315</f>
        <v>0.8666666666666667</v>
      </c>
      <c r="P315" s="203"/>
      <c r="Q315" s="203">
        <f>P315*$Q$286</f>
        <v>0</v>
      </c>
      <c r="R315" s="203">
        <f>Q315</f>
        <v>0</v>
      </c>
      <c r="S315" s="203"/>
      <c r="T315" s="203">
        <f>SUM(R315:S315)</f>
        <v>0</v>
      </c>
    </row>
    <row r="316" spans="3:21" x14ac:dyDescent="0.2">
      <c r="C316" s="216"/>
      <c r="D316" s="216"/>
      <c r="E316" s="216"/>
      <c r="F316" s="258"/>
      <c r="G316" s="216"/>
      <c r="H316" s="216"/>
      <c r="I316" s="216"/>
      <c r="J316" s="216"/>
      <c r="K316" s="216"/>
      <c r="L316" s="216"/>
      <c r="M316" s="216"/>
      <c r="N316" s="216"/>
      <c r="O316" s="216"/>
      <c r="P316" s="216"/>
      <c r="Q316" s="216"/>
      <c r="R316" s="216"/>
      <c r="S316" s="216"/>
      <c r="T316" s="216"/>
      <c r="U316" s="216"/>
    </row>
    <row r="317" spans="3:21" ht="13.5" thickBot="1" x14ac:dyDescent="0.25">
      <c r="C317" s="221"/>
      <c r="D317" s="221"/>
      <c r="E317" s="221"/>
      <c r="F317" s="221"/>
      <c r="G317" s="222">
        <f>SUM(G305:G316)</f>
        <v>1.57</v>
      </c>
      <c r="H317" s="223"/>
      <c r="I317" s="224">
        <f>SUM(I305:I316)</f>
        <v>70</v>
      </c>
      <c r="J317" s="224"/>
      <c r="K317" s="224">
        <f>SUM(K305:K316)</f>
        <v>133.56291666666669</v>
      </c>
      <c r="L317" s="224"/>
      <c r="M317" s="224"/>
      <c r="N317" s="224">
        <f>SUM(N305:N316)</f>
        <v>203.56291666666669</v>
      </c>
      <c r="O317" s="221"/>
      <c r="P317" s="221"/>
      <c r="Q317" s="221"/>
      <c r="R317" s="221"/>
      <c r="S317" s="221"/>
      <c r="T317" s="221"/>
      <c r="U317" s="221"/>
    </row>
    <row r="318" spans="3:21" ht="13.5" thickTop="1" x14ac:dyDescent="0.2"/>
    <row r="321" spans="3:21" x14ac:dyDescent="0.2">
      <c r="C321" s="209" t="s">
        <v>737</v>
      </c>
      <c r="D321" s="210">
        <v>1</v>
      </c>
      <c r="E321" s="211" t="s">
        <v>267</v>
      </c>
      <c r="F321" s="212">
        <v>1.4</v>
      </c>
      <c r="G321" s="213" t="s">
        <v>269</v>
      </c>
      <c r="H321" s="214">
        <f>'Suspended Ceilings'!H30</f>
        <v>0</v>
      </c>
      <c r="I321" s="215"/>
      <c r="J321" s="215"/>
      <c r="K321" s="215"/>
      <c r="L321" s="215"/>
      <c r="M321" s="215"/>
      <c r="N321" s="215"/>
      <c r="P321" s="72"/>
      <c r="Q321" s="72"/>
      <c r="R321" s="72"/>
    </row>
    <row r="322" spans="3:21" x14ac:dyDescent="0.2">
      <c r="P322" s="72" t="s">
        <v>282</v>
      </c>
      <c r="Q322" s="72" t="s">
        <v>283</v>
      </c>
      <c r="R322" s="72"/>
      <c r="S322" s="72" t="s">
        <v>284</v>
      </c>
    </row>
    <row r="323" spans="3:21" x14ac:dyDescent="0.2">
      <c r="P323" s="72"/>
      <c r="Q323" s="72">
        <v>1.05</v>
      </c>
      <c r="R323" s="72"/>
      <c r="S323" s="72"/>
    </row>
    <row r="324" spans="3:21" x14ac:dyDescent="0.2">
      <c r="C324" s="72" t="s">
        <v>739</v>
      </c>
      <c r="D324" s="207">
        <f>(D321/0.6)</f>
        <v>1.6666666666666667</v>
      </c>
      <c r="E324" s="195" t="s">
        <v>148</v>
      </c>
      <c r="F324" s="134">
        <v>7.0000000000000007E-2</v>
      </c>
      <c r="G324" s="134">
        <f t="shared" ref="G324:G329" si="15">D324*F324</f>
        <v>0.11666666666666668</v>
      </c>
      <c r="H324" s="134">
        <f t="shared" ref="H324:H329" si="16">$H$284*F324</f>
        <v>3.5000000000000004</v>
      </c>
      <c r="I324" s="135">
        <f t="shared" ref="I324:I329" si="17">G324*$H$284</f>
        <v>5.8333333333333339</v>
      </c>
      <c r="J324" s="152">
        <f>T324</f>
        <v>0.25</v>
      </c>
      <c r="K324" s="135">
        <f t="shared" ref="K324:K329" si="18">D324*J324</f>
        <v>0.41666666666666669</v>
      </c>
      <c r="L324" s="136">
        <f t="shared" ref="L324:L329" si="19">SUM(I324,K324)</f>
        <v>6.2500000000000009</v>
      </c>
      <c r="M324" s="135">
        <f t="shared" ref="M324:M329" si="20">L324/D324</f>
        <v>3.7500000000000004</v>
      </c>
      <c r="N324" s="137">
        <f t="shared" ref="N324:N329" si="21">D324*M324</f>
        <v>6.2500000000000009</v>
      </c>
      <c r="P324" s="203">
        <f>T297</f>
        <v>0</v>
      </c>
      <c r="Q324" s="203">
        <f t="shared" ref="Q324:Q329" si="22">P324*$Q$286</f>
        <v>0</v>
      </c>
      <c r="R324" s="203">
        <f t="shared" ref="R324:R329" si="23">Q324</f>
        <v>0</v>
      </c>
      <c r="S324" s="203">
        <v>0.25</v>
      </c>
      <c r="T324" s="203">
        <f t="shared" ref="T324:T329" si="24">SUM(R324:S324)</f>
        <v>0.25</v>
      </c>
    </row>
    <row r="325" spans="3:21" x14ac:dyDescent="0.2">
      <c r="C325" s="72" t="s">
        <v>268</v>
      </c>
      <c r="D325" s="207">
        <f>(D321/0.6)</f>
        <v>1.6666666666666667</v>
      </c>
      <c r="E325" s="195" t="s">
        <v>148</v>
      </c>
      <c r="F325" s="134">
        <v>0.1</v>
      </c>
      <c r="G325" s="134">
        <f t="shared" si="15"/>
        <v>0.16666666666666669</v>
      </c>
      <c r="H325" s="134">
        <f t="shared" si="16"/>
        <v>5</v>
      </c>
      <c r="I325" s="135">
        <f t="shared" si="17"/>
        <v>8.3333333333333339</v>
      </c>
      <c r="J325" s="152">
        <v>1.7</v>
      </c>
      <c r="K325" s="135">
        <f t="shared" si="18"/>
        <v>2.8333333333333335</v>
      </c>
      <c r="L325" s="136">
        <f t="shared" si="19"/>
        <v>11.166666666666668</v>
      </c>
      <c r="M325" s="135">
        <f t="shared" si="20"/>
        <v>6.7</v>
      </c>
      <c r="N325" s="137">
        <f t="shared" si="21"/>
        <v>11.166666666666668</v>
      </c>
      <c r="P325" s="203"/>
      <c r="Q325" s="203">
        <f t="shared" si="22"/>
        <v>0</v>
      </c>
      <c r="R325" s="203">
        <f t="shared" si="23"/>
        <v>0</v>
      </c>
      <c r="S325" s="203">
        <v>0.25</v>
      </c>
      <c r="T325" s="203">
        <f t="shared" si="24"/>
        <v>0.25</v>
      </c>
    </row>
    <row r="326" spans="3:21" x14ac:dyDescent="0.2">
      <c r="C326" s="204" t="s">
        <v>270</v>
      </c>
      <c r="D326" s="207">
        <f>(D321/0.6)*F321</f>
        <v>2.3333333333333335</v>
      </c>
      <c r="E326" s="195" t="s">
        <v>116</v>
      </c>
      <c r="F326" s="134">
        <v>0.1</v>
      </c>
      <c r="G326" s="134">
        <f t="shared" si="15"/>
        <v>0.23333333333333336</v>
      </c>
      <c r="H326" s="134">
        <f t="shared" si="16"/>
        <v>5</v>
      </c>
      <c r="I326" s="135">
        <f t="shared" si="17"/>
        <v>11.666666666666668</v>
      </c>
      <c r="J326" s="152">
        <f>T326</f>
        <v>0.25</v>
      </c>
      <c r="K326" s="135">
        <f t="shared" si="18"/>
        <v>0.58333333333333337</v>
      </c>
      <c r="L326" s="136">
        <f t="shared" si="19"/>
        <v>12.250000000000002</v>
      </c>
      <c r="M326" s="135">
        <f t="shared" si="20"/>
        <v>5.25</v>
      </c>
      <c r="N326" s="137">
        <f t="shared" si="21"/>
        <v>12.25</v>
      </c>
      <c r="P326" s="203">
        <f>T296</f>
        <v>0</v>
      </c>
      <c r="Q326" s="203">
        <f t="shared" si="22"/>
        <v>0</v>
      </c>
      <c r="R326" s="203">
        <f t="shared" si="23"/>
        <v>0</v>
      </c>
      <c r="S326" s="203">
        <v>0.25</v>
      </c>
      <c r="T326" s="203">
        <f t="shared" si="24"/>
        <v>0.25</v>
      </c>
    </row>
    <row r="327" spans="3:21" x14ac:dyDescent="0.2">
      <c r="C327" s="204" t="s">
        <v>740</v>
      </c>
      <c r="D327" s="207">
        <f>(D321/0.6)</f>
        <v>1.6666666666666667</v>
      </c>
      <c r="E327" s="195" t="s">
        <v>148</v>
      </c>
      <c r="F327" s="134">
        <v>7.0000000000000007E-2</v>
      </c>
      <c r="G327" s="134">
        <f t="shared" si="15"/>
        <v>0.11666666666666668</v>
      </c>
      <c r="H327" s="134">
        <f t="shared" si="16"/>
        <v>3.5000000000000004</v>
      </c>
      <c r="I327" s="135">
        <f t="shared" si="17"/>
        <v>5.8333333333333339</v>
      </c>
      <c r="J327" s="152">
        <f>T327</f>
        <v>0.25</v>
      </c>
      <c r="K327" s="135">
        <f t="shared" si="18"/>
        <v>0.41666666666666669</v>
      </c>
      <c r="L327" s="136">
        <f t="shared" si="19"/>
        <v>6.2500000000000009</v>
      </c>
      <c r="M327" s="135">
        <f t="shared" si="20"/>
        <v>3.7500000000000004</v>
      </c>
      <c r="N327" s="137">
        <f t="shared" si="21"/>
        <v>6.2500000000000009</v>
      </c>
      <c r="P327" s="203">
        <f>T298</f>
        <v>0</v>
      </c>
      <c r="Q327" s="203">
        <f t="shared" si="22"/>
        <v>0</v>
      </c>
      <c r="R327" s="203">
        <f t="shared" si="23"/>
        <v>0</v>
      </c>
      <c r="S327" s="203">
        <v>0.25</v>
      </c>
      <c r="T327" s="203">
        <f t="shared" si="24"/>
        <v>0.25</v>
      </c>
    </row>
    <row r="328" spans="3:21" x14ac:dyDescent="0.2">
      <c r="C328" s="72" t="s">
        <v>268</v>
      </c>
      <c r="D328" s="207">
        <f>(D321/0.6)</f>
        <v>1.6666666666666667</v>
      </c>
      <c r="E328" s="195" t="s">
        <v>148</v>
      </c>
      <c r="F328" s="134">
        <v>0.1</v>
      </c>
      <c r="G328" s="134">
        <f t="shared" si="15"/>
        <v>0.16666666666666669</v>
      </c>
      <c r="H328" s="134">
        <f t="shared" si="16"/>
        <v>5</v>
      </c>
      <c r="I328" s="135">
        <f t="shared" si="17"/>
        <v>8.3333333333333339</v>
      </c>
      <c r="J328" s="152">
        <v>1.7</v>
      </c>
      <c r="K328" s="135">
        <f t="shared" si="18"/>
        <v>2.8333333333333335</v>
      </c>
      <c r="L328" s="136">
        <f t="shared" si="19"/>
        <v>11.166666666666668</v>
      </c>
      <c r="M328" s="135">
        <f t="shared" si="20"/>
        <v>6.7</v>
      </c>
      <c r="N328" s="137">
        <f t="shared" si="21"/>
        <v>11.166666666666668</v>
      </c>
      <c r="P328" s="203"/>
      <c r="Q328" s="203">
        <f t="shared" si="22"/>
        <v>0</v>
      </c>
      <c r="R328" s="203">
        <f t="shared" si="23"/>
        <v>0</v>
      </c>
      <c r="S328" s="203">
        <v>0.25</v>
      </c>
      <c r="T328" s="203">
        <f t="shared" si="24"/>
        <v>0.25</v>
      </c>
    </row>
    <row r="329" spans="3:21" x14ac:dyDescent="0.2">
      <c r="C329" s="204" t="s">
        <v>741</v>
      </c>
      <c r="D329" s="207">
        <f>(D321/0.6)*1.5</f>
        <v>2.5</v>
      </c>
      <c r="E329" s="195" t="s">
        <v>116</v>
      </c>
      <c r="F329" s="134">
        <v>0.1</v>
      </c>
      <c r="G329" s="134">
        <f t="shared" si="15"/>
        <v>0.25</v>
      </c>
      <c r="H329" s="134">
        <f t="shared" si="16"/>
        <v>5</v>
      </c>
      <c r="I329" s="135">
        <f t="shared" si="17"/>
        <v>12.5</v>
      </c>
      <c r="J329" s="152">
        <f>T329</f>
        <v>0.25</v>
      </c>
      <c r="K329" s="135">
        <f t="shared" si="18"/>
        <v>0.625</v>
      </c>
      <c r="L329" s="136">
        <f t="shared" si="19"/>
        <v>13.125</v>
      </c>
      <c r="M329" s="135">
        <f t="shared" si="20"/>
        <v>5.25</v>
      </c>
      <c r="N329" s="137">
        <f t="shared" si="21"/>
        <v>13.125</v>
      </c>
      <c r="P329" s="203">
        <f>T296</f>
        <v>0</v>
      </c>
      <c r="Q329" s="203">
        <f t="shared" si="22"/>
        <v>0</v>
      </c>
      <c r="R329" s="203">
        <f t="shared" si="23"/>
        <v>0</v>
      </c>
      <c r="S329" s="203">
        <v>0.25</v>
      </c>
      <c r="T329" s="203">
        <f t="shared" si="24"/>
        <v>0.25</v>
      </c>
    </row>
    <row r="330" spans="3:21" x14ac:dyDescent="0.2">
      <c r="C330" s="204"/>
      <c r="D330" s="207"/>
      <c r="E330" s="195"/>
      <c r="F330" s="134"/>
      <c r="G330" s="134"/>
      <c r="H330" s="134"/>
      <c r="I330" s="135"/>
      <c r="J330" s="152"/>
      <c r="K330" s="135"/>
      <c r="L330" s="136"/>
      <c r="M330" s="135"/>
      <c r="N330" s="137"/>
      <c r="P330" s="203"/>
      <c r="Q330" s="203"/>
      <c r="R330" s="203"/>
      <c r="S330" s="203"/>
      <c r="T330" s="203"/>
    </row>
    <row r="331" spans="3:21" x14ac:dyDescent="0.2">
      <c r="C331" s="204" t="s">
        <v>738</v>
      </c>
      <c r="D331" s="207">
        <f>(D321/0.6)</f>
        <v>1.6666666666666667</v>
      </c>
      <c r="E331" s="195" t="s">
        <v>148</v>
      </c>
      <c r="F331" s="134">
        <v>0.25</v>
      </c>
      <c r="G331" s="134">
        <f>D331*F331</f>
        <v>0.41666666666666669</v>
      </c>
      <c r="H331" s="134">
        <f>$H$284*F331</f>
        <v>12.5</v>
      </c>
      <c r="I331" s="135">
        <f>G331*$H$284</f>
        <v>20.833333333333336</v>
      </c>
      <c r="J331" s="152">
        <v>50</v>
      </c>
      <c r="K331" s="135">
        <f>D331*J331</f>
        <v>83.333333333333343</v>
      </c>
      <c r="L331" s="136">
        <f>SUM(I331,K331)</f>
        <v>104.16666666666669</v>
      </c>
      <c r="M331" s="135">
        <f>L331/D331</f>
        <v>62.500000000000007</v>
      </c>
      <c r="N331" s="137">
        <f>D331*M331</f>
        <v>104.16666666666669</v>
      </c>
      <c r="P331" s="203"/>
      <c r="Q331" s="203">
        <f>P331*$Q$286</f>
        <v>0</v>
      </c>
      <c r="R331" s="203">
        <f>Q331</f>
        <v>0</v>
      </c>
      <c r="S331" s="203">
        <v>0.25</v>
      </c>
      <c r="T331" s="203">
        <f>SUM(R331:S331)</f>
        <v>0.25</v>
      </c>
    </row>
    <row r="332" spans="3:21" x14ac:dyDescent="0.2">
      <c r="C332" s="72" t="s">
        <v>281</v>
      </c>
      <c r="D332" s="208">
        <f>D321</f>
        <v>1</v>
      </c>
      <c r="E332" s="195" t="s">
        <v>116</v>
      </c>
      <c r="F332" s="260">
        <v>0.17</v>
      </c>
      <c r="G332" s="134">
        <f>D332*F332</f>
        <v>0.17</v>
      </c>
      <c r="H332" s="134">
        <f>$H$43*F332</f>
        <v>0</v>
      </c>
      <c r="I332" s="135">
        <f>G332*$H$20</f>
        <v>0</v>
      </c>
      <c r="J332" s="152">
        <f>T332</f>
        <v>0.25</v>
      </c>
      <c r="K332" s="135">
        <f>D332*J332</f>
        <v>0.25</v>
      </c>
      <c r="L332" s="136">
        <f>SUM(I332,K332)</f>
        <v>0.25</v>
      </c>
      <c r="M332" s="135">
        <f>L332/D332</f>
        <v>0.25</v>
      </c>
      <c r="N332" s="137">
        <f>D332*M332</f>
        <v>0.25</v>
      </c>
      <c r="P332" s="203">
        <f>Q299</f>
        <v>0</v>
      </c>
      <c r="Q332" s="203">
        <f>P332*$Q$286</f>
        <v>0</v>
      </c>
      <c r="R332" s="203">
        <f>Q332</f>
        <v>0</v>
      </c>
      <c r="S332" s="203">
        <v>0.25</v>
      </c>
      <c r="T332" s="203">
        <f>SUM(R332:S332)</f>
        <v>0.25</v>
      </c>
    </row>
    <row r="333" spans="3:21" x14ac:dyDescent="0.2">
      <c r="D333" s="208"/>
      <c r="E333" s="206"/>
      <c r="F333" s="260"/>
      <c r="G333" s="206"/>
      <c r="H333" s="134"/>
      <c r="I333" s="135"/>
      <c r="J333" s="206"/>
      <c r="K333" s="206"/>
      <c r="L333" s="206"/>
      <c r="M333" s="206"/>
      <c r="N333" s="206"/>
      <c r="P333" s="203"/>
      <c r="Q333" s="203"/>
      <c r="R333" s="203"/>
      <c r="S333" s="203"/>
      <c r="T333" s="203"/>
    </row>
    <row r="334" spans="3:21" x14ac:dyDescent="0.2">
      <c r="C334" s="204" t="s">
        <v>272</v>
      </c>
      <c r="D334" s="207">
        <f>(D321/0.6)*20</f>
        <v>33.333333333333336</v>
      </c>
      <c r="E334" s="195" t="s">
        <v>148</v>
      </c>
      <c r="F334" s="134">
        <v>0</v>
      </c>
      <c r="G334" s="134">
        <f>D334*F334</f>
        <v>0</v>
      </c>
      <c r="H334" s="134">
        <f>$H$284*F334</f>
        <v>0</v>
      </c>
      <c r="I334" s="135">
        <f>G334*$H$284</f>
        <v>0</v>
      </c>
      <c r="J334" s="257">
        <v>2.5999999999999999E-2</v>
      </c>
      <c r="K334" s="135">
        <f>D334*J334</f>
        <v>0.8666666666666667</v>
      </c>
      <c r="L334" s="136">
        <f>SUM(I334,K334)</f>
        <v>0.8666666666666667</v>
      </c>
      <c r="M334" s="135">
        <f>L334/D334</f>
        <v>2.5999999999999999E-2</v>
      </c>
      <c r="N334" s="137">
        <f>D334*M334</f>
        <v>0.8666666666666667</v>
      </c>
      <c r="P334" s="203"/>
      <c r="Q334" s="203">
        <f>P334*$Q$286</f>
        <v>0</v>
      </c>
      <c r="R334" s="203">
        <f>Q334</f>
        <v>0</v>
      </c>
      <c r="S334" s="203"/>
      <c r="T334" s="203">
        <f>SUM(R334:S334)</f>
        <v>0</v>
      </c>
    </row>
    <row r="335" spans="3:21" x14ac:dyDescent="0.2">
      <c r="C335" s="216"/>
      <c r="D335" s="216"/>
      <c r="E335" s="216"/>
      <c r="F335" s="258"/>
      <c r="G335" s="216"/>
      <c r="H335" s="216"/>
      <c r="I335" s="216"/>
      <c r="J335" s="216"/>
      <c r="K335" s="216"/>
      <c r="L335" s="216"/>
      <c r="M335" s="216"/>
      <c r="N335" s="216"/>
      <c r="O335" s="216"/>
      <c r="P335" s="216"/>
      <c r="Q335" s="216"/>
      <c r="R335" s="216"/>
      <c r="S335" s="216"/>
      <c r="T335" s="216"/>
      <c r="U335" s="216"/>
    </row>
    <row r="336" spans="3:21" ht="13.5" thickBot="1" x14ac:dyDescent="0.25">
      <c r="C336" s="221"/>
      <c r="D336" s="221"/>
      <c r="E336" s="221"/>
      <c r="F336" s="221"/>
      <c r="G336" s="222">
        <f>SUM(G324:G335)</f>
        <v>1.6366666666666667</v>
      </c>
      <c r="H336" s="223"/>
      <c r="I336" s="224">
        <f>SUM(I324:I335)</f>
        <v>73.333333333333343</v>
      </c>
      <c r="J336" s="224"/>
      <c r="K336" s="224">
        <f>SUM(K324:K335)</f>
        <v>92.158333333333331</v>
      </c>
      <c r="L336" s="224"/>
      <c r="M336" s="224"/>
      <c r="N336" s="224">
        <f>SUM(N324:N335)</f>
        <v>165.4916666666667</v>
      </c>
      <c r="O336" s="221"/>
      <c r="P336" s="221"/>
      <c r="Q336" s="221"/>
      <c r="R336" s="221"/>
      <c r="S336" s="221"/>
      <c r="T336" s="221"/>
      <c r="U336" s="221"/>
    </row>
    <row r="337" ht="13.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07B6-12A4-4215-9F71-DE6F63DE6A7D}">
  <sheetPr>
    <pageSetUpPr fitToPage="1"/>
  </sheetPr>
  <dimension ref="A1:T206"/>
  <sheetViews>
    <sheetView topLeftCell="A121" zoomScale="85" zoomScaleNormal="85" workbookViewId="0">
      <selection activeCell="L170" sqref="L170"/>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2" width="11.5703125" style="14" customWidth="1"/>
    <col min="13" max="13" width="14.7109375" style="14" customWidth="1"/>
    <col min="14" max="14" width="11" style="92" customWidth="1"/>
    <col min="15" max="15" width="13.140625" style="14" customWidth="1"/>
    <col min="16" max="16" width="10.5703125" style="14" bestFit="1" customWidth="1"/>
    <col min="17" max="17" width="13" style="14" customWidth="1"/>
    <col min="18" max="18" width="14.28515625" style="14" customWidth="1"/>
    <col min="19"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Summary!B119</f>
        <v>Partitions</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50</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5"/>
      <c r="M13" s="110"/>
      <c r="N13" s="126"/>
      <c r="O13" s="127"/>
    </row>
    <row r="14" spans="1:17" s="72" customFormat="1" ht="15" x14ac:dyDescent="0.2">
      <c r="A14" s="63"/>
      <c r="B14" s="176" t="s">
        <v>58</v>
      </c>
      <c r="C14" s="64"/>
      <c r="D14" s="75"/>
      <c r="E14" s="128"/>
      <c r="F14" s="129"/>
      <c r="G14" s="129"/>
      <c r="H14" s="129"/>
      <c r="I14" s="153"/>
      <c r="J14" s="128"/>
      <c r="K14" s="128"/>
      <c r="L14" s="128"/>
      <c r="M14" s="120"/>
      <c r="N14" s="126"/>
      <c r="O14" s="127"/>
    </row>
    <row r="15" spans="1:17" s="72" customFormat="1" ht="15" x14ac:dyDescent="0.2">
      <c r="A15" s="63"/>
      <c r="B15" s="176"/>
      <c r="C15" s="64"/>
      <c r="D15" s="75"/>
      <c r="E15" s="128"/>
      <c r="F15" s="129"/>
      <c r="G15" s="129"/>
      <c r="H15" s="129"/>
      <c r="I15" s="153"/>
      <c r="J15" s="128"/>
      <c r="K15" s="128"/>
      <c r="L15" s="128"/>
      <c r="M15" s="120"/>
      <c r="N15" s="126"/>
      <c r="O15" s="127"/>
    </row>
    <row r="16" spans="1:17" s="72" customFormat="1" ht="14.25" x14ac:dyDescent="0.2">
      <c r="A16" s="63"/>
      <c r="B16" s="143" t="s">
        <v>299</v>
      </c>
      <c r="C16" s="192" t="s">
        <v>262</v>
      </c>
      <c r="D16" s="75"/>
      <c r="E16" s="128"/>
      <c r="F16" s="129"/>
      <c r="G16" s="129"/>
      <c r="H16" s="129"/>
      <c r="I16" s="153"/>
      <c r="J16" s="128"/>
      <c r="K16" s="128"/>
      <c r="L16" s="128"/>
      <c r="M16" s="120"/>
      <c r="N16" s="126"/>
      <c r="O16" s="127"/>
    </row>
    <row r="17" spans="1:19" s="72" customFormat="1" ht="14.25" x14ac:dyDescent="0.2">
      <c r="A17" s="63"/>
      <c r="B17" s="143" t="s">
        <v>300</v>
      </c>
      <c r="C17" s="195">
        <v>4</v>
      </c>
      <c r="D17" s="75" t="s">
        <v>116</v>
      </c>
      <c r="E17" s="134">
        <f>WORKINGS_Partitions!G41</f>
        <v>1.9770000000000001</v>
      </c>
      <c r="F17" s="134">
        <f>C17*E17</f>
        <v>7.9080000000000004</v>
      </c>
      <c r="G17" s="134">
        <f>$H$11*E17</f>
        <v>98.850000000000009</v>
      </c>
      <c r="H17" s="135">
        <f>F17*$H$11</f>
        <v>395.40000000000003</v>
      </c>
      <c r="I17" s="152">
        <f>WORKINGS_Partitions!K41</f>
        <v>87.141738333333336</v>
      </c>
      <c r="J17" s="135">
        <f>C17*I17</f>
        <v>348.56695333333334</v>
      </c>
      <c r="K17" s="136">
        <f>SUM(H17,J17)</f>
        <v>743.96695333333332</v>
      </c>
      <c r="L17" s="135">
        <f>K17/C17</f>
        <v>185.99173833333333</v>
      </c>
      <c r="M17" s="137">
        <f>C17*L17</f>
        <v>743.96695333333332</v>
      </c>
      <c r="N17" s="144">
        <v>0</v>
      </c>
      <c r="O17" s="130">
        <f>M17*N17</f>
        <v>0</v>
      </c>
    </row>
    <row r="18" spans="1:19" s="72" customFormat="1" ht="14.25" x14ac:dyDescent="0.2">
      <c r="A18" s="63"/>
      <c r="B18" s="143" t="s">
        <v>257</v>
      </c>
      <c r="C18" s="607">
        <v>4</v>
      </c>
      <c r="D18" s="75" t="s">
        <v>116</v>
      </c>
      <c r="E18" s="134">
        <v>0.15</v>
      </c>
      <c r="F18" s="134">
        <f>C18*E18</f>
        <v>0.6</v>
      </c>
      <c r="G18" s="134">
        <f>$H$11*E18</f>
        <v>7.5</v>
      </c>
      <c r="H18" s="135">
        <f>F18*$H$11</f>
        <v>30</v>
      </c>
      <c r="I18" s="152">
        <v>3.5</v>
      </c>
      <c r="J18" s="135">
        <f>C18*I18</f>
        <v>14</v>
      </c>
      <c r="K18" s="136">
        <f>SUM(H18,J18)</f>
        <v>44</v>
      </c>
      <c r="L18" s="135">
        <f>K18/C18</f>
        <v>11</v>
      </c>
      <c r="M18" s="137">
        <f>C18*L18</f>
        <v>44</v>
      </c>
      <c r="N18" s="144">
        <v>0</v>
      </c>
      <c r="O18" s="130">
        <f>M18*N18</f>
        <v>0</v>
      </c>
      <c r="P18" s="159"/>
      <c r="Q18" s="177"/>
    </row>
    <row r="19" spans="1:19" s="72" customFormat="1" ht="14.25" x14ac:dyDescent="0.2">
      <c r="A19" s="63"/>
      <c r="B19" s="143"/>
      <c r="C19" s="64"/>
      <c r="D19" s="75"/>
      <c r="E19" s="134"/>
      <c r="F19" s="134"/>
      <c r="G19" s="134"/>
      <c r="H19" s="135"/>
      <c r="I19" s="152"/>
      <c r="J19" s="135"/>
      <c r="K19" s="136"/>
      <c r="L19" s="135"/>
      <c r="M19" s="137"/>
      <c r="N19" s="144"/>
      <c r="O19" s="130"/>
      <c r="P19" s="159"/>
      <c r="Q19" s="177"/>
    </row>
    <row r="20" spans="1:19" s="72" customFormat="1" ht="14.25" x14ac:dyDescent="0.2">
      <c r="A20" s="63"/>
      <c r="B20" s="316" t="s">
        <v>261</v>
      </c>
      <c r="C20" s="608" t="s">
        <v>262</v>
      </c>
      <c r="D20" s="75"/>
      <c r="E20" s="134"/>
      <c r="F20" s="134"/>
      <c r="G20" s="134"/>
      <c r="H20" s="135"/>
      <c r="I20" s="152"/>
      <c r="J20" s="135"/>
      <c r="K20" s="136"/>
      <c r="L20" s="135"/>
      <c r="M20" s="137"/>
      <c r="N20" s="144"/>
      <c r="O20" s="130"/>
      <c r="P20" s="159"/>
      <c r="Q20" s="177"/>
    </row>
    <row r="21" spans="1:19" s="72" customFormat="1" ht="14.25" x14ac:dyDescent="0.2">
      <c r="A21" s="63"/>
      <c r="B21" s="143" t="s">
        <v>285</v>
      </c>
      <c r="C21" s="195">
        <v>23</v>
      </c>
      <c r="D21" s="75" t="s">
        <v>116</v>
      </c>
      <c r="E21" s="134">
        <f>WORKINGS_Partitions!G41</f>
        <v>1.9770000000000001</v>
      </c>
      <c r="F21" s="134">
        <f>C21*E21</f>
        <v>45.471000000000004</v>
      </c>
      <c r="G21" s="134">
        <f>$H$11*E21</f>
        <v>98.850000000000009</v>
      </c>
      <c r="H21" s="135">
        <f>F21*$H$11</f>
        <v>2273.5500000000002</v>
      </c>
      <c r="I21" s="152">
        <f>WORKINGS_Partitions!K41</f>
        <v>87.141738333333336</v>
      </c>
      <c r="J21" s="135">
        <f>C21*I21</f>
        <v>2004.2599816666668</v>
      </c>
      <c r="K21" s="136">
        <f>SUM(H21,J21)</f>
        <v>4277.8099816666672</v>
      </c>
      <c r="L21" s="135">
        <f>K21/C21</f>
        <v>185.99173833333336</v>
      </c>
      <c r="M21" s="137">
        <f>C21*L21</f>
        <v>4277.8099816666672</v>
      </c>
      <c r="N21" s="144">
        <v>0</v>
      </c>
      <c r="O21" s="130">
        <f>M21*N21</f>
        <v>0</v>
      </c>
      <c r="P21" s="159"/>
      <c r="Q21" s="177"/>
    </row>
    <row r="22" spans="1:19" s="72" customFormat="1" ht="14.25" x14ac:dyDescent="0.2">
      <c r="A22" s="63"/>
      <c r="B22" s="143" t="s">
        <v>263</v>
      </c>
      <c r="C22" s="192" t="s">
        <v>447</v>
      </c>
      <c r="D22" s="75"/>
      <c r="E22" s="134"/>
      <c r="F22" s="134"/>
      <c r="G22" s="134"/>
      <c r="H22" s="135"/>
      <c r="I22" s="152"/>
      <c r="J22" s="135"/>
      <c r="K22" s="136"/>
      <c r="L22" s="135"/>
      <c r="M22" s="137"/>
      <c r="N22" s="144"/>
      <c r="O22" s="130"/>
      <c r="P22" s="159"/>
      <c r="Q22" s="177"/>
    </row>
    <row r="23" spans="1:19" s="72" customFormat="1" ht="14.25" x14ac:dyDescent="0.2">
      <c r="A23" s="63"/>
      <c r="B23" s="143" t="s">
        <v>257</v>
      </c>
      <c r="C23" s="607">
        <v>23</v>
      </c>
      <c r="D23" s="75" t="s">
        <v>116</v>
      </c>
      <c r="E23" s="134">
        <v>0.15</v>
      </c>
      <c r="F23" s="134">
        <f>C23*E23</f>
        <v>3.4499999999999997</v>
      </c>
      <c r="G23" s="134">
        <f>$H$11*E23</f>
        <v>7.5</v>
      </c>
      <c r="H23" s="135">
        <f>F23*$H$11</f>
        <v>172.5</v>
      </c>
      <c r="I23" s="152">
        <v>3.5</v>
      </c>
      <c r="J23" s="135">
        <f>C23*I23</f>
        <v>80.5</v>
      </c>
      <c r="K23" s="136">
        <f>SUM(H23,J23)</f>
        <v>253</v>
      </c>
      <c r="L23" s="135">
        <f>K23/C23</f>
        <v>11</v>
      </c>
      <c r="M23" s="137">
        <f>C23*L23</f>
        <v>253</v>
      </c>
      <c r="N23" s="144">
        <v>0</v>
      </c>
      <c r="O23" s="130">
        <f>M23*N23</f>
        <v>0</v>
      </c>
      <c r="P23" s="159"/>
      <c r="Q23" s="177"/>
    </row>
    <row r="24" spans="1:19" s="72" customFormat="1" ht="14.25" x14ac:dyDescent="0.2">
      <c r="A24" s="63"/>
      <c r="B24" s="143"/>
      <c r="C24" s="195"/>
      <c r="D24" s="75"/>
      <c r="E24" s="134"/>
      <c r="F24" s="134"/>
      <c r="G24" s="134"/>
      <c r="H24" s="135"/>
      <c r="I24" s="152"/>
      <c r="J24" s="135"/>
      <c r="K24" s="136"/>
      <c r="L24" s="135"/>
      <c r="M24" s="137"/>
      <c r="N24" s="144"/>
      <c r="O24" s="130"/>
      <c r="P24" s="159"/>
      <c r="Q24" s="177"/>
    </row>
    <row r="25" spans="1:19" s="72" customFormat="1" ht="14.25" x14ac:dyDescent="0.2">
      <c r="A25" s="63"/>
      <c r="B25" s="143" t="s">
        <v>340</v>
      </c>
      <c r="C25" s="199" t="s">
        <v>341</v>
      </c>
      <c r="D25" s="75"/>
      <c r="E25" s="134"/>
      <c r="F25" s="134"/>
      <c r="G25" s="134"/>
      <c r="H25" s="135"/>
      <c r="I25" s="152"/>
      <c r="J25" s="135"/>
      <c r="K25" s="136"/>
      <c r="L25" s="135"/>
      <c r="M25" s="137"/>
      <c r="N25" s="144"/>
      <c r="O25" s="130"/>
      <c r="P25" s="159"/>
      <c r="Q25" s="177"/>
      <c r="R25" s="72">
        <f>SUM(C35,C43,C47,C52,C87,C93,C98,C138,C148)</f>
        <v>82</v>
      </c>
    </row>
    <row r="26" spans="1:19" s="72" customFormat="1" ht="14.25" x14ac:dyDescent="0.2">
      <c r="A26" s="63"/>
      <c r="B26" s="143"/>
      <c r="C26" s="195"/>
      <c r="D26" s="75"/>
      <c r="E26" s="134"/>
      <c r="F26" s="134"/>
      <c r="G26" s="134"/>
      <c r="H26" s="135"/>
      <c r="I26" s="152"/>
      <c r="J26" s="135"/>
      <c r="K26" s="136"/>
      <c r="L26" s="135"/>
      <c r="M26" s="137"/>
      <c r="N26" s="144"/>
      <c r="O26" s="130"/>
      <c r="P26" s="159"/>
      <c r="Q26" s="177"/>
    </row>
    <row r="27" spans="1:19" s="72" customFormat="1" ht="14.25" x14ac:dyDescent="0.2">
      <c r="A27" s="63"/>
      <c r="B27" s="143" t="s">
        <v>294</v>
      </c>
      <c r="C27" s="195">
        <v>9</v>
      </c>
      <c r="D27" s="75" t="s">
        <v>116</v>
      </c>
      <c r="E27" s="134">
        <f>WORKINGS_Partitions!G76</f>
        <v>0.72041666666666659</v>
      </c>
      <c r="F27" s="134">
        <f>C27*E27</f>
        <v>6.4837499999999997</v>
      </c>
      <c r="G27" s="134">
        <f>$H$11*E27</f>
        <v>36.020833333333329</v>
      </c>
      <c r="H27" s="135">
        <f>F27*$H$11</f>
        <v>324.1875</v>
      </c>
      <c r="I27" s="152">
        <f>WORKINGS_Partitions!K76</f>
        <v>32.029583333333335</v>
      </c>
      <c r="J27" s="135">
        <f>C27*I27</f>
        <v>288.26625000000001</v>
      </c>
      <c r="K27" s="136">
        <f>SUM(H27,J27)</f>
        <v>612.45375000000001</v>
      </c>
      <c r="L27" s="135">
        <f>K27/C27</f>
        <v>68.050416666666663</v>
      </c>
      <c r="M27" s="137">
        <f>C27*L27</f>
        <v>612.45375000000001</v>
      </c>
      <c r="N27" s="144">
        <v>0</v>
      </c>
      <c r="O27" s="130">
        <f>M27*N27</f>
        <v>0</v>
      </c>
      <c r="P27" s="159"/>
      <c r="Q27" s="307"/>
      <c r="R27" s="72" t="s">
        <v>448</v>
      </c>
      <c r="S27" s="72">
        <v>1.1499999999999999</v>
      </c>
    </row>
    <row r="28" spans="1:19" s="72" customFormat="1" ht="25.5" x14ac:dyDescent="0.2">
      <c r="A28" s="63"/>
      <c r="B28" s="175" t="s">
        <v>295</v>
      </c>
      <c r="C28" s="195">
        <v>34</v>
      </c>
      <c r="D28" s="75" t="s">
        <v>151</v>
      </c>
      <c r="E28" s="134">
        <v>0.4</v>
      </c>
      <c r="F28" s="134">
        <f>C28*E28</f>
        <v>13.600000000000001</v>
      </c>
      <c r="G28" s="134">
        <f>$H$11*E28</f>
        <v>20</v>
      </c>
      <c r="H28" s="135">
        <f>F28*$H$11</f>
        <v>680.00000000000011</v>
      </c>
      <c r="I28" s="152">
        <v>22.55</v>
      </c>
      <c r="J28" s="135">
        <f>C28*I28</f>
        <v>766.7</v>
      </c>
      <c r="K28" s="136">
        <f>SUM(H28,J28)</f>
        <v>1446.7000000000003</v>
      </c>
      <c r="L28" s="135">
        <f>K28/C28</f>
        <v>42.550000000000011</v>
      </c>
      <c r="M28" s="137">
        <f>C28*L28</f>
        <v>1446.7000000000003</v>
      </c>
      <c r="N28" s="144">
        <v>0</v>
      </c>
      <c r="O28" s="130">
        <f>M28*N28</f>
        <v>0</v>
      </c>
      <c r="P28" s="159">
        <v>9</v>
      </c>
      <c r="Q28" s="307">
        <v>3.9</v>
      </c>
      <c r="R28" s="306">
        <f>(P28/0.4)*Q28</f>
        <v>87.75</v>
      </c>
    </row>
    <row r="29" spans="1:19" s="72" customFormat="1" ht="14.25" x14ac:dyDescent="0.2">
      <c r="A29" s="63"/>
      <c r="B29" s="143"/>
      <c r="C29" s="195"/>
      <c r="D29" s="75"/>
      <c r="E29" s="134"/>
      <c r="F29" s="134"/>
      <c r="G29" s="134"/>
      <c r="H29" s="135"/>
      <c r="I29" s="152"/>
      <c r="J29" s="135"/>
      <c r="K29" s="136"/>
      <c r="L29" s="135"/>
      <c r="M29" s="137"/>
      <c r="N29" s="144"/>
      <c r="O29" s="130"/>
      <c r="P29" s="159"/>
      <c r="Q29" s="307"/>
    </row>
    <row r="30" spans="1:19" s="72" customFormat="1" ht="25.5" x14ac:dyDescent="0.2">
      <c r="A30" s="63"/>
      <c r="B30" s="175" t="s">
        <v>289</v>
      </c>
      <c r="C30" s="195">
        <v>19</v>
      </c>
      <c r="D30" s="75" t="s">
        <v>151</v>
      </c>
      <c r="E30" s="134">
        <v>0.44</v>
      </c>
      <c r="F30" s="134">
        <f>C30*E30</f>
        <v>8.36</v>
      </c>
      <c r="G30" s="134">
        <f>$H$11*E30</f>
        <v>22</v>
      </c>
      <c r="H30" s="135">
        <f>F30*$H$11</f>
        <v>418</v>
      </c>
      <c r="I30" s="152">
        <v>25.23</v>
      </c>
      <c r="J30" s="135">
        <f>C30*I30</f>
        <v>479.37</v>
      </c>
      <c r="K30" s="136">
        <f>SUM(H30,J30)</f>
        <v>897.37</v>
      </c>
      <c r="L30" s="135">
        <f>K30/C30</f>
        <v>47.23</v>
      </c>
      <c r="M30" s="137">
        <f>C30*L30</f>
        <v>897.36999999999989</v>
      </c>
      <c r="N30" s="144">
        <v>0</v>
      </c>
      <c r="O30" s="130">
        <f>M30*N30</f>
        <v>0</v>
      </c>
      <c r="P30" s="159">
        <v>7</v>
      </c>
      <c r="Q30" s="307">
        <v>2.95</v>
      </c>
      <c r="R30" s="306">
        <f>(P30/0.4)*Q30</f>
        <v>51.625</v>
      </c>
    </row>
    <row r="31" spans="1:19" s="72" customFormat="1" ht="14.25" x14ac:dyDescent="0.2">
      <c r="A31" s="63"/>
      <c r="B31" s="143"/>
      <c r="C31" s="195"/>
      <c r="D31" s="75"/>
      <c r="E31" s="134"/>
      <c r="F31" s="134"/>
      <c r="G31" s="134"/>
      <c r="H31" s="135"/>
      <c r="I31" s="152"/>
      <c r="J31" s="135"/>
      <c r="K31" s="136"/>
      <c r="L31" s="135"/>
      <c r="M31" s="137"/>
      <c r="N31" s="144"/>
      <c r="O31" s="130"/>
      <c r="P31" s="159"/>
      <c r="Q31" s="307"/>
    </row>
    <row r="32" spans="1:19" s="72" customFormat="1" ht="25.5" x14ac:dyDescent="0.2">
      <c r="A32" s="63"/>
      <c r="B32" s="175" t="s">
        <v>254</v>
      </c>
      <c r="C32" s="64">
        <v>141</v>
      </c>
      <c r="D32" s="75" t="s">
        <v>151</v>
      </c>
      <c r="E32" s="134">
        <v>0.43</v>
      </c>
      <c r="F32" s="134">
        <f>C32*E32</f>
        <v>60.63</v>
      </c>
      <c r="G32" s="134">
        <f>$H$11*E32</f>
        <v>21.5</v>
      </c>
      <c r="H32" s="135">
        <f>F32*$H$11</f>
        <v>3031.5</v>
      </c>
      <c r="I32" s="152">
        <v>24.41</v>
      </c>
      <c r="J32" s="135">
        <f>C32*I32</f>
        <v>3441.81</v>
      </c>
      <c r="K32" s="136">
        <f>SUM(H32,J32)</f>
        <v>6473.3099999999995</v>
      </c>
      <c r="L32" s="135">
        <f>K32/C32</f>
        <v>45.91</v>
      </c>
      <c r="M32" s="137">
        <f>C32*L32</f>
        <v>6473.3099999999995</v>
      </c>
      <c r="N32" s="144">
        <v>0</v>
      </c>
      <c r="O32" s="130">
        <f>M32*N32</f>
        <v>0</v>
      </c>
      <c r="P32" s="159">
        <v>48</v>
      </c>
      <c r="Q32" s="307">
        <v>2.95</v>
      </c>
      <c r="R32" s="306">
        <f>(P32/0.4)*Q32</f>
        <v>354</v>
      </c>
    </row>
    <row r="33" spans="1:18" s="72" customFormat="1" ht="14.25" x14ac:dyDescent="0.2">
      <c r="A33" s="63"/>
      <c r="B33" s="143"/>
      <c r="C33" s="64"/>
      <c r="D33" s="75"/>
      <c r="E33" s="134"/>
      <c r="F33" s="134"/>
      <c r="G33" s="134"/>
      <c r="H33" s="135"/>
      <c r="I33" s="152"/>
      <c r="J33" s="135"/>
      <c r="K33" s="136"/>
      <c r="L33" s="135"/>
      <c r="M33" s="137"/>
      <c r="N33" s="144"/>
      <c r="O33" s="130"/>
      <c r="P33" s="159"/>
      <c r="Q33" s="307"/>
    </row>
    <row r="34" spans="1:18" s="72" customFormat="1" ht="25.5" x14ac:dyDescent="0.2">
      <c r="A34" s="63"/>
      <c r="B34" s="202" t="s">
        <v>256</v>
      </c>
      <c r="C34" s="64">
        <v>27</v>
      </c>
      <c r="D34" s="75" t="s">
        <v>151</v>
      </c>
      <c r="E34" s="134">
        <v>0.43</v>
      </c>
      <c r="F34" s="134">
        <f>C34*E34</f>
        <v>11.61</v>
      </c>
      <c r="G34" s="134">
        <f>$H$11*E34</f>
        <v>21.5</v>
      </c>
      <c r="H34" s="135">
        <f>F34*$H$11</f>
        <v>580.5</v>
      </c>
      <c r="I34" s="152">
        <v>25.02</v>
      </c>
      <c r="J34" s="135">
        <f>C34*I34</f>
        <v>675.54</v>
      </c>
      <c r="K34" s="136">
        <f>SUM(H34,J34)</f>
        <v>1256.04</v>
      </c>
      <c r="L34" s="135">
        <f>K34/C34</f>
        <v>46.519999999999996</v>
      </c>
      <c r="M34" s="137">
        <f>C34*L34</f>
        <v>1256.04</v>
      </c>
      <c r="N34" s="144">
        <v>0</v>
      </c>
      <c r="O34" s="130">
        <f>M34*N34</f>
        <v>0</v>
      </c>
      <c r="P34" s="159">
        <v>9</v>
      </c>
      <c r="Q34" s="307">
        <v>2.95</v>
      </c>
      <c r="R34" s="306">
        <f>(P34/0.4)*Q34</f>
        <v>66.375</v>
      </c>
    </row>
    <row r="35" spans="1:18" s="72" customFormat="1" ht="14.25" x14ac:dyDescent="0.2">
      <c r="A35" s="63"/>
      <c r="B35" s="316" t="s">
        <v>258</v>
      </c>
      <c r="C35" s="64">
        <v>9</v>
      </c>
      <c r="D35" s="75" t="s">
        <v>116</v>
      </c>
      <c r="E35" s="134">
        <v>0.25</v>
      </c>
      <c r="F35" s="134">
        <f>C35*E35</f>
        <v>2.25</v>
      </c>
      <c r="G35" s="134">
        <f>$H$11*E35</f>
        <v>12.5</v>
      </c>
      <c r="H35" s="135">
        <f>F35*$H$11</f>
        <v>112.5</v>
      </c>
      <c r="I35" s="152">
        <v>23.84</v>
      </c>
      <c r="J35" s="135">
        <f>C35*I35</f>
        <v>214.56</v>
      </c>
      <c r="K35" s="136">
        <f>SUM(H35,J35)</f>
        <v>327.06</v>
      </c>
      <c r="L35" s="135">
        <f>K35/C35</f>
        <v>36.340000000000003</v>
      </c>
      <c r="M35" s="137">
        <f>C35*L35</f>
        <v>327.06000000000006</v>
      </c>
      <c r="N35" s="144">
        <v>0</v>
      </c>
      <c r="O35" s="130">
        <f>M35*N35</f>
        <v>0</v>
      </c>
      <c r="P35" s="159"/>
      <c r="Q35" s="307"/>
    </row>
    <row r="36" spans="1:18" s="72" customFormat="1" ht="14.25" x14ac:dyDescent="0.2">
      <c r="A36" s="63"/>
      <c r="B36" s="143" t="s">
        <v>257</v>
      </c>
      <c r="C36" s="243">
        <v>9</v>
      </c>
      <c r="D36" s="75" t="s">
        <v>116</v>
      </c>
      <c r="E36" s="134">
        <v>0.15</v>
      </c>
      <c r="F36" s="134">
        <f>C36*E36</f>
        <v>1.3499999999999999</v>
      </c>
      <c r="G36" s="134">
        <f>$H$11*E36</f>
        <v>7.5</v>
      </c>
      <c r="H36" s="135">
        <f>F36*$H$11</f>
        <v>67.5</v>
      </c>
      <c r="I36" s="152">
        <v>3.5</v>
      </c>
      <c r="J36" s="135">
        <f>C36*I36</f>
        <v>31.5</v>
      </c>
      <c r="K36" s="136">
        <f>SUM(H36,J36)</f>
        <v>99</v>
      </c>
      <c r="L36" s="135">
        <f>K36/C36</f>
        <v>11</v>
      </c>
      <c r="M36" s="137">
        <f>C36*L36</f>
        <v>99</v>
      </c>
      <c r="N36" s="144">
        <v>0</v>
      </c>
      <c r="O36" s="130">
        <f>M36*N36</f>
        <v>0</v>
      </c>
      <c r="P36" s="159"/>
      <c r="Q36" s="307"/>
    </row>
    <row r="37" spans="1:18" s="72" customFormat="1" ht="14.25" x14ac:dyDescent="0.2">
      <c r="A37" s="63"/>
      <c r="B37" s="143" t="s">
        <v>29</v>
      </c>
      <c r="C37" s="64"/>
      <c r="D37" s="75"/>
      <c r="E37" s="134"/>
      <c r="F37" s="134"/>
      <c r="G37" s="134"/>
      <c r="H37" s="135"/>
      <c r="I37" s="152"/>
      <c r="J37" s="135"/>
      <c r="K37" s="136"/>
      <c r="L37" s="135"/>
      <c r="M37" s="137"/>
      <c r="N37" s="144"/>
      <c r="O37" s="130"/>
      <c r="P37" s="159"/>
      <c r="Q37" s="307"/>
    </row>
    <row r="38" spans="1:18" s="72" customFormat="1" ht="25.5" x14ac:dyDescent="0.2">
      <c r="A38" s="63"/>
      <c r="B38" s="242" t="s">
        <v>286</v>
      </c>
      <c r="C38" s="64">
        <v>84</v>
      </c>
      <c r="D38" s="75" t="s">
        <v>151</v>
      </c>
      <c r="E38" s="134">
        <v>0.42</v>
      </c>
      <c r="F38" s="134">
        <f>C38*E38</f>
        <v>35.28</v>
      </c>
      <c r="G38" s="134">
        <f>$H$11*E38</f>
        <v>21</v>
      </c>
      <c r="H38" s="135">
        <f>F38*$H$11</f>
        <v>1764</v>
      </c>
      <c r="I38" s="152">
        <v>22.62</v>
      </c>
      <c r="J38" s="135">
        <f>C38*I38</f>
        <v>1900.0800000000002</v>
      </c>
      <c r="K38" s="136">
        <f>SUM(H38,J38)</f>
        <v>3664.08</v>
      </c>
      <c r="L38" s="135">
        <f>K38/C38</f>
        <v>43.62</v>
      </c>
      <c r="M38" s="137">
        <f>C38*L38</f>
        <v>3664.08</v>
      </c>
      <c r="N38" s="144">
        <v>0</v>
      </c>
      <c r="O38" s="130">
        <f>M38*N38</f>
        <v>0</v>
      </c>
      <c r="P38" s="159">
        <v>29</v>
      </c>
      <c r="Q38" s="307">
        <v>2.95</v>
      </c>
      <c r="R38" s="306">
        <f>(P38/0.4)*Q38</f>
        <v>213.875</v>
      </c>
    </row>
    <row r="39" spans="1:18" s="72" customFormat="1" ht="14.25" x14ac:dyDescent="0.2">
      <c r="A39" s="63"/>
      <c r="B39" s="175"/>
      <c r="C39" s="64"/>
      <c r="D39" s="75"/>
      <c r="E39" s="134"/>
      <c r="F39" s="134"/>
      <c r="G39" s="134"/>
      <c r="H39" s="135"/>
      <c r="I39" s="152"/>
      <c r="J39" s="135"/>
      <c r="K39" s="136"/>
      <c r="L39" s="135"/>
      <c r="M39" s="137"/>
      <c r="N39" s="144"/>
      <c r="O39" s="130"/>
      <c r="P39" s="159"/>
      <c r="Q39" s="307"/>
    </row>
    <row r="40" spans="1:18" s="72" customFormat="1" ht="25.5" x14ac:dyDescent="0.2">
      <c r="A40" s="63"/>
      <c r="B40" s="175" t="s">
        <v>288</v>
      </c>
      <c r="C40" s="64">
        <v>12</v>
      </c>
      <c r="D40" s="75" t="s">
        <v>151</v>
      </c>
      <c r="E40" s="134">
        <v>0.45</v>
      </c>
      <c r="F40" s="134">
        <f>C40*E40</f>
        <v>5.4</v>
      </c>
      <c r="G40" s="134">
        <f>$H$11*E40</f>
        <v>22.5</v>
      </c>
      <c r="H40" s="135">
        <f>F40*$H$11</f>
        <v>270</v>
      </c>
      <c r="I40" s="152">
        <v>24.11</v>
      </c>
      <c r="J40" s="135">
        <f>C40*I40</f>
        <v>289.32</v>
      </c>
      <c r="K40" s="136">
        <f>SUM(H40,J40)</f>
        <v>559.31999999999994</v>
      </c>
      <c r="L40" s="135">
        <f>K40/C40</f>
        <v>46.609999999999992</v>
      </c>
      <c r="M40" s="137">
        <f>C40*L40</f>
        <v>559.31999999999994</v>
      </c>
      <c r="N40" s="144">
        <v>0</v>
      </c>
      <c r="O40" s="130">
        <f>M40*N40</f>
        <v>0</v>
      </c>
      <c r="P40" s="159">
        <v>4</v>
      </c>
      <c r="Q40" s="307">
        <v>2.95</v>
      </c>
      <c r="R40" s="306">
        <f>(P40/0.4)*Q40</f>
        <v>29.5</v>
      </c>
    </row>
    <row r="41" spans="1:18" s="72" customFormat="1" ht="14.25" x14ac:dyDescent="0.2">
      <c r="A41" s="63"/>
      <c r="B41" s="175"/>
      <c r="C41" s="64"/>
      <c r="D41" s="75"/>
      <c r="E41" s="134"/>
      <c r="F41" s="134"/>
      <c r="G41" s="134"/>
      <c r="H41" s="135"/>
      <c r="I41" s="152"/>
      <c r="J41" s="135"/>
      <c r="K41" s="136"/>
      <c r="L41" s="135"/>
      <c r="M41" s="137"/>
      <c r="N41" s="144"/>
      <c r="O41" s="130"/>
      <c r="P41" s="159"/>
      <c r="Q41" s="307"/>
    </row>
    <row r="42" spans="1:18" s="72" customFormat="1" ht="25.5" x14ac:dyDescent="0.2">
      <c r="A42" s="63"/>
      <c r="B42" s="175" t="s">
        <v>287</v>
      </c>
      <c r="C42" s="64">
        <v>12</v>
      </c>
      <c r="D42" s="75" t="s">
        <v>151</v>
      </c>
      <c r="E42" s="134">
        <v>0.45</v>
      </c>
      <c r="F42" s="134">
        <f>C42*E42</f>
        <v>5.4</v>
      </c>
      <c r="G42" s="134">
        <f>$H$11*E42</f>
        <v>22.5</v>
      </c>
      <c r="H42" s="135">
        <f>F42*$H$11</f>
        <v>270</v>
      </c>
      <c r="I42" s="152">
        <v>24.42</v>
      </c>
      <c r="J42" s="135">
        <f>C42*I42</f>
        <v>293.04000000000002</v>
      </c>
      <c r="K42" s="136">
        <f>SUM(H42,J42)</f>
        <v>563.04</v>
      </c>
      <c r="L42" s="135">
        <f>K42/C42</f>
        <v>46.919999999999995</v>
      </c>
      <c r="M42" s="137">
        <f>C42*L42</f>
        <v>563.04</v>
      </c>
      <c r="N42" s="144">
        <v>0</v>
      </c>
      <c r="O42" s="130">
        <f>M42*N42</f>
        <v>0</v>
      </c>
      <c r="P42" s="159">
        <v>4</v>
      </c>
      <c r="Q42" s="307">
        <v>2.9</v>
      </c>
      <c r="R42" s="306">
        <f>(P42/0.4)*Q42</f>
        <v>29</v>
      </c>
    </row>
    <row r="43" spans="1:18" s="72" customFormat="1" ht="14.25" x14ac:dyDescent="0.2">
      <c r="A43" s="63"/>
      <c r="B43" s="316" t="s">
        <v>259</v>
      </c>
      <c r="C43" s="195">
        <v>4</v>
      </c>
      <c r="D43" s="75" t="s">
        <v>116</v>
      </c>
      <c r="E43" s="134">
        <v>0.25</v>
      </c>
      <c r="F43" s="134">
        <f>C43*E43</f>
        <v>1</v>
      </c>
      <c r="G43" s="134">
        <f>$H$11*E43</f>
        <v>12.5</v>
      </c>
      <c r="H43" s="135">
        <f>F43*$H$11</f>
        <v>50</v>
      </c>
      <c r="I43" s="152">
        <v>23.84</v>
      </c>
      <c r="J43" s="135">
        <f>C43*I43</f>
        <v>95.36</v>
      </c>
      <c r="K43" s="136">
        <f>SUM(H43,J43)</f>
        <v>145.36000000000001</v>
      </c>
      <c r="L43" s="135">
        <f>K43/C43</f>
        <v>36.340000000000003</v>
      </c>
      <c r="M43" s="137">
        <f>C43*L43</f>
        <v>145.36000000000001</v>
      </c>
      <c r="N43" s="144">
        <v>0</v>
      </c>
      <c r="O43" s="130">
        <f>M43*N43</f>
        <v>0</v>
      </c>
      <c r="P43" s="159"/>
      <c r="Q43" s="307"/>
    </row>
    <row r="44" spans="1:18" s="72" customFormat="1" ht="14.25" x14ac:dyDescent="0.2">
      <c r="A44" s="63"/>
      <c r="B44" s="143" t="s">
        <v>257</v>
      </c>
      <c r="C44" s="607">
        <v>4</v>
      </c>
      <c r="D44" s="75" t="s">
        <v>116</v>
      </c>
      <c r="E44" s="134">
        <v>0.15</v>
      </c>
      <c r="F44" s="134">
        <f>C44*E44</f>
        <v>0.6</v>
      </c>
      <c r="G44" s="134">
        <f>$H$11*E44</f>
        <v>7.5</v>
      </c>
      <c r="H44" s="135">
        <f>F44*$H$11</f>
        <v>30</v>
      </c>
      <c r="I44" s="152">
        <v>3.5</v>
      </c>
      <c r="J44" s="135">
        <f>C44*I44</f>
        <v>14</v>
      </c>
      <c r="K44" s="136">
        <f>SUM(H44,J44)</f>
        <v>44</v>
      </c>
      <c r="L44" s="135">
        <f>K44/C44</f>
        <v>11</v>
      </c>
      <c r="M44" s="137">
        <f>C44*L44</f>
        <v>44</v>
      </c>
      <c r="N44" s="144">
        <v>0</v>
      </c>
      <c r="O44" s="130">
        <f>M44*N44</f>
        <v>0</v>
      </c>
      <c r="P44" s="159"/>
      <c r="Q44" s="307"/>
    </row>
    <row r="45" spans="1:18" s="72" customFormat="1" ht="14.25" x14ac:dyDescent="0.2">
      <c r="A45" s="63"/>
      <c r="B45" s="143"/>
      <c r="C45" s="195"/>
      <c r="D45" s="75"/>
      <c r="E45" s="134"/>
      <c r="F45" s="134"/>
      <c r="G45" s="134"/>
      <c r="H45" s="135"/>
      <c r="I45" s="152"/>
      <c r="J45" s="135"/>
      <c r="K45" s="136"/>
      <c r="L45" s="135"/>
      <c r="M45" s="137"/>
      <c r="N45" s="144"/>
      <c r="O45" s="130"/>
      <c r="P45" s="159"/>
      <c r="Q45" s="307"/>
    </row>
    <row r="46" spans="1:18" s="72" customFormat="1" ht="25.5" x14ac:dyDescent="0.2">
      <c r="A46" s="63"/>
      <c r="B46" s="175" t="s">
        <v>260</v>
      </c>
      <c r="C46" s="64">
        <v>74</v>
      </c>
      <c r="D46" s="75" t="s">
        <v>151</v>
      </c>
      <c r="E46" s="134">
        <v>0.43</v>
      </c>
      <c r="F46" s="134">
        <f>C46*E46</f>
        <v>31.82</v>
      </c>
      <c r="G46" s="134">
        <f>$H$11*E46</f>
        <v>21.5</v>
      </c>
      <c r="H46" s="135">
        <f>F46*$H$11</f>
        <v>1591</v>
      </c>
      <c r="I46" s="152">
        <v>23</v>
      </c>
      <c r="J46" s="135">
        <f>C46*I46</f>
        <v>1702</v>
      </c>
      <c r="K46" s="136">
        <f>SUM(H46,J46)</f>
        <v>3293</v>
      </c>
      <c r="L46" s="135">
        <f>K46/C46</f>
        <v>44.5</v>
      </c>
      <c r="M46" s="137">
        <f>C46*L46</f>
        <v>3293</v>
      </c>
      <c r="N46" s="144">
        <v>0</v>
      </c>
      <c r="O46" s="130">
        <f>M46*N46</f>
        <v>0</v>
      </c>
      <c r="P46" s="159">
        <v>25</v>
      </c>
      <c r="Q46" s="307">
        <v>2.9</v>
      </c>
      <c r="R46" s="306">
        <f>(P46/0.4)*Q46</f>
        <v>181.25</v>
      </c>
    </row>
    <row r="47" spans="1:18" s="72" customFormat="1" ht="14.25" x14ac:dyDescent="0.2">
      <c r="A47" s="63"/>
      <c r="B47" s="316" t="s">
        <v>259</v>
      </c>
      <c r="C47" s="64">
        <v>25</v>
      </c>
      <c r="D47" s="75" t="s">
        <v>116</v>
      </c>
      <c r="E47" s="134">
        <v>0.25</v>
      </c>
      <c r="F47" s="134">
        <f>C47*E47</f>
        <v>6.25</v>
      </c>
      <c r="G47" s="134">
        <f>$H$11*E47</f>
        <v>12.5</v>
      </c>
      <c r="H47" s="135">
        <f>F47*$H$11</f>
        <v>312.5</v>
      </c>
      <c r="I47" s="152">
        <v>23.84</v>
      </c>
      <c r="J47" s="135">
        <f>C47*I47</f>
        <v>596</v>
      </c>
      <c r="K47" s="136">
        <f>SUM(H47,J47)</f>
        <v>908.5</v>
      </c>
      <c r="L47" s="135">
        <f>K47/C47</f>
        <v>36.340000000000003</v>
      </c>
      <c r="M47" s="137">
        <f>C47*L47</f>
        <v>908.50000000000011</v>
      </c>
      <c r="N47" s="144">
        <v>0</v>
      </c>
      <c r="O47" s="130">
        <f>M47*N47</f>
        <v>0</v>
      </c>
      <c r="P47" s="159"/>
      <c r="Q47" s="307"/>
    </row>
    <row r="48" spans="1:18" s="72" customFormat="1" ht="14.25" x14ac:dyDescent="0.2">
      <c r="A48" s="63"/>
      <c r="B48" s="143" t="s">
        <v>257</v>
      </c>
      <c r="C48" s="243">
        <v>25</v>
      </c>
      <c r="D48" s="75" t="s">
        <v>116</v>
      </c>
      <c r="E48" s="134">
        <v>0.15</v>
      </c>
      <c r="F48" s="134">
        <f>C48*E48</f>
        <v>3.75</v>
      </c>
      <c r="G48" s="134">
        <f>$H$11*E48</f>
        <v>7.5</v>
      </c>
      <c r="H48" s="135">
        <f>F48*$H$11</f>
        <v>187.5</v>
      </c>
      <c r="I48" s="152">
        <v>3.5</v>
      </c>
      <c r="J48" s="135">
        <f>C48*I48</f>
        <v>87.5</v>
      </c>
      <c r="K48" s="136">
        <f>SUM(H48,J48)</f>
        <v>275</v>
      </c>
      <c r="L48" s="135">
        <f>K48/C48</f>
        <v>11</v>
      </c>
      <c r="M48" s="137">
        <f>C48*L48</f>
        <v>275</v>
      </c>
      <c r="N48" s="144">
        <v>0</v>
      </c>
      <c r="O48" s="130">
        <f>M48*N48</f>
        <v>0</v>
      </c>
      <c r="P48" s="159"/>
      <c r="Q48" s="307"/>
    </row>
    <row r="49" spans="1:18" s="72" customFormat="1" ht="14.25" x14ac:dyDescent="0.2">
      <c r="A49" s="63"/>
      <c r="B49" s="143"/>
      <c r="C49" s="64"/>
      <c r="D49" s="75"/>
      <c r="E49" s="134"/>
      <c r="F49" s="134"/>
      <c r="G49" s="134"/>
      <c r="H49" s="135"/>
      <c r="I49" s="152"/>
      <c r="J49" s="135"/>
      <c r="K49" s="136"/>
      <c r="L49" s="135"/>
      <c r="M49" s="137"/>
      <c r="N49" s="144"/>
      <c r="O49" s="130"/>
      <c r="P49" s="159"/>
      <c r="Q49" s="307"/>
    </row>
    <row r="50" spans="1:18" s="72" customFormat="1" ht="14.25" x14ac:dyDescent="0.2">
      <c r="A50" s="63"/>
      <c r="B50" s="143" t="s">
        <v>290</v>
      </c>
      <c r="C50" s="195">
        <v>11</v>
      </c>
      <c r="D50" s="75" t="s">
        <v>116</v>
      </c>
      <c r="E50" s="134">
        <f>WORKINGS_Partitions!G89</f>
        <v>1.0050000000000001</v>
      </c>
      <c r="F50" s="134">
        <f>C50*E50</f>
        <v>11.055000000000001</v>
      </c>
      <c r="G50" s="134">
        <f>$H$11*E50</f>
        <v>50.250000000000007</v>
      </c>
      <c r="H50" s="135">
        <f>F50*$H$11</f>
        <v>552.75000000000011</v>
      </c>
      <c r="I50" s="152">
        <f>WORKINGS_Partitions!K89</f>
        <v>32.238941666666669</v>
      </c>
      <c r="J50" s="135">
        <f>C50*I50</f>
        <v>354.62835833333338</v>
      </c>
      <c r="K50" s="136">
        <f>SUM(H50,J50)</f>
        <v>907.37835833333349</v>
      </c>
      <c r="L50" s="135">
        <f>K50/C50</f>
        <v>82.488941666666676</v>
      </c>
      <c r="M50" s="137">
        <f>C50*L50</f>
        <v>907.37835833333338</v>
      </c>
      <c r="N50" s="144">
        <v>0</v>
      </c>
      <c r="O50" s="130">
        <f>M50*N50</f>
        <v>0</v>
      </c>
      <c r="P50" s="159"/>
      <c r="Q50" s="307"/>
    </row>
    <row r="51" spans="1:18" s="72" customFormat="1" ht="25.5" x14ac:dyDescent="0.2">
      <c r="A51" s="63"/>
      <c r="B51" s="175" t="s">
        <v>291</v>
      </c>
      <c r="C51" s="195">
        <v>31</v>
      </c>
      <c r="D51" s="75" t="s">
        <v>151</v>
      </c>
      <c r="E51" s="134">
        <v>0.44</v>
      </c>
      <c r="F51" s="134">
        <f>C51*E51</f>
        <v>13.64</v>
      </c>
      <c r="G51" s="134">
        <f>$H$11*E51</f>
        <v>22</v>
      </c>
      <c r="H51" s="135">
        <f>F51*$H$11</f>
        <v>682</v>
      </c>
      <c r="I51" s="152">
        <v>25.25</v>
      </c>
      <c r="J51" s="135">
        <f>C51*I51</f>
        <v>782.75</v>
      </c>
      <c r="K51" s="136">
        <f>SUM(H51,J51)</f>
        <v>1464.75</v>
      </c>
      <c r="L51" s="135">
        <f>K51/C51</f>
        <v>47.25</v>
      </c>
      <c r="M51" s="137">
        <f>C51*L51</f>
        <v>1464.75</v>
      </c>
      <c r="N51" s="144">
        <v>0</v>
      </c>
      <c r="O51" s="130">
        <f>M51*N51</f>
        <v>0</v>
      </c>
      <c r="P51" s="159">
        <v>11</v>
      </c>
      <c r="Q51" s="307">
        <v>2.9</v>
      </c>
      <c r="R51" s="306">
        <f>(P51/0.4)*Q51</f>
        <v>79.75</v>
      </c>
    </row>
    <row r="52" spans="1:18" s="72" customFormat="1" ht="14.25" x14ac:dyDescent="0.2">
      <c r="A52" s="63"/>
      <c r="B52" s="316" t="s">
        <v>259</v>
      </c>
      <c r="C52" s="64">
        <v>11</v>
      </c>
      <c r="D52" s="75" t="s">
        <v>116</v>
      </c>
      <c r="E52" s="134">
        <v>0.25</v>
      </c>
      <c r="F52" s="134">
        <f>C52*E52</f>
        <v>2.75</v>
      </c>
      <c r="G52" s="134">
        <f>$H$11*E52</f>
        <v>12.5</v>
      </c>
      <c r="H52" s="135">
        <f>F52*$H$11</f>
        <v>137.5</v>
      </c>
      <c r="I52" s="152">
        <v>23.84</v>
      </c>
      <c r="J52" s="135">
        <f>C52*I52</f>
        <v>262.24</v>
      </c>
      <c r="K52" s="136">
        <f>SUM(H52,J52)</f>
        <v>399.74</v>
      </c>
      <c r="L52" s="135">
        <f>K52/C52</f>
        <v>36.340000000000003</v>
      </c>
      <c r="M52" s="137">
        <f>C52*L52</f>
        <v>399.74</v>
      </c>
      <c r="N52" s="144">
        <v>0</v>
      </c>
      <c r="O52" s="130">
        <f>M52*N52</f>
        <v>0</v>
      </c>
      <c r="P52" s="159"/>
      <c r="Q52" s="177"/>
    </row>
    <row r="53" spans="1:18" s="72" customFormat="1" ht="14.25" x14ac:dyDescent="0.2">
      <c r="A53" s="63"/>
      <c r="B53" s="143" t="s">
        <v>257</v>
      </c>
      <c r="C53" s="243">
        <v>11</v>
      </c>
      <c r="D53" s="75" t="s">
        <v>116</v>
      </c>
      <c r="E53" s="134">
        <v>0.15</v>
      </c>
      <c r="F53" s="134">
        <f>C53*E53</f>
        <v>1.65</v>
      </c>
      <c r="G53" s="134">
        <f>$H$11*E53</f>
        <v>7.5</v>
      </c>
      <c r="H53" s="135">
        <f>F53*$H$11</f>
        <v>82.5</v>
      </c>
      <c r="I53" s="152">
        <v>3.5</v>
      </c>
      <c r="J53" s="135">
        <f>C53*I53</f>
        <v>38.5</v>
      </c>
      <c r="K53" s="136">
        <f>SUM(H53,J53)</f>
        <v>121</v>
      </c>
      <c r="L53" s="135">
        <f>K53/C53</f>
        <v>11</v>
      </c>
      <c r="M53" s="137">
        <f>C53*L53</f>
        <v>121</v>
      </c>
      <c r="N53" s="144">
        <v>0</v>
      </c>
      <c r="O53" s="130">
        <f>M53*N53</f>
        <v>0</v>
      </c>
      <c r="P53" s="159"/>
      <c r="Q53" s="177"/>
    </row>
    <row r="54" spans="1:18" s="72" customFormat="1" ht="14.25" x14ac:dyDescent="0.2">
      <c r="A54" s="63"/>
      <c r="B54" s="143"/>
      <c r="C54" s="64"/>
      <c r="D54" s="75"/>
      <c r="E54" s="134"/>
      <c r="F54" s="134"/>
      <c r="G54" s="134"/>
      <c r="H54" s="135"/>
      <c r="I54" s="152"/>
      <c r="J54" s="135"/>
      <c r="K54" s="136"/>
      <c r="L54" s="135"/>
      <c r="M54" s="137"/>
      <c r="N54" s="144"/>
      <c r="O54" s="130"/>
      <c r="P54" s="159"/>
      <c r="Q54" s="177"/>
    </row>
    <row r="55" spans="1:18" s="72" customFormat="1" ht="14.25" x14ac:dyDescent="0.2">
      <c r="A55" s="63"/>
      <c r="B55" s="316" t="s">
        <v>378</v>
      </c>
      <c r="C55" s="64">
        <v>43</v>
      </c>
      <c r="D55" s="75" t="s">
        <v>148</v>
      </c>
      <c r="E55" s="134">
        <v>0.75</v>
      </c>
      <c r="F55" s="134">
        <f>C55*E55</f>
        <v>32.25</v>
      </c>
      <c r="G55" s="134">
        <f>$H$11*E55</f>
        <v>37.5</v>
      </c>
      <c r="H55" s="135">
        <f>F55*$H$11</f>
        <v>1612.5</v>
      </c>
      <c r="I55" s="152">
        <v>85.17</v>
      </c>
      <c r="J55" s="135">
        <f>C55*I55</f>
        <v>3662.31</v>
      </c>
      <c r="K55" s="136">
        <f>SUM(H55,J55)</f>
        <v>5274.8099999999995</v>
      </c>
      <c r="L55" s="135">
        <f>K55/C55</f>
        <v>122.66999999999999</v>
      </c>
      <c r="M55" s="137">
        <f>C55*L55</f>
        <v>5274.8099999999995</v>
      </c>
      <c r="N55" s="144">
        <v>0</v>
      </c>
      <c r="O55" s="130">
        <f>M55*N55</f>
        <v>0</v>
      </c>
      <c r="P55" s="159"/>
      <c r="Q55" s="177"/>
    </row>
    <row r="56" spans="1:18" s="72" customFormat="1" ht="14.25" x14ac:dyDescent="0.2">
      <c r="A56" s="63"/>
      <c r="B56" s="316"/>
      <c r="C56" s="64"/>
      <c r="D56" s="75"/>
      <c r="E56" s="134"/>
      <c r="F56" s="134"/>
      <c r="G56" s="134"/>
      <c r="H56" s="135"/>
      <c r="I56" s="152"/>
      <c r="J56" s="135"/>
      <c r="K56" s="136"/>
      <c r="L56" s="135"/>
      <c r="M56" s="137"/>
      <c r="N56" s="144"/>
      <c r="O56" s="130"/>
      <c r="P56" s="159"/>
      <c r="Q56" s="177"/>
    </row>
    <row r="57" spans="1:18" s="72" customFormat="1" ht="14.25" x14ac:dyDescent="0.2">
      <c r="A57" s="63"/>
      <c r="B57" s="143" t="s">
        <v>379</v>
      </c>
      <c r="C57" s="192" t="s">
        <v>938</v>
      </c>
      <c r="D57" s="75"/>
      <c r="E57" s="134"/>
      <c r="F57" s="134"/>
      <c r="G57" s="134"/>
      <c r="H57" s="135"/>
      <c r="I57" s="152"/>
      <c r="J57" s="135"/>
      <c r="K57" s="136"/>
      <c r="L57" s="135"/>
      <c r="M57" s="137"/>
      <c r="N57" s="144"/>
      <c r="O57" s="130"/>
      <c r="P57" s="159"/>
      <c r="Q57" s="177"/>
    </row>
    <row r="58" spans="1:18" s="72" customFormat="1" ht="14.25" x14ac:dyDescent="0.2">
      <c r="A58" s="63"/>
      <c r="B58" s="143"/>
      <c r="C58" s="64"/>
      <c r="D58" s="75"/>
      <c r="E58" s="134"/>
      <c r="F58" s="134"/>
      <c r="G58" s="134"/>
      <c r="H58" s="135"/>
      <c r="I58" s="152"/>
      <c r="J58" s="135"/>
      <c r="K58" s="136"/>
      <c r="L58" s="135"/>
      <c r="M58" s="137"/>
      <c r="N58" s="144"/>
      <c r="O58" s="130"/>
      <c r="P58" s="159"/>
      <c r="Q58" s="177"/>
    </row>
    <row r="59" spans="1:18" s="72" customFormat="1" ht="14.25" x14ac:dyDescent="0.2">
      <c r="A59" s="63"/>
      <c r="B59" s="242" t="s">
        <v>297</v>
      </c>
      <c r="C59" s="64">
        <f>SUM(P28)</f>
        <v>9</v>
      </c>
      <c r="D59" s="75" t="s">
        <v>116</v>
      </c>
      <c r="E59" s="134">
        <v>0.25</v>
      </c>
      <c r="F59" s="134">
        <f>C59*E59</f>
        <v>2.25</v>
      </c>
      <c r="G59" s="134">
        <f>$H$11*E59</f>
        <v>12.5</v>
      </c>
      <c r="H59" s="135">
        <f>F59*$H$11</f>
        <v>112.5</v>
      </c>
      <c r="I59" s="152">
        <v>15</v>
      </c>
      <c r="J59" s="135">
        <f>C59*I59</f>
        <v>135</v>
      </c>
      <c r="K59" s="136">
        <f>SUM(H59,J59)</f>
        <v>247.5</v>
      </c>
      <c r="L59" s="135">
        <f>K59/C59</f>
        <v>27.5</v>
      </c>
      <c r="M59" s="137">
        <f>C59*L59</f>
        <v>247.5</v>
      </c>
      <c r="N59" s="144">
        <v>0</v>
      </c>
      <c r="O59" s="130">
        <f>M59*N59</f>
        <v>0</v>
      </c>
      <c r="P59" s="159"/>
      <c r="Q59" s="177"/>
    </row>
    <row r="60" spans="1:18" s="72" customFormat="1" ht="14.25" x14ac:dyDescent="0.2">
      <c r="A60" s="63"/>
      <c r="B60" s="316" t="s">
        <v>336</v>
      </c>
      <c r="C60" s="64">
        <v>492</v>
      </c>
      <c r="D60" s="75" t="s">
        <v>116</v>
      </c>
      <c r="E60" s="134">
        <v>0.09</v>
      </c>
      <c r="F60" s="134">
        <f>C60*E60</f>
        <v>44.28</v>
      </c>
      <c r="G60" s="134">
        <f>$H$11*E60</f>
        <v>4.5</v>
      </c>
      <c r="H60" s="135">
        <f>F60*$H$11</f>
        <v>2214</v>
      </c>
      <c r="I60" s="152">
        <v>5.61</v>
      </c>
      <c r="J60" s="135">
        <f>C60*I60</f>
        <v>2760.1200000000003</v>
      </c>
      <c r="K60" s="136">
        <f>SUM(H60,J60)</f>
        <v>4974.1200000000008</v>
      </c>
      <c r="L60" s="135">
        <f>K60/C60</f>
        <v>10.110000000000001</v>
      </c>
      <c r="M60" s="137">
        <f>C60*L60</f>
        <v>4974.1200000000008</v>
      </c>
      <c r="N60" s="144">
        <v>0</v>
      </c>
      <c r="O60" s="130">
        <f>M60*N60</f>
        <v>0</v>
      </c>
      <c r="P60" s="159"/>
      <c r="Q60" s="177"/>
    </row>
    <row r="61" spans="1:18" s="72" customFormat="1" ht="14.25" x14ac:dyDescent="0.2">
      <c r="A61" s="63"/>
      <c r="B61" s="242" t="s">
        <v>755</v>
      </c>
      <c r="C61" s="64">
        <v>7</v>
      </c>
      <c r="D61" s="75" t="s">
        <v>75</v>
      </c>
      <c r="E61" s="134">
        <v>1.5</v>
      </c>
      <c r="F61" s="134">
        <f>C61*E61</f>
        <v>10.5</v>
      </c>
      <c r="G61" s="134">
        <f>$H$11*E61</f>
        <v>75</v>
      </c>
      <c r="H61" s="135">
        <f>F61*$H$11</f>
        <v>525</v>
      </c>
      <c r="I61" s="152">
        <v>139</v>
      </c>
      <c r="J61" s="135">
        <f>C61*I61</f>
        <v>973</v>
      </c>
      <c r="K61" s="136">
        <f>SUM(H61,J61)</f>
        <v>1498</v>
      </c>
      <c r="L61" s="135">
        <f>K61/C61</f>
        <v>214</v>
      </c>
      <c r="M61" s="137">
        <f>C61*L61</f>
        <v>1498</v>
      </c>
      <c r="N61" s="144">
        <v>0</v>
      </c>
      <c r="O61" s="130">
        <f>M61*N61</f>
        <v>0</v>
      </c>
      <c r="P61" s="159"/>
      <c r="Q61" s="159"/>
    </row>
    <row r="62" spans="1:18" s="72" customFormat="1" ht="14.25" x14ac:dyDescent="0.2">
      <c r="A62" s="63"/>
      <c r="B62" s="242" t="s">
        <v>756</v>
      </c>
      <c r="C62" s="64">
        <v>6</v>
      </c>
      <c r="D62" s="75" t="s">
        <v>75</v>
      </c>
      <c r="E62" s="134">
        <v>1</v>
      </c>
      <c r="F62" s="134">
        <f>C62*E62</f>
        <v>6</v>
      </c>
      <c r="G62" s="134">
        <f>$H$11*E62</f>
        <v>50</v>
      </c>
      <c r="H62" s="135">
        <f>F62*$H$11</f>
        <v>300</v>
      </c>
      <c r="I62" s="152">
        <v>70</v>
      </c>
      <c r="J62" s="135">
        <f>C62*I62</f>
        <v>420</v>
      </c>
      <c r="K62" s="136">
        <f>SUM(H62,J62)</f>
        <v>720</v>
      </c>
      <c r="L62" s="135">
        <f>K62/C62</f>
        <v>120</v>
      </c>
      <c r="M62" s="137">
        <f>C62*L62</f>
        <v>720</v>
      </c>
      <c r="N62" s="144">
        <v>0</v>
      </c>
      <c r="O62" s="130">
        <f>M62*N62</f>
        <v>0</v>
      </c>
      <c r="P62" s="159"/>
      <c r="Q62" s="159"/>
    </row>
    <row r="63" spans="1:18" s="72" customFormat="1" ht="14.25" x14ac:dyDescent="0.2">
      <c r="A63" s="63"/>
      <c r="B63" s="242" t="s">
        <v>937</v>
      </c>
      <c r="C63" s="64">
        <v>136</v>
      </c>
      <c r="D63" s="75" t="s">
        <v>116</v>
      </c>
      <c r="E63" s="134">
        <v>0.1</v>
      </c>
      <c r="F63" s="134">
        <f>C63*E63</f>
        <v>13.600000000000001</v>
      </c>
      <c r="G63" s="134">
        <f>$H$11*E63</f>
        <v>5</v>
      </c>
      <c r="H63" s="135">
        <f>F63*$H$11</f>
        <v>680.00000000000011</v>
      </c>
      <c r="I63" s="152">
        <v>10.1</v>
      </c>
      <c r="J63" s="135">
        <f>C63*I63</f>
        <v>1373.6</v>
      </c>
      <c r="K63" s="136">
        <f>SUM(H63,J63)</f>
        <v>2053.6</v>
      </c>
      <c r="L63" s="135">
        <f>K63/C63</f>
        <v>15.1</v>
      </c>
      <c r="M63" s="137">
        <f>C63*L63</f>
        <v>2053.6</v>
      </c>
      <c r="N63" s="144">
        <v>0</v>
      </c>
      <c r="O63" s="130">
        <f>M63*N63</f>
        <v>0</v>
      </c>
      <c r="P63" s="159"/>
      <c r="Q63" s="159"/>
    </row>
    <row r="64" spans="1:18" s="72" customFormat="1" ht="14.25" x14ac:dyDescent="0.2">
      <c r="A64" s="63"/>
      <c r="B64" s="242"/>
      <c r="C64" s="64"/>
      <c r="D64" s="75"/>
      <c r="E64" s="134"/>
      <c r="F64" s="134"/>
      <c r="G64" s="134"/>
      <c r="H64" s="135"/>
      <c r="I64" s="152"/>
      <c r="J64" s="135"/>
      <c r="K64" s="136"/>
      <c r="L64" s="135"/>
      <c r="M64" s="137"/>
      <c r="N64" s="144"/>
      <c r="O64" s="130"/>
      <c r="P64" s="159"/>
      <c r="Q64" s="159"/>
    </row>
    <row r="65" spans="1:20" s="72" customFormat="1" ht="14.25" x14ac:dyDescent="0.2">
      <c r="A65" s="63"/>
      <c r="B65" s="143" t="s">
        <v>954</v>
      </c>
      <c r="C65" s="64">
        <v>13</v>
      </c>
      <c r="D65" s="75" t="s">
        <v>148</v>
      </c>
      <c r="E65" s="134">
        <v>2.5</v>
      </c>
      <c r="F65" s="134">
        <f>C65*E65</f>
        <v>32.5</v>
      </c>
      <c r="G65" s="134">
        <f>$H$11*E65</f>
        <v>125</v>
      </c>
      <c r="H65" s="135">
        <f>F65*$H$11</f>
        <v>1625</v>
      </c>
      <c r="I65" s="152">
        <v>175</v>
      </c>
      <c r="J65" s="135">
        <f>C65*I65</f>
        <v>2275</v>
      </c>
      <c r="K65" s="136">
        <f>SUM(H65,J65)</f>
        <v>3900</v>
      </c>
      <c r="L65" s="135">
        <f>K65/C65</f>
        <v>300</v>
      </c>
      <c r="M65" s="137">
        <f>C65*L65</f>
        <v>3900</v>
      </c>
      <c r="N65" s="144">
        <v>0</v>
      </c>
      <c r="O65" s="130">
        <f>M65*N65</f>
        <v>0</v>
      </c>
      <c r="P65" s="159"/>
      <c r="Q65" s="159"/>
      <c r="T65" s="306"/>
    </row>
    <row r="66" spans="1:20" s="72" customFormat="1" ht="14.25" x14ac:dyDescent="0.2">
      <c r="A66" s="63"/>
      <c r="B66" s="175"/>
      <c r="C66" s="64"/>
      <c r="D66" s="75"/>
      <c r="E66" s="134"/>
      <c r="F66" s="134"/>
      <c r="G66" s="134"/>
      <c r="H66" s="135"/>
      <c r="I66" s="152"/>
      <c r="J66" s="135"/>
      <c r="K66" s="136"/>
      <c r="L66" s="135"/>
      <c r="M66" s="137"/>
      <c r="N66" s="144"/>
      <c r="O66" s="130"/>
      <c r="P66" s="159"/>
      <c r="Q66" s="159"/>
    </row>
    <row r="67" spans="1:20" s="72" customFormat="1" ht="14.25" x14ac:dyDescent="0.2">
      <c r="A67" s="63"/>
      <c r="B67" s="143"/>
      <c r="C67" s="64"/>
      <c r="D67" s="75"/>
      <c r="E67" s="134"/>
      <c r="F67" s="134"/>
      <c r="G67" s="134"/>
      <c r="H67" s="135"/>
      <c r="I67" s="152"/>
      <c r="J67" s="135"/>
      <c r="K67" s="136"/>
      <c r="L67" s="135"/>
      <c r="M67" s="137"/>
      <c r="N67" s="144"/>
      <c r="O67" s="130"/>
      <c r="P67" s="159"/>
      <c r="Q67" s="159"/>
    </row>
    <row r="68" spans="1:20" s="72" customFormat="1" ht="15" x14ac:dyDescent="0.2">
      <c r="A68" s="63"/>
      <c r="B68" s="176" t="s">
        <v>59</v>
      </c>
      <c r="C68" s="64"/>
      <c r="D68" s="75"/>
      <c r="E68" s="128"/>
      <c r="F68" s="129"/>
      <c r="G68" s="129"/>
      <c r="H68" s="129"/>
      <c r="I68" s="153"/>
      <c r="J68" s="128"/>
      <c r="K68" s="128"/>
      <c r="L68" s="128"/>
      <c r="M68" s="120"/>
      <c r="N68" s="126"/>
      <c r="O68" s="127"/>
      <c r="P68" s="159"/>
      <c r="Q68" s="159"/>
    </row>
    <row r="69" spans="1:20" s="72" customFormat="1" ht="15" x14ac:dyDescent="0.2">
      <c r="A69" s="63"/>
      <c r="B69" s="176"/>
      <c r="C69" s="64"/>
      <c r="D69" s="75"/>
      <c r="E69" s="128"/>
      <c r="F69" s="129"/>
      <c r="G69" s="129"/>
      <c r="H69" s="129"/>
      <c r="I69" s="153"/>
      <c r="J69" s="128"/>
      <c r="K69" s="128"/>
      <c r="L69" s="128"/>
      <c r="M69" s="120"/>
      <c r="N69" s="126"/>
      <c r="O69" s="127"/>
      <c r="P69" s="159"/>
      <c r="Q69" s="159"/>
    </row>
    <row r="70" spans="1:20" s="72" customFormat="1" ht="14.25" x14ac:dyDescent="0.2">
      <c r="A70" s="63"/>
      <c r="B70" s="143" t="s">
        <v>299</v>
      </c>
      <c r="C70" s="192" t="s">
        <v>262</v>
      </c>
      <c r="D70" s="75"/>
      <c r="E70" s="128"/>
      <c r="F70" s="129"/>
      <c r="G70" s="129"/>
      <c r="H70" s="129"/>
      <c r="I70" s="153"/>
      <c r="J70" s="128"/>
      <c r="K70" s="128"/>
      <c r="L70" s="128"/>
      <c r="M70" s="120"/>
      <c r="N70" s="126"/>
      <c r="O70" s="127"/>
      <c r="P70" s="159"/>
      <c r="Q70" s="159"/>
    </row>
    <row r="71" spans="1:20" s="72" customFormat="1" ht="14.25" x14ac:dyDescent="0.2">
      <c r="A71" s="63"/>
      <c r="B71" s="143" t="s">
        <v>300</v>
      </c>
      <c r="C71" s="195">
        <v>14</v>
      </c>
      <c r="D71" s="75" t="s">
        <v>116</v>
      </c>
      <c r="E71" s="134">
        <f>WORKINGS_Partitions!G41</f>
        <v>1.9770000000000001</v>
      </c>
      <c r="F71" s="134">
        <f>C71*E71</f>
        <v>27.678000000000001</v>
      </c>
      <c r="G71" s="134">
        <f>$H$11*E71</f>
        <v>98.850000000000009</v>
      </c>
      <c r="H71" s="135">
        <f>F71*$H$11</f>
        <v>1383.9</v>
      </c>
      <c r="I71" s="152">
        <f>WORKINGS_Partitions!K41</f>
        <v>87.141738333333336</v>
      </c>
      <c r="J71" s="135">
        <f>C71*I71</f>
        <v>1219.9843366666666</v>
      </c>
      <c r="K71" s="136">
        <f>SUM(H71,J71)</f>
        <v>2603.884336666667</v>
      </c>
      <c r="L71" s="135">
        <f>K71/C71</f>
        <v>185.99173833333336</v>
      </c>
      <c r="M71" s="137">
        <f>C71*L71</f>
        <v>2603.884336666667</v>
      </c>
      <c r="N71" s="144">
        <v>0</v>
      </c>
      <c r="O71" s="130">
        <f>M71*N71</f>
        <v>0</v>
      </c>
      <c r="P71" s="159"/>
      <c r="Q71" s="159"/>
    </row>
    <row r="72" spans="1:20" s="72" customFormat="1" ht="14.25" x14ac:dyDescent="0.2">
      <c r="A72" s="63"/>
      <c r="B72" s="143" t="s">
        <v>257</v>
      </c>
      <c r="C72" s="607">
        <v>14</v>
      </c>
      <c r="D72" s="75" t="s">
        <v>116</v>
      </c>
      <c r="E72" s="134">
        <v>0.15</v>
      </c>
      <c r="F72" s="134">
        <f>C72*E72</f>
        <v>2.1</v>
      </c>
      <c r="G72" s="134">
        <f>$H$11*E72</f>
        <v>7.5</v>
      </c>
      <c r="H72" s="135">
        <f>F72*$H$11</f>
        <v>105</v>
      </c>
      <c r="I72" s="152">
        <v>3.5</v>
      </c>
      <c r="J72" s="135">
        <f>C72*I72</f>
        <v>49</v>
      </c>
      <c r="K72" s="136">
        <f>SUM(H72,J72)</f>
        <v>154</v>
      </c>
      <c r="L72" s="135">
        <f>K72/C72</f>
        <v>11</v>
      </c>
      <c r="M72" s="137">
        <f>C72*L72</f>
        <v>154</v>
      </c>
      <c r="N72" s="144">
        <v>0</v>
      </c>
      <c r="O72" s="130">
        <f>M72*N72</f>
        <v>0</v>
      </c>
      <c r="P72" s="159"/>
      <c r="Q72" s="159"/>
    </row>
    <row r="73" spans="1:20" s="72" customFormat="1" ht="14.25" x14ac:dyDescent="0.2">
      <c r="A73" s="63"/>
      <c r="B73" s="143"/>
      <c r="C73" s="64"/>
      <c r="D73" s="75"/>
      <c r="E73" s="134"/>
      <c r="F73" s="134"/>
      <c r="G73" s="134"/>
      <c r="H73" s="135"/>
      <c r="I73" s="152"/>
      <c r="J73" s="135"/>
      <c r="K73" s="136"/>
      <c r="L73" s="135"/>
      <c r="M73" s="137"/>
      <c r="N73" s="144"/>
      <c r="O73" s="130"/>
      <c r="P73" s="159"/>
      <c r="Q73" s="159"/>
    </row>
    <row r="74" spans="1:20" s="72" customFormat="1" ht="14.25" x14ac:dyDescent="0.2">
      <c r="A74" s="63"/>
      <c r="B74" s="143" t="s">
        <v>261</v>
      </c>
      <c r="C74" s="192" t="s">
        <v>262</v>
      </c>
      <c r="D74" s="75"/>
      <c r="E74" s="134"/>
      <c r="F74" s="134"/>
      <c r="G74" s="134"/>
      <c r="H74" s="135"/>
      <c r="I74" s="152"/>
      <c r="J74" s="135"/>
      <c r="K74" s="136"/>
      <c r="L74" s="135"/>
      <c r="M74" s="137"/>
      <c r="N74" s="144"/>
      <c r="O74" s="130"/>
      <c r="P74" s="159"/>
      <c r="Q74" s="159"/>
    </row>
    <row r="75" spans="1:20" s="72" customFormat="1" ht="14.25" x14ac:dyDescent="0.2">
      <c r="A75" s="63"/>
      <c r="B75" s="143" t="s">
        <v>285</v>
      </c>
      <c r="C75" s="195">
        <v>11</v>
      </c>
      <c r="D75" s="75" t="s">
        <v>116</v>
      </c>
      <c r="E75" s="134">
        <f>WORKINGS_Partitions!G41</f>
        <v>1.9770000000000001</v>
      </c>
      <c r="F75" s="134">
        <f>C75*E75</f>
        <v>21.747</v>
      </c>
      <c r="G75" s="134">
        <f>$H$11*E75</f>
        <v>98.850000000000009</v>
      </c>
      <c r="H75" s="135">
        <f>F75*$H$11</f>
        <v>1087.3499999999999</v>
      </c>
      <c r="I75" s="152">
        <f>WORKINGS_Partitions!K41</f>
        <v>87.141738333333336</v>
      </c>
      <c r="J75" s="135">
        <f>C75*I75</f>
        <v>958.55912166666667</v>
      </c>
      <c r="K75" s="136">
        <f>SUM(H75,J75)</f>
        <v>2045.9091216666666</v>
      </c>
      <c r="L75" s="135">
        <f>K75/C75</f>
        <v>185.99173833333333</v>
      </c>
      <c r="M75" s="137">
        <f>C75*L75</f>
        <v>2045.9091216666666</v>
      </c>
      <c r="N75" s="144">
        <v>0</v>
      </c>
      <c r="O75" s="130">
        <f>M75*N75</f>
        <v>0</v>
      </c>
      <c r="P75" s="159"/>
      <c r="Q75" s="159"/>
    </row>
    <row r="76" spans="1:20" s="72" customFormat="1" ht="14.25" x14ac:dyDescent="0.2">
      <c r="A76" s="63"/>
      <c r="B76" s="143" t="s">
        <v>263</v>
      </c>
      <c r="C76" s="192" t="s">
        <v>447</v>
      </c>
      <c r="D76" s="75"/>
      <c r="E76" s="134"/>
      <c r="F76" s="134"/>
      <c r="G76" s="134"/>
      <c r="H76" s="135"/>
      <c r="I76" s="152"/>
      <c r="J76" s="135"/>
      <c r="K76" s="136"/>
      <c r="L76" s="135"/>
      <c r="M76" s="137"/>
      <c r="N76" s="144"/>
      <c r="O76" s="130"/>
      <c r="P76" s="159"/>
      <c r="Q76" s="159"/>
    </row>
    <row r="77" spans="1:20" s="72" customFormat="1" ht="14.25" x14ac:dyDescent="0.2">
      <c r="A77" s="63"/>
      <c r="B77" s="143" t="s">
        <v>257</v>
      </c>
      <c r="C77" s="607">
        <v>11</v>
      </c>
      <c r="D77" s="75" t="s">
        <v>116</v>
      </c>
      <c r="E77" s="134">
        <v>0.15</v>
      </c>
      <c r="F77" s="134">
        <f>C77*E77</f>
        <v>1.65</v>
      </c>
      <c r="G77" s="134">
        <f>$H$11*E77</f>
        <v>7.5</v>
      </c>
      <c r="H77" s="135">
        <f>F77*$H$11</f>
        <v>82.5</v>
      </c>
      <c r="I77" s="152">
        <v>3.5</v>
      </c>
      <c r="J77" s="135">
        <f>C77*I77</f>
        <v>38.5</v>
      </c>
      <c r="K77" s="136">
        <f>SUM(H77,J77)</f>
        <v>121</v>
      </c>
      <c r="L77" s="135">
        <f>K77/C77</f>
        <v>11</v>
      </c>
      <c r="M77" s="137">
        <f>C77*L77</f>
        <v>121</v>
      </c>
      <c r="N77" s="144">
        <v>0</v>
      </c>
      <c r="O77" s="130">
        <f>M77*N77</f>
        <v>0</v>
      </c>
      <c r="P77" s="159"/>
      <c r="Q77" s="159"/>
    </row>
    <row r="78" spans="1:20" s="72" customFormat="1" ht="14.25" x14ac:dyDescent="0.2">
      <c r="A78" s="63"/>
      <c r="B78" s="143"/>
      <c r="C78" s="195"/>
      <c r="D78" s="75"/>
      <c r="E78" s="134"/>
      <c r="F78" s="134"/>
      <c r="G78" s="134"/>
      <c r="H78" s="135"/>
      <c r="I78" s="152"/>
      <c r="J78" s="135"/>
      <c r="K78" s="136"/>
      <c r="L78" s="135"/>
      <c r="M78" s="137"/>
      <c r="N78" s="144"/>
      <c r="O78" s="130"/>
      <c r="P78" s="159"/>
      <c r="Q78" s="159"/>
    </row>
    <row r="79" spans="1:20" s="72" customFormat="1" ht="25.5" x14ac:dyDescent="0.2">
      <c r="A79" s="63"/>
      <c r="B79" s="175" t="s">
        <v>327</v>
      </c>
      <c r="C79" s="195">
        <v>114</v>
      </c>
      <c r="D79" s="75" t="s">
        <v>151</v>
      </c>
      <c r="E79" s="134">
        <v>0.4</v>
      </c>
      <c r="F79" s="134">
        <f>C79*E79</f>
        <v>45.6</v>
      </c>
      <c r="G79" s="134">
        <f>$H$11*E79</f>
        <v>20</v>
      </c>
      <c r="H79" s="135">
        <f>F79*$H$11</f>
        <v>2280</v>
      </c>
      <c r="I79" s="152">
        <v>22.06</v>
      </c>
      <c r="J79" s="135">
        <f>C79*I79</f>
        <v>2514.8399999999997</v>
      </c>
      <c r="K79" s="136">
        <f>SUM(H79,J79)</f>
        <v>4794.84</v>
      </c>
      <c r="L79" s="135">
        <f>K79/C79</f>
        <v>42.06</v>
      </c>
      <c r="M79" s="137">
        <f>C79*L79</f>
        <v>4794.84</v>
      </c>
      <c r="N79" s="144">
        <v>0</v>
      </c>
      <c r="O79" s="130">
        <f>M79*N79</f>
        <v>0</v>
      </c>
      <c r="P79" s="159">
        <v>29</v>
      </c>
      <c r="Q79" s="307">
        <v>3.9</v>
      </c>
      <c r="R79" s="306">
        <f>(P79/0.4)*Q79</f>
        <v>282.75</v>
      </c>
    </row>
    <row r="80" spans="1:20" s="72" customFormat="1" ht="14.25" x14ac:dyDescent="0.2">
      <c r="A80" s="63"/>
      <c r="B80" s="143"/>
      <c r="C80" s="195"/>
      <c r="D80" s="75"/>
      <c r="E80" s="134"/>
      <c r="F80" s="134"/>
      <c r="G80" s="134"/>
      <c r="H80" s="135"/>
      <c r="I80" s="152"/>
      <c r="J80" s="135"/>
      <c r="K80" s="136"/>
      <c r="L80" s="135"/>
      <c r="M80" s="137"/>
      <c r="N80" s="144"/>
      <c r="O80" s="130"/>
      <c r="P80" s="159"/>
      <c r="Q80" s="159"/>
    </row>
    <row r="81" spans="1:18" s="72" customFormat="1" ht="14.25" x14ac:dyDescent="0.2">
      <c r="A81" s="63"/>
      <c r="B81" s="143" t="s">
        <v>294</v>
      </c>
      <c r="C81" s="195">
        <v>18</v>
      </c>
      <c r="D81" s="75" t="s">
        <v>116</v>
      </c>
      <c r="E81" s="134">
        <f>WORKINGS_Partitions!G76</f>
        <v>0.72041666666666659</v>
      </c>
      <c r="F81" s="134">
        <f>C81*E81</f>
        <v>12.967499999999999</v>
      </c>
      <c r="G81" s="134">
        <f>$H$11*E81</f>
        <v>36.020833333333329</v>
      </c>
      <c r="H81" s="135">
        <f>F81*$H$11</f>
        <v>648.375</v>
      </c>
      <c r="I81" s="152">
        <f>WORKINGS_Partitions!K76</f>
        <v>32.029583333333335</v>
      </c>
      <c r="J81" s="135">
        <f>C81*I81</f>
        <v>576.53250000000003</v>
      </c>
      <c r="K81" s="136">
        <f>SUM(H81,J81)</f>
        <v>1224.9075</v>
      </c>
      <c r="L81" s="135">
        <f>K81/C81</f>
        <v>68.050416666666663</v>
      </c>
      <c r="M81" s="137">
        <f>C81*L81</f>
        <v>1224.9075</v>
      </c>
      <c r="N81" s="144">
        <v>0</v>
      </c>
      <c r="O81" s="130">
        <f>M81*N81</f>
        <v>0</v>
      </c>
      <c r="P81" s="159"/>
      <c r="Q81" s="159"/>
    </row>
    <row r="82" spans="1:18" s="72" customFormat="1" ht="25.5" x14ac:dyDescent="0.2">
      <c r="A82" s="63"/>
      <c r="B82" s="175" t="s">
        <v>295</v>
      </c>
      <c r="C82" s="195">
        <v>72</v>
      </c>
      <c r="D82" s="75" t="s">
        <v>151</v>
      </c>
      <c r="E82" s="134">
        <v>0.4</v>
      </c>
      <c r="F82" s="134">
        <f>C82*E82</f>
        <v>28.8</v>
      </c>
      <c r="G82" s="134">
        <f>$H$11*E82</f>
        <v>20</v>
      </c>
      <c r="H82" s="135">
        <f>F82*$H$11</f>
        <v>1440</v>
      </c>
      <c r="I82" s="152">
        <v>22.2</v>
      </c>
      <c r="J82" s="135">
        <f>C82*I82</f>
        <v>1598.3999999999999</v>
      </c>
      <c r="K82" s="136">
        <f>SUM(H82,J82)</f>
        <v>3038.3999999999996</v>
      </c>
      <c r="L82" s="135">
        <f>K82/C82</f>
        <v>42.199999999999996</v>
      </c>
      <c r="M82" s="137">
        <f>C82*L82</f>
        <v>3038.3999999999996</v>
      </c>
      <c r="N82" s="144">
        <v>0</v>
      </c>
      <c r="O82" s="130">
        <f>M82*N82</f>
        <v>0</v>
      </c>
      <c r="P82" s="159">
        <v>18</v>
      </c>
      <c r="Q82" s="159">
        <v>3.9</v>
      </c>
      <c r="R82" s="306">
        <f>(P82/0.4)*Q82</f>
        <v>175.5</v>
      </c>
    </row>
    <row r="83" spans="1:18" s="72" customFormat="1" ht="14.25" x14ac:dyDescent="0.2">
      <c r="A83" s="63"/>
      <c r="B83" s="143"/>
      <c r="C83" s="195"/>
      <c r="D83" s="75"/>
      <c r="E83" s="134"/>
      <c r="F83" s="134"/>
      <c r="G83" s="134"/>
      <c r="H83" s="135"/>
      <c r="I83" s="152"/>
      <c r="J83" s="135"/>
      <c r="K83" s="136"/>
      <c r="L83" s="135"/>
      <c r="M83" s="137"/>
      <c r="N83" s="144"/>
      <c r="O83" s="130"/>
      <c r="P83" s="159"/>
      <c r="Q83" s="159"/>
    </row>
    <row r="84" spans="1:18" s="72" customFormat="1" ht="25.5" x14ac:dyDescent="0.2">
      <c r="A84" s="63"/>
      <c r="B84" s="175" t="s">
        <v>254</v>
      </c>
      <c r="C84" s="64">
        <v>84</v>
      </c>
      <c r="D84" s="75" t="s">
        <v>151</v>
      </c>
      <c r="E84" s="134">
        <v>0.43</v>
      </c>
      <c r="F84" s="134">
        <f>C84*E84</f>
        <v>36.119999999999997</v>
      </c>
      <c r="G84" s="134">
        <f>$H$11*E84</f>
        <v>21.5</v>
      </c>
      <c r="H84" s="135">
        <f>F84*$H$11</f>
        <v>1805.9999999999998</v>
      </c>
      <c r="I84" s="152">
        <v>24.68</v>
      </c>
      <c r="J84" s="135">
        <f>C84*I84</f>
        <v>2073.12</v>
      </c>
      <c r="K84" s="136">
        <f>SUM(H84,J84)</f>
        <v>3879.12</v>
      </c>
      <c r="L84" s="135">
        <f>K84/C84</f>
        <v>46.18</v>
      </c>
      <c r="M84" s="137">
        <f>C84*L84</f>
        <v>3879.12</v>
      </c>
      <c r="N84" s="144">
        <v>0</v>
      </c>
      <c r="O84" s="130">
        <f>M84*N84</f>
        <v>0</v>
      </c>
      <c r="P84" s="159">
        <v>29</v>
      </c>
      <c r="Q84" s="159">
        <v>2.95</v>
      </c>
      <c r="R84" s="306">
        <f>(P84/0.4)*Q84</f>
        <v>213.875</v>
      </c>
    </row>
    <row r="85" spans="1:18" s="72" customFormat="1" ht="14.25" x14ac:dyDescent="0.2">
      <c r="A85" s="63"/>
      <c r="B85" s="175"/>
      <c r="C85" s="64"/>
      <c r="D85" s="75"/>
      <c r="E85" s="134"/>
      <c r="F85" s="134"/>
      <c r="G85" s="134"/>
      <c r="H85" s="135"/>
      <c r="I85" s="152"/>
      <c r="J85" s="135"/>
      <c r="K85" s="136"/>
      <c r="L85" s="135"/>
      <c r="M85" s="137"/>
      <c r="N85" s="144"/>
      <c r="O85" s="130"/>
      <c r="P85" s="159"/>
      <c r="Q85" s="159"/>
    </row>
    <row r="86" spans="1:18" s="72" customFormat="1" ht="25.5" x14ac:dyDescent="0.2">
      <c r="A86" s="63"/>
      <c r="B86" s="202" t="s">
        <v>256</v>
      </c>
      <c r="C86" s="64">
        <v>16</v>
      </c>
      <c r="D86" s="75" t="s">
        <v>151</v>
      </c>
      <c r="E86" s="134">
        <v>0.45</v>
      </c>
      <c r="F86" s="134">
        <f>C86*E86</f>
        <v>7.2</v>
      </c>
      <c r="G86" s="134">
        <f>$H$11*E86</f>
        <v>22.5</v>
      </c>
      <c r="H86" s="135">
        <f>F86*$H$11</f>
        <v>360</v>
      </c>
      <c r="I86" s="152">
        <v>25.99</v>
      </c>
      <c r="J86" s="135">
        <f>C86*I86</f>
        <v>415.84</v>
      </c>
      <c r="K86" s="136">
        <f>SUM(H86,J86)</f>
        <v>775.83999999999992</v>
      </c>
      <c r="L86" s="135">
        <f>K86/C86</f>
        <v>48.489999999999995</v>
      </c>
      <c r="M86" s="137">
        <f>C86*L86</f>
        <v>775.83999999999992</v>
      </c>
      <c r="N86" s="144">
        <v>0</v>
      </c>
      <c r="O86" s="130">
        <f>M86*N86</f>
        <v>0</v>
      </c>
      <c r="P86" s="159">
        <v>5</v>
      </c>
      <c r="Q86" s="159">
        <v>2.9</v>
      </c>
      <c r="R86" s="306">
        <f>(P86/0.4)*Q86</f>
        <v>36.25</v>
      </c>
    </row>
    <row r="87" spans="1:18" s="72" customFormat="1" ht="14.25" x14ac:dyDescent="0.2">
      <c r="A87" s="63"/>
      <c r="B87" s="143" t="s">
        <v>258</v>
      </c>
      <c r="C87" s="64">
        <v>5</v>
      </c>
      <c r="D87" s="75" t="s">
        <v>116</v>
      </c>
      <c r="E87" s="134">
        <v>0.25</v>
      </c>
      <c r="F87" s="134">
        <f>C87*E87</f>
        <v>1.25</v>
      </c>
      <c r="G87" s="134">
        <f>$H$11*E87</f>
        <v>12.5</v>
      </c>
      <c r="H87" s="135">
        <f>F87*$H$11</f>
        <v>62.5</v>
      </c>
      <c r="I87" s="152">
        <v>23.84</v>
      </c>
      <c r="J87" s="135">
        <f>C87*I87</f>
        <v>119.2</v>
      </c>
      <c r="K87" s="136">
        <f>SUM(H87,J87)</f>
        <v>181.7</v>
      </c>
      <c r="L87" s="135">
        <f>K87/C87</f>
        <v>36.339999999999996</v>
      </c>
      <c r="M87" s="137">
        <f>C87*L87</f>
        <v>181.7</v>
      </c>
      <c r="N87" s="144">
        <v>0</v>
      </c>
      <c r="O87" s="130">
        <f>M87*N87</f>
        <v>0</v>
      </c>
      <c r="P87" s="159"/>
      <c r="Q87" s="159"/>
    </row>
    <row r="88" spans="1:18" s="72" customFormat="1" ht="14.25" x14ac:dyDescent="0.2">
      <c r="A88" s="63"/>
      <c r="B88" s="143" t="s">
        <v>257</v>
      </c>
      <c r="C88" s="243">
        <v>5</v>
      </c>
      <c r="D88" s="75" t="s">
        <v>116</v>
      </c>
      <c r="E88" s="134">
        <v>0.15</v>
      </c>
      <c r="F88" s="134">
        <f>C88*E88</f>
        <v>0.75</v>
      </c>
      <c r="G88" s="134">
        <f>$H$11*E88</f>
        <v>7.5</v>
      </c>
      <c r="H88" s="135">
        <f>F88*$H$11</f>
        <v>37.5</v>
      </c>
      <c r="I88" s="152">
        <v>3.5</v>
      </c>
      <c r="J88" s="135">
        <f>C88*I88</f>
        <v>17.5</v>
      </c>
      <c r="K88" s="136">
        <f>SUM(H88,J88)</f>
        <v>55</v>
      </c>
      <c r="L88" s="135">
        <f>K88/C88</f>
        <v>11</v>
      </c>
      <c r="M88" s="137">
        <f>C88*L88</f>
        <v>55</v>
      </c>
      <c r="N88" s="144">
        <v>0</v>
      </c>
      <c r="O88" s="130">
        <f>M88*N88</f>
        <v>0</v>
      </c>
      <c r="P88" s="159"/>
      <c r="Q88" s="159"/>
    </row>
    <row r="89" spans="1:18" s="72" customFormat="1" ht="14.25" x14ac:dyDescent="0.2">
      <c r="A89" s="63"/>
      <c r="B89" s="143"/>
      <c r="C89" s="64"/>
      <c r="D89" s="75"/>
      <c r="E89" s="134"/>
      <c r="F89" s="134"/>
      <c r="G89" s="134"/>
      <c r="H89" s="135"/>
      <c r="I89" s="152"/>
      <c r="J89" s="135"/>
      <c r="K89" s="136"/>
      <c r="L89" s="135"/>
      <c r="M89" s="137"/>
      <c r="N89" s="144"/>
      <c r="O89" s="130"/>
      <c r="P89" s="159"/>
      <c r="Q89" s="159"/>
    </row>
    <row r="90" spans="1:18" s="72" customFormat="1" ht="25.5" x14ac:dyDescent="0.2">
      <c r="A90" s="63"/>
      <c r="B90" s="175" t="s">
        <v>286</v>
      </c>
      <c r="C90" s="64">
        <v>15</v>
      </c>
      <c r="D90" s="75" t="s">
        <v>151</v>
      </c>
      <c r="E90" s="134">
        <v>0.44</v>
      </c>
      <c r="F90" s="134">
        <f>C90*E90</f>
        <v>6.6</v>
      </c>
      <c r="G90" s="134">
        <f>$H$11*E90</f>
        <v>22</v>
      </c>
      <c r="H90" s="135">
        <f>F90*$H$11</f>
        <v>330</v>
      </c>
      <c r="I90" s="152">
        <v>23.6</v>
      </c>
      <c r="J90" s="135">
        <f>C90*I90</f>
        <v>354</v>
      </c>
      <c r="K90" s="136">
        <f>SUM(H90,J90)</f>
        <v>684</v>
      </c>
      <c r="L90" s="135">
        <f>K90/C90</f>
        <v>45.6</v>
      </c>
      <c r="M90" s="137">
        <f>C90*L90</f>
        <v>684</v>
      </c>
      <c r="N90" s="144">
        <v>0</v>
      </c>
      <c r="O90" s="130">
        <f>M90*N90</f>
        <v>0</v>
      </c>
      <c r="P90" s="159">
        <v>5</v>
      </c>
      <c r="Q90" s="159">
        <v>2.95</v>
      </c>
      <c r="R90" s="306">
        <f>(P90/0.4)*Q90</f>
        <v>36.875</v>
      </c>
    </row>
    <row r="91" spans="1:18" s="72" customFormat="1" ht="14.25" x14ac:dyDescent="0.2">
      <c r="A91" s="63"/>
      <c r="B91" s="143"/>
      <c r="C91" s="64"/>
      <c r="D91" s="75"/>
      <c r="E91" s="134"/>
      <c r="F91" s="134"/>
      <c r="G91" s="134"/>
      <c r="H91" s="135"/>
      <c r="I91" s="152"/>
      <c r="J91" s="135"/>
      <c r="K91" s="136"/>
      <c r="L91" s="135"/>
      <c r="M91" s="137"/>
      <c r="N91" s="144"/>
      <c r="O91" s="130"/>
      <c r="P91" s="159"/>
      <c r="Q91" s="159"/>
    </row>
    <row r="92" spans="1:18" s="72" customFormat="1" ht="25.5" x14ac:dyDescent="0.2">
      <c r="A92" s="63"/>
      <c r="B92" s="175" t="s">
        <v>260</v>
      </c>
      <c r="C92" s="64">
        <v>52</v>
      </c>
      <c r="D92" s="75" t="s">
        <v>151</v>
      </c>
      <c r="E92" s="134">
        <v>0.45</v>
      </c>
      <c r="F92" s="134">
        <f>C92*E92</f>
        <v>23.400000000000002</v>
      </c>
      <c r="G92" s="134">
        <f>$H$11*E92</f>
        <v>22.5</v>
      </c>
      <c r="H92" s="135">
        <f>F92*$H$11</f>
        <v>1170</v>
      </c>
      <c r="I92" s="152">
        <v>25.01</v>
      </c>
      <c r="J92" s="135">
        <f>C92*I92</f>
        <v>1300.52</v>
      </c>
      <c r="K92" s="136">
        <f>SUM(H92,J92)</f>
        <v>2470.52</v>
      </c>
      <c r="L92" s="135">
        <f>K92/C92</f>
        <v>47.51</v>
      </c>
      <c r="M92" s="137">
        <f>C92*L92</f>
        <v>2470.52</v>
      </c>
      <c r="N92" s="144">
        <v>0</v>
      </c>
      <c r="O92" s="130">
        <f>M92*N92</f>
        <v>0</v>
      </c>
      <c r="P92" s="159">
        <v>18</v>
      </c>
      <c r="Q92" s="159">
        <v>2.9</v>
      </c>
      <c r="R92" s="306">
        <f>(P92/0.4)*Q92</f>
        <v>130.5</v>
      </c>
    </row>
    <row r="93" spans="1:18" s="72" customFormat="1" ht="14.25" x14ac:dyDescent="0.2">
      <c r="A93" s="63"/>
      <c r="B93" s="143" t="s">
        <v>259</v>
      </c>
      <c r="C93" s="64">
        <v>18</v>
      </c>
      <c r="D93" s="75" t="s">
        <v>116</v>
      </c>
      <c r="E93" s="134">
        <v>0.25</v>
      </c>
      <c r="F93" s="134">
        <f>C93*E93</f>
        <v>4.5</v>
      </c>
      <c r="G93" s="134">
        <f>$H$11*E93</f>
        <v>12.5</v>
      </c>
      <c r="H93" s="135">
        <f>F93*$H$11</f>
        <v>225</v>
      </c>
      <c r="I93" s="152">
        <v>23.84</v>
      </c>
      <c r="J93" s="135">
        <f>C93*I93</f>
        <v>429.12</v>
      </c>
      <c r="K93" s="136">
        <f>SUM(H93,J93)</f>
        <v>654.12</v>
      </c>
      <c r="L93" s="135">
        <f>K93/C93</f>
        <v>36.340000000000003</v>
      </c>
      <c r="M93" s="137">
        <f>C93*L93</f>
        <v>654.12000000000012</v>
      </c>
      <c r="N93" s="144">
        <v>0</v>
      </c>
      <c r="O93" s="130">
        <f>M93*N93</f>
        <v>0</v>
      </c>
      <c r="P93" s="159"/>
      <c r="Q93" s="159"/>
    </row>
    <row r="94" spans="1:18" s="72" customFormat="1" ht="14.25" x14ac:dyDescent="0.2">
      <c r="A94" s="63"/>
      <c r="B94" s="143" t="s">
        <v>257</v>
      </c>
      <c r="C94" s="243">
        <v>18</v>
      </c>
      <c r="D94" s="75" t="s">
        <v>116</v>
      </c>
      <c r="E94" s="134">
        <v>0.15</v>
      </c>
      <c r="F94" s="134">
        <f>C94*E94</f>
        <v>2.6999999999999997</v>
      </c>
      <c r="G94" s="134">
        <f>$H$11*E94</f>
        <v>7.5</v>
      </c>
      <c r="H94" s="135">
        <f>F94*$H$11</f>
        <v>135</v>
      </c>
      <c r="I94" s="152">
        <v>3.5</v>
      </c>
      <c r="J94" s="135">
        <f>C94*I94</f>
        <v>63</v>
      </c>
      <c r="K94" s="136">
        <f>SUM(H94,J94)</f>
        <v>198</v>
      </c>
      <c r="L94" s="135">
        <f>K94/C94</f>
        <v>11</v>
      </c>
      <c r="M94" s="137">
        <f>C94*L94</f>
        <v>198</v>
      </c>
      <c r="N94" s="144">
        <v>0</v>
      </c>
      <c r="O94" s="130">
        <f>M94*N94</f>
        <v>0</v>
      </c>
      <c r="P94" s="159"/>
      <c r="Q94" s="159"/>
    </row>
    <row r="95" spans="1:18" s="72" customFormat="1" ht="14.25" x14ac:dyDescent="0.2">
      <c r="A95" s="63"/>
      <c r="B95" s="143"/>
      <c r="C95" s="64"/>
      <c r="D95" s="75"/>
      <c r="E95" s="134"/>
      <c r="F95" s="134"/>
      <c r="G95" s="134"/>
      <c r="H95" s="135"/>
      <c r="I95" s="152"/>
      <c r="J95" s="135"/>
      <c r="K95" s="136"/>
      <c r="L95" s="135"/>
      <c r="M95" s="137"/>
      <c r="N95" s="144"/>
      <c r="O95" s="130"/>
      <c r="P95" s="159"/>
      <c r="Q95" s="159"/>
    </row>
    <row r="96" spans="1:18" s="72" customFormat="1" ht="14.25" x14ac:dyDescent="0.2">
      <c r="A96" s="63"/>
      <c r="B96" s="316" t="s">
        <v>290</v>
      </c>
      <c r="C96" s="195">
        <v>5</v>
      </c>
      <c r="D96" s="75" t="s">
        <v>116</v>
      </c>
      <c r="E96" s="134">
        <f>WORKINGS_Partitions!G89</f>
        <v>1.0050000000000001</v>
      </c>
      <c r="F96" s="134">
        <f>C96*E96</f>
        <v>5.0250000000000004</v>
      </c>
      <c r="G96" s="134">
        <f>$H$11*E96</f>
        <v>50.250000000000007</v>
      </c>
      <c r="H96" s="135">
        <f>F96*$H$11</f>
        <v>251.25000000000003</v>
      </c>
      <c r="I96" s="152">
        <f>WORKINGS_Partitions!K89</f>
        <v>32.238941666666669</v>
      </c>
      <c r="J96" s="135">
        <f>C96*I96</f>
        <v>161.19470833333335</v>
      </c>
      <c r="K96" s="136">
        <f>SUM(H96,J96)</f>
        <v>412.44470833333338</v>
      </c>
      <c r="L96" s="135">
        <f>K96/C96</f>
        <v>82.488941666666676</v>
      </c>
      <c r="M96" s="137">
        <f>C96*L96</f>
        <v>412.44470833333338</v>
      </c>
      <c r="N96" s="144">
        <v>0</v>
      </c>
      <c r="O96" s="130">
        <f>M96*N96</f>
        <v>0</v>
      </c>
      <c r="P96" s="159"/>
      <c r="Q96" s="159"/>
    </row>
    <row r="97" spans="1:20" s="72" customFormat="1" ht="25.5" x14ac:dyDescent="0.2">
      <c r="A97" s="63"/>
      <c r="B97" s="175" t="s">
        <v>291</v>
      </c>
      <c r="C97" s="195">
        <v>14</v>
      </c>
      <c r="D97" s="75" t="s">
        <v>151</v>
      </c>
      <c r="E97" s="134">
        <v>0.43</v>
      </c>
      <c r="F97" s="134">
        <f>C97*E97</f>
        <v>6.02</v>
      </c>
      <c r="G97" s="134">
        <f>$H$11*E97</f>
        <v>21.5</v>
      </c>
      <c r="H97" s="135">
        <f>F97*$H$11</f>
        <v>301</v>
      </c>
      <c r="I97" s="152">
        <v>25.01</v>
      </c>
      <c r="J97" s="135">
        <f>C97*I97</f>
        <v>350.14000000000004</v>
      </c>
      <c r="K97" s="136">
        <f>SUM(H97,J97)</f>
        <v>651.1400000000001</v>
      </c>
      <c r="L97" s="135">
        <f>K97/C97</f>
        <v>46.510000000000005</v>
      </c>
      <c r="M97" s="137">
        <f>C97*L97</f>
        <v>651.1400000000001</v>
      </c>
      <c r="N97" s="144">
        <v>0</v>
      </c>
      <c r="O97" s="130">
        <f>M97*N97</f>
        <v>0</v>
      </c>
      <c r="P97" s="159">
        <v>5</v>
      </c>
      <c r="Q97" s="159">
        <v>2.9</v>
      </c>
      <c r="R97" s="306">
        <f>(P97/0.4)*Q97</f>
        <v>36.25</v>
      </c>
    </row>
    <row r="98" spans="1:20" s="72" customFormat="1" ht="14.25" x14ac:dyDescent="0.2">
      <c r="A98" s="63"/>
      <c r="B98" s="143" t="s">
        <v>259</v>
      </c>
      <c r="C98" s="64">
        <v>5</v>
      </c>
      <c r="D98" s="75" t="s">
        <v>116</v>
      </c>
      <c r="E98" s="134">
        <v>0.25</v>
      </c>
      <c r="F98" s="134">
        <f>C98*E98</f>
        <v>1.25</v>
      </c>
      <c r="G98" s="134">
        <f>$H$11*E98</f>
        <v>12.5</v>
      </c>
      <c r="H98" s="135">
        <f>F98*$H$11</f>
        <v>62.5</v>
      </c>
      <c r="I98" s="152">
        <v>23.84</v>
      </c>
      <c r="J98" s="135">
        <f>C98*I98</f>
        <v>119.2</v>
      </c>
      <c r="K98" s="136">
        <f>SUM(H98,J98)</f>
        <v>181.7</v>
      </c>
      <c r="L98" s="135">
        <f>K98/C98</f>
        <v>36.339999999999996</v>
      </c>
      <c r="M98" s="137">
        <f>C98*L98</f>
        <v>181.7</v>
      </c>
      <c r="N98" s="144">
        <v>0</v>
      </c>
      <c r="O98" s="130">
        <f>M98*N98</f>
        <v>0</v>
      </c>
      <c r="P98" s="159"/>
      <c r="Q98" s="159"/>
    </row>
    <row r="99" spans="1:20" s="72" customFormat="1" ht="14.25" x14ac:dyDescent="0.2">
      <c r="A99" s="63"/>
      <c r="B99" s="143" t="s">
        <v>257</v>
      </c>
      <c r="C99" s="243">
        <v>5</v>
      </c>
      <c r="D99" s="75" t="s">
        <v>116</v>
      </c>
      <c r="E99" s="134">
        <v>0.15</v>
      </c>
      <c r="F99" s="134">
        <f>C99*E99</f>
        <v>0.75</v>
      </c>
      <c r="G99" s="134">
        <f>$H$11*E99</f>
        <v>7.5</v>
      </c>
      <c r="H99" s="135">
        <f>F99*$H$11</f>
        <v>37.5</v>
      </c>
      <c r="I99" s="152">
        <v>3.5</v>
      </c>
      <c r="J99" s="135">
        <f>C99*I99</f>
        <v>17.5</v>
      </c>
      <c r="K99" s="136">
        <f>SUM(H99,J99)</f>
        <v>55</v>
      </c>
      <c r="L99" s="135">
        <f>K99/C99</f>
        <v>11</v>
      </c>
      <c r="M99" s="137">
        <f>C99*L99</f>
        <v>55</v>
      </c>
      <c r="N99" s="144">
        <v>0</v>
      </c>
      <c r="O99" s="130">
        <f>M99*N99</f>
        <v>0</v>
      </c>
      <c r="P99" s="159"/>
      <c r="Q99" s="159"/>
    </row>
    <row r="100" spans="1:20" s="72" customFormat="1" ht="14.25" x14ac:dyDescent="0.2">
      <c r="A100" s="63"/>
      <c r="B100" s="143"/>
      <c r="C100" s="64"/>
      <c r="D100" s="75"/>
      <c r="E100" s="134"/>
      <c r="F100" s="134"/>
      <c r="G100" s="134"/>
      <c r="H100" s="135"/>
      <c r="I100" s="152"/>
      <c r="J100" s="135"/>
      <c r="K100" s="136"/>
      <c r="L100" s="135"/>
      <c r="M100" s="137"/>
      <c r="N100" s="144"/>
      <c r="O100" s="130"/>
      <c r="P100" s="159"/>
      <c r="Q100" s="159"/>
    </row>
    <row r="101" spans="1:20" s="72" customFormat="1" ht="14.25" x14ac:dyDescent="0.2">
      <c r="A101" s="63"/>
      <c r="B101" s="316" t="s">
        <v>378</v>
      </c>
      <c r="C101" s="64">
        <v>18</v>
      </c>
      <c r="D101" s="75" t="s">
        <v>148</v>
      </c>
      <c r="E101" s="134">
        <v>0.75</v>
      </c>
      <c r="F101" s="134">
        <f>C101*E101</f>
        <v>13.5</v>
      </c>
      <c r="G101" s="134">
        <f>$H$11*E101</f>
        <v>37.5</v>
      </c>
      <c r="H101" s="135">
        <f>F101*$H$11</f>
        <v>675</v>
      </c>
      <c r="I101" s="152">
        <v>85.17</v>
      </c>
      <c r="J101" s="135">
        <f>C101*I101</f>
        <v>1533.06</v>
      </c>
      <c r="K101" s="136">
        <f>SUM(H101,J101)</f>
        <v>2208.06</v>
      </c>
      <c r="L101" s="135">
        <f>K101/C101</f>
        <v>122.67</v>
      </c>
      <c r="M101" s="137">
        <f>C101*L101</f>
        <v>2208.06</v>
      </c>
      <c r="N101" s="144">
        <v>0</v>
      </c>
      <c r="O101" s="130">
        <f>M101*N101</f>
        <v>0</v>
      </c>
      <c r="P101" s="159"/>
      <c r="Q101" s="159"/>
    </row>
    <row r="102" spans="1:20" s="72" customFormat="1" ht="14.25" x14ac:dyDescent="0.2">
      <c r="A102" s="63"/>
      <c r="B102" s="143"/>
      <c r="C102" s="64"/>
      <c r="D102" s="75"/>
      <c r="E102" s="134"/>
      <c r="F102" s="134"/>
      <c r="G102" s="134"/>
      <c r="H102" s="135"/>
      <c r="I102" s="152"/>
      <c r="J102" s="135"/>
      <c r="K102" s="136"/>
      <c r="L102" s="135"/>
      <c r="M102" s="137"/>
      <c r="N102" s="144"/>
      <c r="O102" s="130"/>
      <c r="P102" s="159"/>
      <c r="Q102" s="159"/>
      <c r="R102" s="306">
        <f>SUM(R28:R101)</f>
        <v>2005.125</v>
      </c>
    </row>
    <row r="103" spans="1:20" s="72" customFormat="1" ht="14.25" x14ac:dyDescent="0.2">
      <c r="A103" s="63"/>
      <c r="B103" s="143" t="s">
        <v>379</v>
      </c>
      <c r="C103" s="192" t="s">
        <v>938</v>
      </c>
      <c r="D103" s="75"/>
      <c r="E103" s="134"/>
      <c r="F103" s="134"/>
      <c r="G103" s="134"/>
      <c r="H103" s="135"/>
      <c r="I103" s="152"/>
      <c r="J103" s="135"/>
      <c r="K103" s="136"/>
      <c r="L103" s="135"/>
      <c r="M103" s="137"/>
      <c r="N103" s="144"/>
      <c r="O103" s="130"/>
      <c r="P103" s="159"/>
      <c r="Q103" s="159"/>
    </row>
    <row r="104" spans="1:20" s="72" customFormat="1" ht="14.25" x14ac:dyDescent="0.2">
      <c r="A104" s="63"/>
      <c r="B104" s="143"/>
      <c r="C104" s="64"/>
      <c r="D104" s="75"/>
      <c r="E104" s="134"/>
      <c r="F104" s="134"/>
      <c r="G104" s="134"/>
      <c r="H104" s="135"/>
      <c r="I104" s="152"/>
      <c r="J104" s="135"/>
      <c r="K104" s="136"/>
      <c r="L104" s="135"/>
      <c r="M104" s="137"/>
      <c r="N104" s="144"/>
      <c r="O104" s="130"/>
      <c r="P104" s="159"/>
      <c r="Q104" s="159"/>
    </row>
    <row r="105" spans="1:20" s="72" customFormat="1" ht="14.25" x14ac:dyDescent="0.2">
      <c r="A105" s="63"/>
      <c r="B105" s="242" t="s">
        <v>297</v>
      </c>
      <c r="C105" s="243">
        <f>SUM(P79,P82)</f>
        <v>47</v>
      </c>
      <c r="D105" s="75" t="s">
        <v>116</v>
      </c>
      <c r="E105" s="134">
        <v>0.25</v>
      </c>
      <c r="F105" s="134">
        <f>C105*E105</f>
        <v>11.75</v>
      </c>
      <c r="G105" s="134">
        <f>$H$11*E105</f>
        <v>12.5</v>
      </c>
      <c r="H105" s="135">
        <f>F105*$H$11</f>
        <v>587.5</v>
      </c>
      <c r="I105" s="152">
        <v>15</v>
      </c>
      <c r="J105" s="135">
        <f>C105*I105</f>
        <v>705</v>
      </c>
      <c r="K105" s="136">
        <f>SUM(H105,J105)</f>
        <v>1292.5</v>
      </c>
      <c r="L105" s="135">
        <f>K105/C105</f>
        <v>27.5</v>
      </c>
      <c r="M105" s="137">
        <f>C105*L105</f>
        <v>1292.5</v>
      </c>
      <c r="N105" s="144">
        <v>0</v>
      </c>
      <c r="O105" s="130">
        <f>M105*N105</f>
        <v>0</v>
      </c>
      <c r="P105" s="159"/>
      <c r="Q105" s="159"/>
    </row>
    <row r="106" spans="1:20" s="72" customFormat="1" ht="14.25" x14ac:dyDescent="0.2">
      <c r="A106" s="63"/>
      <c r="B106" s="316" t="s">
        <v>336</v>
      </c>
      <c r="C106" s="64">
        <v>285</v>
      </c>
      <c r="D106" s="75" t="s">
        <v>116</v>
      </c>
      <c r="E106" s="134">
        <v>0.09</v>
      </c>
      <c r="F106" s="134">
        <f>C106*E106</f>
        <v>25.65</v>
      </c>
      <c r="G106" s="134">
        <f>$H$11*E106</f>
        <v>4.5</v>
      </c>
      <c r="H106" s="135">
        <f>F106*$H$11</f>
        <v>1282.5</v>
      </c>
      <c r="I106" s="152">
        <v>5.61</v>
      </c>
      <c r="J106" s="135">
        <f>C106*I106</f>
        <v>1598.8500000000001</v>
      </c>
      <c r="K106" s="136">
        <f>SUM(H106,J106)</f>
        <v>2881.3500000000004</v>
      </c>
      <c r="L106" s="135">
        <f>K106/C106</f>
        <v>10.110000000000001</v>
      </c>
      <c r="M106" s="137">
        <f>C106*L106</f>
        <v>2881.3500000000004</v>
      </c>
      <c r="N106" s="144">
        <v>0</v>
      </c>
      <c r="O106" s="130">
        <f>M106*N106</f>
        <v>0</v>
      </c>
      <c r="P106" s="159"/>
      <c r="Q106" s="159"/>
    </row>
    <row r="107" spans="1:20" s="72" customFormat="1" ht="14.25" x14ac:dyDescent="0.2">
      <c r="A107" s="63"/>
      <c r="B107" s="242" t="s">
        <v>755</v>
      </c>
      <c r="C107" s="64">
        <v>6</v>
      </c>
      <c r="D107" s="75" t="s">
        <v>75</v>
      </c>
      <c r="E107" s="134">
        <v>1.5</v>
      </c>
      <c r="F107" s="134">
        <f>C107*E107</f>
        <v>9</v>
      </c>
      <c r="G107" s="134">
        <f>$H$11*E107</f>
        <v>75</v>
      </c>
      <c r="H107" s="135">
        <f>F107*$H$11</f>
        <v>450</v>
      </c>
      <c r="I107" s="152">
        <v>139</v>
      </c>
      <c r="J107" s="135">
        <f>C107*I107</f>
        <v>834</v>
      </c>
      <c r="K107" s="136">
        <f>SUM(H107,J107)</f>
        <v>1284</v>
      </c>
      <c r="L107" s="135">
        <f>K107/C107</f>
        <v>214</v>
      </c>
      <c r="M107" s="137">
        <f>C107*L107</f>
        <v>1284</v>
      </c>
      <c r="N107" s="144">
        <v>0</v>
      </c>
      <c r="O107" s="130">
        <f>M107*N107</f>
        <v>0</v>
      </c>
      <c r="P107" s="159"/>
      <c r="Q107" s="159"/>
    </row>
    <row r="108" spans="1:20" s="72" customFormat="1" ht="14.25" x14ac:dyDescent="0.2">
      <c r="A108" s="63"/>
      <c r="B108" s="242" t="s">
        <v>756</v>
      </c>
      <c r="C108" s="64">
        <v>3</v>
      </c>
      <c r="D108" s="75" t="s">
        <v>75</v>
      </c>
      <c r="E108" s="134">
        <v>1</v>
      </c>
      <c r="F108" s="134">
        <f>C108*E108</f>
        <v>3</v>
      </c>
      <c r="G108" s="134">
        <f>$H$11*E108</f>
        <v>50</v>
      </c>
      <c r="H108" s="135">
        <f>F108*$H$11</f>
        <v>150</v>
      </c>
      <c r="I108" s="152">
        <v>70</v>
      </c>
      <c r="J108" s="135">
        <f>C108*I108</f>
        <v>210</v>
      </c>
      <c r="K108" s="136">
        <f>SUM(H108,J108)</f>
        <v>360</v>
      </c>
      <c r="L108" s="135">
        <f>K108/C108</f>
        <v>120</v>
      </c>
      <c r="M108" s="137">
        <f>C108*L108</f>
        <v>360</v>
      </c>
      <c r="N108" s="144">
        <v>0</v>
      </c>
      <c r="O108" s="130">
        <f>M108*N108</f>
        <v>0</v>
      </c>
      <c r="P108" s="159"/>
      <c r="Q108" s="159"/>
      <c r="T108" s="306"/>
    </row>
    <row r="109" spans="1:20" s="72" customFormat="1" ht="14.25" x14ac:dyDescent="0.2">
      <c r="A109" s="63"/>
      <c r="B109" s="242" t="s">
        <v>937</v>
      </c>
      <c r="C109" s="64">
        <v>92</v>
      </c>
      <c r="D109" s="75" t="s">
        <v>116</v>
      </c>
      <c r="E109" s="134">
        <v>0.1</v>
      </c>
      <c r="F109" s="134">
        <f>C109*E109</f>
        <v>9.2000000000000011</v>
      </c>
      <c r="G109" s="134">
        <f>$H$11*E109</f>
        <v>5</v>
      </c>
      <c r="H109" s="135">
        <f>F109*$H$11</f>
        <v>460.00000000000006</v>
      </c>
      <c r="I109" s="152">
        <v>10.1</v>
      </c>
      <c r="J109" s="135">
        <f>C109*I109</f>
        <v>929.19999999999993</v>
      </c>
      <c r="K109" s="136">
        <f>SUM(H109,J109)</f>
        <v>1389.2</v>
      </c>
      <c r="L109" s="135">
        <f>K109/C109</f>
        <v>15.1</v>
      </c>
      <c r="M109" s="137">
        <f>C109*L109</f>
        <v>1389.2</v>
      </c>
      <c r="N109" s="144">
        <v>0</v>
      </c>
      <c r="O109" s="130">
        <f>M109*N109</f>
        <v>0</v>
      </c>
      <c r="P109" s="159"/>
      <c r="Q109" s="159"/>
      <c r="T109" s="306"/>
    </row>
    <row r="110" spans="1:20" s="72" customFormat="1" ht="14.25" x14ac:dyDescent="0.2">
      <c r="A110" s="63"/>
      <c r="B110" s="242"/>
      <c r="C110" s="64"/>
      <c r="D110" s="75"/>
      <c r="E110" s="134"/>
      <c r="F110" s="134"/>
      <c r="G110" s="134"/>
      <c r="H110" s="135"/>
      <c r="I110" s="152"/>
      <c r="J110" s="135"/>
      <c r="K110" s="136"/>
      <c r="L110" s="135"/>
      <c r="M110" s="137"/>
      <c r="N110" s="144"/>
      <c r="O110" s="130"/>
      <c r="P110" s="159"/>
      <c r="Q110" s="159"/>
      <c r="T110" s="306"/>
    </row>
    <row r="111" spans="1:20" s="72" customFormat="1" ht="14.25" x14ac:dyDescent="0.2">
      <c r="A111" s="63"/>
      <c r="B111" s="143" t="s">
        <v>954</v>
      </c>
      <c r="C111" s="64">
        <v>19</v>
      </c>
      <c r="D111" s="75" t="s">
        <v>148</v>
      </c>
      <c r="E111" s="134">
        <v>2.5</v>
      </c>
      <c r="F111" s="134">
        <f>C111*E111</f>
        <v>47.5</v>
      </c>
      <c r="G111" s="134">
        <f>$H$11*E111</f>
        <v>125</v>
      </c>
      <c r="H111" s="135">
        <f>F111*$H$11</f>
        <v>2375</v>
      </c>
      <c r="I111" s="152">
        <v>175</v>
      </c>
      <c r="J111" s="135">
        <f>C111*I111</f>
        <v>3325</v>
      </c>
      <c r="K111" s="136">
        <f>SUM(H111,J111)</f>
        <v>5700</v>
      </c>
      <c r="L111" s="135">
        <f>K111/C111</f>
        <v>300</v>
      </c>
      <c r="M111" s="137">
        <f>C111*L111</f>
        <v>5700</v>
      </c>
      <c r="N111" s="144">
        <v>0</v>
      </c>
      <c r="O111" s="130">
        <f>M111*N111</f>
        <v>0</v>
      </c>
      <c r="P111" s="159"/>
      <c r="Q111" s="159"/>
      <c r="T111" s="306"/>
    </row>
    <row r="112" spans="1:20" s="72" customFormat="1" ht="14.25" x14ac:dyDescent="0.2">
      <c r="A112" s="63"/>
      <c r="B112" s="175"/>
      <c r="C112" s="64"/>
      <c r="D112" s="75"/>
      <c r="E112" s="134"/>
      <c r="F112" s="134"/>
      <c r="G112" s="134"/>
      <c r="H112" s="135"/>
      <c r="I112" s="152"/>
      <c r="J112" s="135"/>
      <c r="K112" s="136"/>
      <c r="L112" s="135"/>
      <c r="M112" s="137"/>
      <c r="N112" s="144"/>
      <c r="O112" s="130"/>
      <c r="P112" s="159"/>
      <c r="Q112" s="159"/>
    </row>
    <row r="113" spans="1:18" s="72" customFormat="1" ht="14.25" x14ac:dyDescent="0.2">
      <c r="A113" s="63"/>
      <c r="B113" s="143"/>
      <c r="C113" s="64"/>
      <c r="D113" s="75"/>
      <c r="E113" s="134"/>
      <c r="F113" s="134"/>
      <c r="G113" s="134"/>
      <c r="H113" s="135"/>
      <c r="I113" s="152"/>
      <c r="J113" s="135"/>
      <c r="K113" s="136"/>
      <c r="L113" s="135"/>
      <c r="M113" s="137"/>
      <c r="N113" s="144"/>
      <c r="O113" s="130"/>
      <c r="P113" s="159"/>
      <c r="Q113" s="159"/>
    </row>
    <row r="114" spans="1:18" s="72" customFormat="1" ht="15" x14ac:dyDescent="0.2">
      <c r="A114" s="63"/>
      <c r="B114" s="176" t="s">
        <v>60</v>
      </c>
      <c r="C114" s="64"/>
      <c r="D114" s="75"/>
      <c r="E114" s="128"/>
      <c r="F114" s="129"/>
      <c r="G114" s="129"/>
      <c r="H114" s="129"/>
      <c r="I114" s="153"/>
      <c r="J114" s="128"/>
      <c r="K114" s="128"/>
      <c r="L114" s="128"/>
      <c r="M114" s="120"/>
      <c r="N114" s="126"/>
      <c r="O114" s="127"/>
      <c r="P114" s="159"/>
      <c r="Q114" s="159"/>
    </row>
    <row r="115" spans="1:18" s="72" customFormat="1" ht="14.25" x14ac:dyDescent="0.2">
      <c r="A115" s="63"/>
      <c r="B115" s="143"/>
      <c r="C115" s="64"/>
      <c r="D115" s="75"/>
      <c r="E115" s="134"/>
      <c r="F115" s="134"/>
      <c r="G115" s="134"/>
      <c r="H115" s="135"/>
      <c r="I115" s="152"/>
      <c r="J115" s="135"/>
      <c r="K115" s="136"/>
      <c r="L115" s="135"/>
      <c r="M115" s="137"/>
      <c r="N115" s="144"/>
      <c r="O115" s="130"/>
      <c r="P115" s="159"/>
      <c r="Q115" s="159"/>
    </row>
    <row r="116" spans="1:18" s="72" customFormat="1" ht="14.25" x14ac:dyDescent="0.2">
      <c r="A116" s="63"/>
      <c r="B116" s="143" t="s">
        <v>299</v>
      </c>
      <c r="C116" s="192" t="s">
        <v>262</v>
      </c>
      <c r="D116" s="75"/>
      <c r="E116" s="128"/>
      <c r="F116" s="129"/>
      <c r="G116" s="129"/>
      <c r="H116" s="129"/>
      <c r="I116" s="153"/>
      <c r="J116" s="128"/>
      <c r="K116" s="128"/>
      <c r="L116" s="128"/>
      <c r="M116" s="120"/>
      <c r="N116" s="126"/>
      <c r="O116" s="127"/>
      <c r="P116" s="159"/>
      <c r="Q116" s="159"/>
    </row>
    <row r="117" spans="1:18" s="72" customFormat="1" ht="14.25" x14ac:dyDescent="0.2">
      <c r="A117" s="63"/>
      <c r="B117" s="143" t="s">
        <v>300</v>
      </c>
      <c r="C117" s="195">
        <v>48</v>
      </c>
      <c r="D117" s="75" t="s">
        <v>116</v>
      </c>
      <c r="E117" s="134">
        <f>WORKINGS_Partitions!G41</f>
        <v>1.9770000000000001</v>
      </c>
      <c r="F117" s="134">
        <f>C117*E117</f>
        <v>94.896000000000001</v>
      </c>
      <c r="G117" s="134">
        <f>$H$11*E117</f>
        <v>98.850000000000009</v>
      </c>
      <c r="H117" s="135">
        <f>F117*$H$11</f>
        <v>4744.8</v>
      </c>
      <c r="I117" s="152">
        <f>WORKINGS_Partitions!K41</f>
        <v>87.141738333333336</v>
      </c>
      <c r="J117" s="135">
        <f>C117*I117</f>
        <v>4182.8034399999997</v>
      </c>
      <c r="K117" s="136">
        <f>SUM(H117,J117)</f>
        <v>8927.603439999999</v>
      </c>
      <c r="L117" s="135">
        <f>K117/C117</f>
        <v>185.9917383333333</v>
      </c>
      <c r="M117" s="137">
        <f>C117*L117</f>
        <v>8927.603439999999</v>
      </c>
      <c r="N117" s="144">
        <v>0</v>
      </c>
      <c r="O117" s="130">
        <f>M117*N117</f>
        <v>0</v>
      </c>
      <c r="P117" s="159"/>
      <c r="Q117" s="159"/>
    </row>
    <row r="118" spans="1:18" s="72" customFormat="1" ht="14.25" x14ac:dyDescent="0.2">
      <c r="A118" s="63"/>
      <c r="B118" s="143" t="s">
        <v>257</v>
      </c>
      <c r="C118" s="607">
        <v>48</v>
      </c>
      <c r="D118" s="75" t="s">
        <v>116</v>
      </c>
      <c r="E118" s="134">
        <v>0.15</v>
      </c>
      <c r="F118" s="134">
        <f>C118*E118</f>
        <v>7.1999999999999993</v>
      </c>
      <c r="G118" s="134">
        <f>$H$11*E118</f>
        <v>7.5</v>
      </c>
      <c r="H118" s="135">
        <f>F118*$H$11</f>
        <v>359.99999999999994</v>
      </c>
      <c r="I118" s="152">
        <v>3.5</v>
      </c>
      <c r="J118" s="135">
        <f>C118*I118</f>
        <v>168</v>
      </c>
      <c r="K118" s="136">
        <f>SUM(H118,J118)</f>
        <v>528</v>
      </c>
      <c r="L118" s="135">
        <f>K118/C118</f>
        <v>11</v>
      </c>
      <c r="M118" s="137">
        <f>C118*L118</f>
        <v>528</v>
      </c>
      <c r="N118" s="144">
        <v>0</v>
      </c>
      <c r="O118" s="130">
        <f>M118*N118</f>
        <v>0</v>
      </c>
      <c r="P118" s="159"/>
      <c r="Q118" s="159"/>
    </row>
    <row r="119" spans="1:18" s="72" customFormat="1" ht="14.25" x14ac:dyDescent="0.2">
      <c r="A119" s="63"/>
      <c r="B119" s="143"/>
      <c r="C119" s="195"/>
      <c r="D119" s="75"/>
      <c r="E119" s="134"/>
      <c r="F119" s="134"/>
      <c r="G119" s="134"/>
      <c r="H119" s="135"/>
      <c r="I119" s="152"/>
      <c r="J119" s="135"/>
      <c r="K119" s="136"/>
      <c r="L119" s="135"/>
      <c r="M119" s="137"/>
      <c r="N119" s="144"/>
      <c r="O119" s="130"/>
      <c r="P119" s="159"/>
      <c r="Q119" s="159"/>
    </row>
    <row r="120" spans="1:18" s="72" customFormat="1" ht="25.5" x14ac:dyDescent="0.2">
      <c r="A120" s="63"/>
      <c r="B120" s="656" t="s">
        <v>986</v>
      </c>
      <c r="C120" s="657">
        <v>14</v>
      </c>
      <c r="D120" s="658" t="s">
        <v>116</v>
      </c>
      <c r="E120" s="134"/>
      <c r="F120" s="134"/>
      <c r="G120" s="134"/>
      <c r="H120" s="135"/>
      <c r="I120" s="152"/>
      <c r="J120" s="135"/>
      <c r="K120" s="136"/>
      <c r="L120" s="135"/>
      <c r="M120" s="137"/>
      <c r="N120" s="144"/>
      <c r="O120" s="130"/>
      <c r="P120" s="159"/>
      <c r="Q120" s="159"/>
    </row>
    <row r="121" spans="1:18" s="72" customFormat="1" ht="14.25" x14ac:dyDescent="0.2">
      <c r="A121" s="63"/>
      <c r="B121" s="143"/>
      <c r="C121" s="195"/>
      <c r="D121" s="75"/>
      <c r="E121" s="134"/>
      <c r="F121" s="134"/>
      <c r="G121" s="134"/>
      <c r="H121" s="135"/>
      <c r="I121" s="152"/>
      <c r="J121" s="135"/>
      <c r="K121" s="136"/>
      <c r="L121" s="135"/>
      <c r="M121" s="137"/>
      <c r="N121" s="144"/>
      <c r="O121" s="130"/>
      <c r="P121" s="159"/>
      <c r="Q121" s="159"/>
    </row>
    <row r="122" spans="1:18" s="72" customFormat="1" ht="14.25" x14ac:dyDescent="0.2">
      <c r="A122" s="63"/>
      <c r="B122" s="143" t="s">
        <v>344</v>
      </c>
      <c r="C122" s="195">
        <v>10</v>
      </c>
      <c r="D122" s="75" t="s">
        <v>116</v>
      </c>
      <c r="E122" s="134">
        <f>WORKINGS_Partitions!G62</f>
        <v>1.27</v>
      </c>
      <c r="F122" s="134">
        <f>C122*E122</f>
        <v>12.7</v>
      </c>
      <c r="G122" s="134">
        <f>$H$11*E122</f>
        <v>63.5</v>
      </c>
      <c r="H122" s="135">
        <f>F122*$H$11</f>
        <v>635</v>
      </c>
      <c r="I122" s="152">
        <f>WORKINGS_Partitions!K62</f>
        <v>68.029055555555558</v>
      </c>
      <c r="J122" s="135">
        <f>C122*I122</f>
        <v>680.29055555555556</v>
      </c>
      <c r="K122" s="136">
        <f>SUM(H122,J122)</f>
        <v>1315.2905555555556</v>
      </c>
      <c r="L122" s="135">
        <f>K122/C122</f>
        <v>131.52905555555554</v>
      </c>
      <c r="M122" s="137">
        <f>C122*L122</f>
        <v>1315.2905555555553</v>
      </c>
      <c r="N122" s="144">
        <v>0</v>
      </c>
      <c r="O122" s="130">
        <f>M122*N122</f>
        <v>0</v>
      </c>
      <c r="P122" s="159"/>
      <c r="Q122" s="159"/>
    </row>
    <row r="123" spans="1:18" s="72" customFormat="1" ht="14.25" x14ac:dyDescent="0.2">
      <c r="A123" s="63"/>
      <c r="B123" s="143"/>
      <c r="C123" s="195"/>
      <c r="D123" s="75"/>
      <c r="E123" s="134"/>
      <c r="F123" s="134"/>
      <c r="G123" s="134"/>
      <c r="H123" s="135"/>
      <c r="I123" s="152"/>
      <c r="J123" s="135"/>
      <c r="K123" s="136"/>
      <c r="L123" s="135"/>
      <c r="M123" s="137"/>
      <c r="N123" s="144"/>
      <c r="O123" s="130"/>
      <c r="P123" s="159"/>
      <c r="Q123" s="159"/>
    </row>
    <row r="124" spans="1:18" s="72" customFormat="1" ht="14.25" x14ac:dyDescent="0.2">
      <c r="A124" s="63"/>
      <c r="B124" s="143" t="s">
        <v>340</v>
      </c>
      <c r="C124" s="199" t="s">
        <v>341</v>
      </c>
      <c r="D124" s="75"/>
      <c r="E124" s="134"/>
      <c r="F124" s="134"/>
      <c r="G124" s="134"/>
      <c r="H124" s="135"/>
      <c r="I124" s="152"/>
      <c r="J124" s="135"/>
      <c r="K124" s="136"/>
      <c r="L124" s="135"/>
      <c r="M124" s="137"/>
      <c r="N124" s="144"/>
      <c r="O124" s="130"/>
      <c r="P124" s="159"/>
      <c r="Q124" s="159"/>
    </row>
    <row r="125" spans="1:18" s="72" customFormat="1" ht="14.25" x14ac:dyDescent="0.2">
      <c r="A125" s="63"/>
      <c r="B125" s="143"/>
      <c r="C125" s="64"/>
      <c r="D125" s="75"/>
      <c r="E125" s="134"/>
      <c r="F125" s="134"/>
      <c r="G125" s="134"/>
      <c r="H125" s="135"/>
      <c r="I125" s="152"/>
      <c r="J125" s="135"/>
      <c r="K125" s="136"/>
      <c r="L125" s="135"/>
      <c r="M125" s="137"/>
      <c r="N125" s="144"/>
      <c r="O125" s="130"/>
      <c r="P125" s="159"/>
      <c r="Q125" s="159"/>
    </row>
    <row r="126" spans="1:18" s="72" customFormat="1" ht="25.5" x14ac:dyDescent="0.2">
      <c r="A126" s="63"/>
      <c r="B126" s="175" t="s">
        <v>327</v>
      </c>
      <c r="C126" s="195">
        <v>239</v>
      </c>
      <c r="D126" s="75" t="s">
        <v>151</v>
      </c>
      <c r="E126" s="134">
        <v>0.4</v>
      </c>
      <c r="F126" s="134">
        <f>C126*E126</f>
        <v>95.600000000000009</v>
      </c>
      <c r="G126" s="134">
        <f>$H$11*E126</f>
        <v>20</v>
      </c>
      <c r="H126" s="135">
        <f>F126*$H$11</f>
        <v>4780</v>
      </c>
      <c r="I126" s="152">
        <v>21.02</v>
      </c>
      <c r="J126" s="135">
        <f>C126*I126</f>
        <v>5023.78</v>
      </c>
      <c r="K126" s="136">
        <f>SUM(H126,J126)</f>
        <v>9803.7799999999988</v>
      </c>
      <c r="L126" s="135">
        <f>K126/C126</f>
        <v>41.019999999999996</v>
      </c>
      <c r="M126" s="137">
        <f>C126*L126</f>
        <v>9803.7799999999988</v>
      </c>
      <c r="N126" s="144">
        <v>0</v>
      </c>
      <c r="O126" s="130">
        <f>M126*N126</f>
        <v>0</v>
      </c>
      <c r="P126" s="159">
        <v>64</v>
      </c>
      <c r="Q126" s="159">
        <v>4.4000000000000004</v>
      </c>
      <c r="R126" s="306">
        <f>(P126/0.4)*Q126</f>
        <v>704</v>
      </c>
    </row>
    <row r="127" spans="1:18" s="72" customFormat="1" ht="14.25" x14ac:dyDescent="0.2">
      <c r="A127" s="63"/>
      <c r="B127" s="143"/>
      <c r="C127" s="195"/>
      <c r="D127" s="75"/>
      <c r="E127" s="134"/>
      <c r="F127" s="134"/>
      <c r="G127" s="134"/>
      <c r="H127" s="135"/>
      <c r="I127" s="152"/>
      <c r="J127" s="135"/>
      <c r="K127" s="136"/>
      <c r="L127" s="135"/>
      <c r="M127" s="137"/>
      <c r="N127" s="144"/>
      <c r="O127" s="130"/>
      <c r="P127" s="159"/>
      <c r="Q127" s="159"/>
    </row>
    <row r="128" spans="1:18" s="72" customFormat="1" ht="14.25" x14ac:dyDescent="0.2">
      <c r="A128" s="63"/>
      <c r="B128" s="143" t="s">
        <v>294</v>
      </c>
      <c r="C128" s="195">
        <v>50</v>
      </c>
      <c r="D128" s="75" t="s">
        <v>116</v>
      </c>
      <c r="E128" s="134">
        <f>WORKINGS_Partitions!G76</f>
        <v>0.72041666666666659</v>
      </c>
      <c r="F128" s="134">
        <f>C128*E128</f>
        <v>36.020833333333329</v>
      </c>
      <c r="G128" s="134">
        <f>$H$11*E128</f>
        <v>36.020833333333329</v>
      </c>
      <c r="H128" s="135">
        <f>F128*$H$11</f>
        <v>1801.0416666666665</v>
      </c>
      <c r="I128" s="152">
        <f>WORKINGS_Partitions!K76</f>
        <v>32.029583333333335</v>
      </c>
      <c r="J128" s="135">
        <f>C128*I128</f>
        <v>1601.4791666666667</v>
      </c>
      <c r="K128" s="136">
        <f>SUM(H128,J128)</f>
        <v>3402.520833333333</v>
      </c>
      <c r="L128" s="135">
        <f>K128/C128</f>
        <v>68.050416666666663</v>
      </c>
      <c r="M128" s="137">
        <f>C128*L128</f>
        <v>3402.520833333333</v>
      </c>
      <c r="N128" s="144">
        <v>0</v>
      </c>
      <c r="O128" s="130">
        <f>M128*N128</f>
        <v>0</v>
      </c>
      <c r="P128" s="159">
        <v>40</v>
      </c>
      <c r="Q128" s="159">
        <v>4.4000000000000004</v>
      </c>
      <c r="R128" s="306">
        <f>(P128/0.4)*Q128</f>
        <v>440.00000000000006</v>
      </c>
    </row>
    <row r="129" spans="1:18" s="72" customFormat="1" ht="25.5" x14ac:dyDescent="0.2">
      <c r="A129" s="63"/>
      <c r="B129" s="175" t="s">
        <v>295</v>
      </c>
      <c r="C129" s="195">
        <v>221</v>
      </c>
      <c r="D129" s="75" t="s">
        <v>151</v>
      </c>
      <c r="E129" s="134">
        <v>0.4</v>
      </c>
      <c r="F129" s="134">
        <f>C129*E129</f>
        <v>88.4</v>
      </c>
      <c r="G129" s="134">
        <f>$H$11*E129</f>
        <v>20</v>
      </c>
      <c r="H129" s="135">
        <f>F129*$H$11</f>
        <v>4420</v>
      </c>
      <c r="I129" s="152">
        <v>21.08</v>
      </c>
      <c r="J129" s="135">
        <f>C129*I129</f>
        <v>4658.6799999999994</v>
      </c>
      <c r="K129" s="136">
        <f>SUM(H129,J129)</f>
        <v>9078.68</v>
      </c>
      <c r="L129" s="135">
        <f>K129/C129</f>
        <v>41.08</v>
      </c>
      <c r="M129" s="137">
        <f>C129*L129</f>
        <v>9078.68</v>
      </c>
      <c r="N129" s="144">
        <v>0</v>
      </c>
      <c r="O129" s="130">
        <f>M129*N129</f>
        <v>0</v>
      </c>
      <c r="P129" s="159"/>
      <c r="Q129" s="159"/>
    </row>
    <row r="130" spans="1:18" s="72" customFormat="1" ht="14.25" x14ac:dyDescent="0.2">
      <c r="A130" s="63"/>
      <c r="B130" s="175"/>
      <c r="C130" s="195"/>
      <c r="D130" s="75"/>
      <c r="E130" s="134"/>
      <c r="F130" s="134"/>
      <c r="G130" s="134"/>
      <c r="H130" s="135"/>
      <c r="I130" s="152"/>
      <c r="J130" s="135"/>
      <c r="K130" s="136"/>
      <c r="L130" s="135"/>
      <c r="M130" s="137"/>
      <c r="N130" s="144"/>
      <c r="O130" s="130"/>
      <c r="P130" s="159"/>
      <c r="Q130" s="159"/>
    </row>
    <row r="131" spans="1:18" s="72" customFormat="1" ht="25.5" x14ac:dyDescent="0.2">
      <c r="A131" s="63"/>
      <c r="B131" s="656" t="s">
        <v>987</v>
      </c>
      <c r="C131" s="657">
        <v>30</v>
      </c>
      <c r="D131" s="658" t="s">
        <v>116</v>
      </c>
      <c r="E131" s="134"/>
      <c r="F131" s="134"/>
      <c r="G131" s="134"/>
      <c r="H131" s="135"/>
      <c r="I131" s="152"/>
      <c r="J131" s="135"/>
      <c r="K131" s="136"/>
      <c r="L131" s="135"/>
      <c r="M131" s="137"/>
      <c r="N131" s="144"/>
      <c r="O131" s="130"/>
      <c r="P131" s="159"/>
      <c r="Q131" s="159"/>
    </row>
    <row r="132" spans="1:18" s="72" customFormat="1" ht="14.25" x14ac:dyDescent="0.2">
      <c r="A132" s="63"/>
      <c r="B132" s="175"/>
      <c r="C132" s="195"/>
      <c r="D132" s="75"/>
      <c r="E132" s="134"/>
      <c r="F132" s="134"/>
      <c r="G132" s="134"/>
      <c r="H132" s="135"/>
      <c r="I132" s="152"/>
      <c r="J132" s="135"/>
      <c r="K132" s="136"/>
      <c r="L132" s="135"/>
      <c r="M132" s="137"/>
      <c r="N132" s="144"/>
      <c r="O132" s="130"/>
      <c r="P132" s="159"/>
      <c r="Q132" s="159"/>
    </row>
    <row r="133" spans="1:18" s="72" customFormat="1" ht="25.5" x14ac:dyDescent="0.2">
      <c r="A133" s="63"/>
      <c r="B133" s="175" t="s">
        <v>286</v>
      </c>
      <c r="C133" s="195">
        <v>58</v>
      </c>
      <c r="D133" s="75" t="s">
        <v>151</v>
      </c>
      <c r="E133" s="134">
        <v>0.45</v>
      </c>
      <c r="F133" s="134">
        <f>C133*E133</f>
        <v>26.1</v>
      </c>
      <c r="G133" s="134">
        <f>$H$11*E133</f>
        <v>22.5</v>
      </c>
      <c r="H133" s="135">
        <f>F133*$H$11</f>
        <v>1305</v>
      </c>
      <c r="I133" s="152">
        <v>22.78</v>
      </c>
      <c r="J133" s="135">
        <f>C133*I133</f>
        <v>1321.24</v>
      </c>
      <c r="K133" s="136">
        <f>SUM(H133,J133)</f>
        <v>2626.24</v>
      </c>
      <c r="L133" s="135">
        <f>K133/C133</f>
        <v>45.279999999999994</v>
      </c>
      <c r="M133" s="137">
        <f>C133*L133</f>
        <v>2626.24</v>
      </c>
      <c r="N133" s="144">
        <v>0</v>
      </c>
      <c r="O133" s="130">
        <f>M133*N133</f>
        <v>0</v>
      </c>
      <c r="P133" s="159">
        <v>19</v>
      </c>
      <c r="Q133" s="159">
        <v>3</v>
      </c>
      <c r="R133" s="306">
        <f>(P133/0.4)*Q133</f>
        <v>142.5</v>
      </c>
    </row>
    <row r="134" spans="1:18" s="72" customFormat="1" ht="14.25" x14ac:dyDescent="0.2">
      <c r="A134" s="63"/>
      <c r="B134" s="175"/>
      <c r="C134" s="195"/>
      <c r="D134" s="75"/>
      <c r="E134" s="134"/>
      <c r="F134" s="134"/>
      <c r="G134" s="134"/>
      <c r="H134" s="135"/>
      <c r="I134" s="152"/>
      <c r="J134" s="135"/>
      <c r="K134" s="136"/>
      <c r="L134" s="135"/>
      <c r="M134" s="137"/>
      <c r="N134" s="144"/>
      <c r="O134" s="130"/>
      <c r="P134" s="159"/>
      <c r="Q134" s="159"/>
      <c r="R134" s="306"/>
    </row>
    <row r="135" spans="1:18" s="72" customFormat="1" ht="25.5" x14ac:dyDescent="0.2">
      <c r="A135" s="63"/>
      <c r="B135" s="656" t="s">
        <v>988</v>
      </c>
      <c r="C135" s="657">
        <v>7</v>
      </c>
      <c r="D135" s="658" t="s">
        <v>116</v>
      </c>
      <c r="E135" s="134"/>
      <c r="F135" s="134"/>
      <c r="G135" s="134"/>
      <c r="H135" s="135"/>
      <c r="I135" s="152"/>
      <c r="J135" s="135"/>
      <c r="K135" s="136"/>
      <c r="L135" s="135"/>
      <c r="M135" s="137"/>
      <c r="N135" s="144"/>
      <c r="O135" s="130"/>
      <c r="P135" s="159"/>
      <c r="Q135" s="159"/>
      <c r="R135" s="306"/>
    </row>
    <row r="136" spans="1:18" s="72" customFormat="1" ht="14.25" x14ac:dyDescent="0.2">
      <c r="A136" s="63"/>
      <c r="B136" s="175"/>
      <c r="C136" s="195"/>
      <c r="D136" s="75"/>
      <c r="E136" s="134"/>
      <c r="F136" s="134"/>
      <c r="G136" s="134"/>
      <c r="H136" s="135"/>
      <c r="I136" s="152"/>
      <c r="J136" s="135"/>
      <c r="K136" s="136"/>
      <c r="L136" s="135"/>
      <c r="M136" s="137"/>
      <c r="N136" s="144"/>
      <c r="O136" s="130"/>
      <c r="P136" s="159"/>
      <c r="Q136" s="159"/>
    </row>
    <row r="137" spans="1:18" s="72" customFormat="1" ht="25.5" x14ac:dyDescent="0.2">
      <c r="A137" s="63"/>
      <c r="B137" s="175" t="s">
        <v>260</v>
      </c>
      <c r="C137" s="195">
        <v>10</v>
      </c>
      <c r="D137" s="75" t="s">
        <v>151</v>
      </c>
      <c r="E137" s="134">
        <v>0.45</v>
      </c>
      <c r="F137" s="134">
        <f>C137*E137</f>
        <v>4.5</v>
      </c>
      <c r="G137" s="134">
        <f>$H$11*E137</f>
        <v>22.5</v>
      </c>
      <c r="H137" s="135">
        <f>F137*$H$11</f>
        <v>225</v>
      </c>
      <c r="I137" s="152">
        <v>26.51</v>
      </c>
      <c r="J137" s="135">
        <f>C137*I137</f>
        <v>265.10000000000002</v>
      </c>
      <c r="K137" s="136">
        <f>SUM(H137,J137)</f>
        <v>490.1</v>
      </c>
      <c r="L137" s="135">
        <f>K137/C137</f>
        <v>49.010000000000005</v>
      </c>
      <c r="M137" s="137">
        <f>C137*L137</f>
        <v>490.1</v>
      </c>
      <c r="N137" s="144">
        <v>0</v>
      </c>
      <c r="O137" s="130">
        <f>M137*N137</f>
        <v>0</v>
      </c>
      <c r="P137" s="159">
        <v>3</v>
      </c>
      <c r="Q137" s="159">
        <v>3</v>
      </c>
      <c r="R137" s="306">
        <f>(P137/0.4)*Q137</f>
        <v>22.5</v>
      </c>
    </row>
    <row r="138" spans="1:18" s="72" customFormat="1" ht="14.25" x14ac:dyDescent="0.2">
      <c r="A138" s="63"/>
      <c r="B138" s="143" t="s">
        <v>259</v>
      </c>
      <c r="C138" s="195">
        <v>3</v>
      </c>
      <c r="D138" s="75" t="s">
        <v>116</v>
      </c>
      <c r="E138" s="134">
        <v>0.25</v>
      </c>
      <c r="F138" s="134">
        <f>C138*E138</f>
        <v>0.75</v>
      </c>
      <c r="G138" s="134">
        <f>$H$11*E138</f>
        <v>12.5</v>
      </c>
      <c r="H138" s="135">
        <f>F138*$H$11</f>
        <v>37.5</v>
      </c>
      <c r="I138" s="152">
        <v>23.84</v>
      </c>
      <c r="J138" s="135">
        <f>C138*I138</f>
        <v>71.52</v>
      </c>
      <c r="K138" s="136">
        <f>SUM(H138,J138)</f>
        <v>109.02</v>
      </c>
      <c r="L138" s="135">
        <f>K138/C138</f>
        <v>36.339999999999996</v>
      </c>
      <c r="M138" s="137">
        <f>C138*L138</f>
        <v>109.01999999999998</v>
      </c>
      <c r="N138" s="144">
        <v>0</v>
      </c>
      <c r="O138" s="130">
        <f>M138*N138</f>
        <v>0</v>
      </c>
      <c r="P138" s="159"/>
      <c r="Q138" s="159"/>
    </row>
    <row r="139" spans="1:18" s="72" customFormat="1" ht="14.25" x14ac:dyDescent="0.2">
      <c r="A139" s="63"/>
      <c r="B139" s="143" t="s">
        <v>257</v>
      </c>
      <c r="C139" s="607">
        <v>3</v>
      </c>
      <c r="D139" s="75" t="s">
        <v>116</v>
      </c>
      <c r="E139" s="134">
        <v>0.15</v>
      </c>
      <c r="F139" s="134">
        <f>C139*E139</f>
        <v>0.44999999999999996</v>
      </c>
      <c r="G139" s="134">
        <f>$H$11*E139</f>
        <v>7.5</v>
      </c>
      <c r="H139" s="135">
        <f>F139*$H$11</f>
        <v>22.499999999999996</v>
      </c>
      <c r="I139" s="152">
        <v>3.5</v>
      </c>
      <c r="J139" s="135">
        <f>C139*I139</f>
        <v>10.5</v>
      </c>
      <c r="K139" s="136">
        <f>SUM(H139,J139)</f>
        <v>33</v>
      </c>
      <c r="L139" s="135">
        <f>K139/C139</f>
        <v>11</v>
      </c>
      <c r="M139" s="137">
        <f>C139*L139</f>
        <v>33</v>
      </c>
      <c r="N139" s="144">
        <v>0</v>
      </c>
      <c r="O139" s="130">
        <f>M139*N139</f>
        <v>0</v>
      </c>
      <c r="P139" s="159"/>
      <c r="Q139" s="159"/>
    </row>
    <row r="140" spans="1:18" s="72" customFormat="1" ht="14.25" x14ac:dyDescent="0.2">
      <c r="A140" s="63"/>
      <c r="B140" s="143"/>
      <c r="C140" s="607"/>
      <c r="D140" s="75"/>
      <c r="E140" s="134"/>
      <c r="F140" s="134"/>
      <c r="G140" s="134"/>
      <c r="H140" s="135"/>
      <c r="I140" s="152"/>
      <c r="J140" s="135"/>
      <c r="K140" s="136"/>
      <c r="L140" s="135"/>
      <c r="M140" s="137"/>
      <c r="N140" s="144"/>
      <c r="O140" s="130"/>
      <c r="P140" s="159"/>
      <c r="Q140" s="159"/>
    </row>
    <row r="141" spans="1:18" s="72" customFormat="1" ht="25.5" x14ac:dyDescent="0.2">
      <c r="A141" s="63"/>
      <c r="B141" s="656" t="s">
        <v>989</v>
      </c>
      <c r="C141" s="659">
        <v>3</v>
      </c>
      <c r="D141" s="658" t="s">
        <v>116</v>
      </c>
      <c r="E141" s="134"/>
      <c r="F141" s="134"/>
      <c r="G141" s="134"/>
      <c r="H141" s="135"/>
      <c r="I141" s="152"/>
      <c r="J141" s="135"/>
      <c r="K141" s="136"/>
      <c r="L141" s="135"/>
      <c r="M141" s="137"/>
      <c r="N141" s="144"/>
      <c r="O141" s="130"/>
      <c r="P141" s="159"/>
      <c r="Q141" s="159"/>
    </row>
    <row r="142" spans="1:18" s="72" customFormat="1" ht="14.25" x14ac:dyDescent="0.2">
      <c r="A142" s="63"/>
      <c r="B142" s="175"/>
      <c r="C142" s="195"/>
      <c r="D142" s="75"/>
      <c r="E142" s="134"/>
      <c r="F142" s="134"/>
      <c r="G142" s="134"/>
      <c r="H142" s="135"/>
      <c r="I142" s="152"/>
      <c r="J142" s="135"/>
      <c r="K142" s="136"/>
      <c r="L142" s="135"/>
      <c r="M142" s="137"/>
      <c r="N142" s="144"/>
      <c r="O142" s="130"/>
      <c r="P142" s="159"/>
      <c r="Q142" s="159"/>
    </row>
    <row r="143" spans="1:18" s="72" customFormat="1" ht="25.5" x14ac:dyDescent="0.2">
      <c r="A143" s="63"/>
      <c r="B143" s="175" t="s">
        <v>288</v>
      </c>
      <c r="C143" s="195">
        <v>13</v>
      </c>
      <c r="D143" s="75" t="s">
        <v>151</v>
      </c>
      <c r="E143" s="134">
        <v>0.4</v>
      </c>
      <c r="F143" s="134">
        <f>C143*E143</f>
        <v>5.2</v>
      </c>
      <c r="G143" s="134">
        <f>$H$11*E143</f>
        <v>20</v>
      </c>
      <c r="H143" s="135">
        <f>F143*$H$11</f>
        <v>260</v>
      </c>
      <c r="I143" s="152">
        <v>22.39</v>
      </c>
      <c r="J143" s="135">
        <f>C143*I143</f>
        <v>291.07</v>
      </c>
      <c r="K143" s="136">
        <f>SUM(H143,J143)</f>
        <v>551.06999999999994</v>
      </c>
      <c r="L143" s="135">
        <f>K143/C143</f>
        <v>42.389999999999993</v>
      </c>
      <c r="M143" s="137">
        <f>C143*L143</f>
        <v>551.06999999999994</v>
      </c>
      <c r="N143" s="144">
        <v>0</v>
      </c>
      <c r="O143" s="130">
        <f>M143*N143</f>
        <v>0</v>
      </c>
      <c r="P143" s="159">
        <v>4</v>
      </c>
      <c r="Q143" s="159">
        <v>3</v>
      </c>
      <c r="R143" s="306">
        <f>(P143/0.4)*Q143</f>
        <v>30</v>
      </c>
    </row>
    <row r="144" spans="1:18" s="72" customFormat="1" ht="14.25" x14ac:dyDescent="0.2">
      <c r="A144" s="63"/>
      <c r="B144" s="175"/>
      <c r="C144" s="195"/>
      <c r="D144" s="75"/>
      <c r="E144" s="134"/>
      <c r="F144" s="134"/>
      <c r="G144" s="134"/>
      <c r="H144" s="135"/>
      <c r="I144" s="152"/>
      <c r="J144" s="135"/>
      <c r="K144" s="136"/>
      <c r="L144" s="135"/>
      <c r="M144" s="137"/>
      <c r="N144" s="144"/>
      <c r="O144" s="130"/>
      <c r="P144" s="159"/>
      <c r="Q144" s="159"/>
      <c r="R144" s="306"/>
    </row>
    <row r="145" spans="1:18" s="72" customFormat="1" ht="25.5" x14ac:dyDescent="0.2">
      <c r="A145" s="63"/>
      <c r="B145" s="656" t="s">
        <v>990</v>
      </c>
      <c r="C145" s="657">
        <v>4</v>
      </c>
      <c r="D145" s="658" t="s">
        <v>116</v>
      </c>
      <c r="E145" s="134"/>
      <c r="F145" s="134"/>
      <c r="G145" s="134"/>
      <c r="H145" s="135"/>
      <c r="I145" s="152"/>
      <c r="J145" s="135"/>
      <c r="K145" s="136"/>
      <c r="L145" s="135"/>
      <c r="M145" s="137"/>
      <c r="N145" s="144"/>
      <c r="O145" s="130"/>
      <c r="P145" s="159"/>
      <c r="Q145" s="159"/>
      <c r="R145" s="306"/>
    </row>
    <row r="146" spans="1:18" s="72" customFormat="1" ht="14.25" x14ac:dyDescent="0.2">
      <c r="A146" s="63"/>
      <c r="B146" s="175"/>
      <c r="C146" s="195"/>
      <c r="D146" s="75"/>
      <c r="E146" s="134"/>
      <c r="F146" s="134"/>
      <c r="G146" s="134"/>
      <c r="H146" s="135"/>
      <c r="I146" s="152"/>
      <c r="J146" s="135"/>
      <c r="K146" s="136"/>
      <c r="L146" s="135"/>
      <c r="M146" s="137"/>
      <c r="N146" s="144"/>
      <c r="O146" s="130"/>
      <c r="P146" s="159"/>
      <c r="Q146" s="159"/>
    </row>
    <row r="147" spans="1:18" s="72" customFormat="1" ht="25.5" x14ac:dyDescent="0.2">
      <c r="A147" s="63"/>
      <c r="B147" s="175" t="s">
        <v>287</v>
      </c>
      <c r="C147" s="195">
        <v>7</v>
      </c>
      <c r="D147" s="75" t="s">
        <v>151</v>
      </c>
      <c r="E147" s="134">
        <v>0.45</v>
      </c>
      <c r="F147" s="134">
        <f>C147*E147</f>
        <v>3.15</v>
      </c>
      <c r="G147" s="134">
        <f>$H$11*E147</f>
        <v>22.5</v>
      </c>
      <c r="H147" s="135">
        <f>F147*$H$11</f>
        <v>157.5</v>
      </c>
      <c r="I147" s="152">
        <v>27.63</v>
      </c>
      <c r="J147" s="135">
        <f>C147*I147</f>
        <v>193.41</v>
      </c>
      <c r="K147" s="136">
        <f>SUM(H147,J147)</f>
        <v>350.90999999999997</v>
      </c>
      <c r="L147" s="135">
        <f>K147/C147</f>
        <v>50.129999999999995</v>
      </c>
      <c r="M147" s="137">
        <f>C147*L147</f>
        <v>350.90999999999997</v>
      </c>
      <c r="N147" s="144">
        <v>0</v>
      </c>
      <c r="O147" s="130">
        <f>M147*N147</f>
        <v>0</v>
      </c>
      <c r="P147" s="159">
        <v>2</v>
      </c>
      <c r="Q147" s="159">
        <v>3</v>
      </c>
      <c r="R147" s="306">
        <f>(P147/0.4)*Q147</f>
        <v>15</v>
      </c>
    </row>
    <row r="148" spans="1:18" s="72" customFormat="1" ht="14.25" x14ac:dyDescent="0.2">
      <c r="A148" s="63"/>
      <c r="B148" s="143" t="s">
        <v>259</v>
      </c>
      <c r="C148" s="195">
        <v>2</v>
      </c>
      <c r="D148" s="75" t="s">
        <v>116</v>
      </c>
      <c r="E148" s="134">
        <v>0.25</v>
      </c>
      <c r="F148" s="134">
        <f>C148*E148</f>
        <v>0.5</v>
      </c>
      <c r="G148" s="134">
        <f>$H$11*E148</f>
        <v>12.5</v>
      </c>
      <c r="H148" s="135">
        <f>F148*$H$11</f>
        <v>25</v>
      </c>
      <c r="I148" s="152">
        <v>23.84</v>
      </c>
      <c r="J148" s="135">
        <f>C148*I148</f>
        <v>47.68</v>
      </c>
      <c r="K148" s="136">
        <f>SUM(H148,J148)</f>
        <v>72.680000000000007</v>
      </c>
      <c r="L148" s="135">
        <f>K148/C148</f>
        <v>36.340000000000003</v>
      </c>
      <c r="M148" s="137">
        <f>C148*L148</f>
        <v>72.680000000000007</v>
      </c>
      <c r="N148" s="144">
        <v>0</v>
      </c>
      <c r="O148" s="130">
        <f>M148*N148</f>
        <v>0</v>
      </c>
      <c r="P148" s="159"/>
      <c r="Q148" s="159"/>
    </row>
    <row r="149" spans="1:18" s="72" customFormat="1" ht="14.25" x14ac:dyDescent="0.2">
      <c r="A149" s="63"/>
      <c r="B149" s="143" t="s">
        <v>257</v>
      </c>
      <c r="C149" s="607">
        <v>2</v>
      </c>
      <c r="D149" s="75" t="s">
        <v>116</v>
      </c>
      <c r="E149" s="134">
        <v>0.15</v>
      </c>
      <c r="F149" s="134">
        <f>C149*E149</f>
        <v>0.3</v>
      </c>
      <c r="G149" s="134">
        <f>$H$11*E149</f>
        <v>7.5</v>
      </c>
      <c r="H149" s="135">
        <f>F149*$H$11</f>
        <v>15</v>
      </c>
      <c r="I149" s="152">
        <v>3.5</v>
      </c>
      <c r="J149" s="135">
        <f>C149*I149</f>
        <v>7</v>
      </c>
      <c r="K149" s="136">
        <f>SUM(H149,J149)</f>
        <v>22</v>
      </c>
      <c r="L149" s="135">
        <f>K149/C149</f>
        <v>11</v>
      </c>
      <c r="M149" s="137">
        <f>C149*L149</f>
        <v>22</v>
      </c>
      <c r="N149" s="144">
        <v>0</v>
      </c>
      <c r="O149" s="130">
        <f>M149*N149</f>
        <v>0</v>
      </c>
      <c r="P149" s="159"/>
      <c r="Q149" s="159"/>
    </row>
    <row r="150" spans="1:18" s="72" customFormat="1" ht="14.25" x14ac:dyDescent="0.2">
      <c r="A150" s="63"/>
      <c r="B150" s="143"/>
      <c r="C150" s="607"/>
      <c r="D150" s="75"/>
      <c r="E150" s="134"/>
      <c r="F150" s="134"/>
      <c r="G150" s="134"/>
      <c r="H150" s="135"/>
      <c r="I150" s="152"/>
      <c r="J150" s="135"/>
      <c r="K150" s="136"/>
      <c r="L150" s="135"/>
      <c r="M150" s="137"/>
      <c r="N150" s="144"/>
      <c r="O150" s="130"/>
      <c r="P150" s="159"/>
      <c r="Q150" s="159"/>
    </row>
    <row r="151" spans="1:18" s="72" customFormat="1" ht="25.5" x14ac:dyDescent="0.2">
      <c r="A151" s="63"/>
      <c r="B151" s="656" t="s">
        <v>991</v>
      </c>
      <c r="C151" s="659">
        <v>2</v>
      </c>
      <c r="D151" s="658" t="s">
        <v>116</v>
      </c>
      <c r="E151" s="134"/>
      <c r="F151" s="134"/>
      <c r="G151" s="134"/>
      <c r="H151" s="135"/>
      <c r="I151" s="152"/>
      <c r="J151" s="135"/>
      <c r="K151" s="136"/>
      <c r="L151" s="135"/>
      <c r="M151" s="137"/>
      <c r="N151" s="144"/>
      <c r="O151" s="130"/>
      <c r="P151" s="159"/>
      <c r="Q151" s="159"/>
    </row>
    <row r="152" spans="1:18" s="72" customFormat="1" ht="14.25" x14ac:dyDescent="0.2">
      <c r="A152" s="63"/>
      <c r="B152" s="175"/>
      <c r="C152" s="195"/>
      <c r="D152" s="75"/>
      <c r="E152" s="134"/>
      <c r="F152" s="134"/>
      <c r="G152" s="134"/>
      <c r="H152" s="135"/>
      <c r="I152" s="152"/>
      <c r="J152" s="135"/>
      <c r="K152" s="136"/>
      <c r="L152" s="135"/>
      <c r="M152" s="137"/>
      <c r="N152" s="144"/>
      <c r="O152" s="130"/>
      <c r="P152" s="159"/>
      <c r="Q152" s="159"/>
    </row>
    <row r="153" spans="1:18" s="72" customFormat="1" ht="28.5" customHeight="1" x14ac:dyDescent="0.2">
      <c r="A153" s="63"/>
      <c r="B153" s="175" t="s">
        <v>343</v>
      </c>
      <c r="C153" s="195">
        <v>31</v>
      </c>
      <c r="D153" s="75" t="s">
        <v>151</v>
      </c>
      <c r="E153" s="134">
        <v>0.7</v>
      </c>
      <c r="F153" s="134">
        <f>C153*E153</f>
        <v>21.7</v>
      </c>
      <c r="G153" s="134">
        <f>$H$11*E153</f>
        <v>35</v>
      </c>
      <c r="H153" s="135">
        <f>F153*$H$11</f>
        <v>1085</v>
      </c>
      <c r="I153" s="152">
        <v>38.159999999999997</v>
      </c>
      <c r="J153" s="135">
        <f>C153*I153</f>
        <v>1182.9599999999998</v>
      </c>
      <c r="K153" s="136">
        <f>SUM(H153,J153)</f>
        <v>2267.96</v>
      </c>
      <c r="L153" s="135">
        <f>K153/C153</f>
        <v>73.16</v>
      </c>
      <c r="M153" s="137">
        <f>C153*L153</f>
        <v>2267.96</v>
      </c>
      <c r="N153" s="144">
        <v>0</v>
      </c>
      <c r="O153" s="130">
        <f>M153*N153</f>
        <v>0</v>
      </c>
      <c r="P153" s="159"/>
      <c r="Q153" s="159"/>
    </row>
    <row r="154" spans="1:18" s="72" customFormat="1" ht="14.25" x14ac:dyDescent="0.2">
      <c r="A154" s="63"/>
      <c r="B154" s="143"/>
      <c r="C154" s="64"/>
      <c r="D154" s="75"/>
      <c r="E154" s="134"/>
      <c r="F154" s="134"/>
      <c r="G154" s="134"/>
      <c r="H154" s="135"/>
      <c r="I154" s="152"/>
      <c r="J154" s="135"/>
      <c r="K154" s="136"/>
      <c r="L154" s="135"/>
      <c r="M154" s="137"/>
      <c r="N154" s="144"/>
      <c r="O154" s="130"/>
      <c r="P154" s="159"/>
      <c r="Q154" s="159"/>
    </row>
    <row r="155" spans="1:18" s="72" customFormat="1" ht="14.25" x14ac:dyDescent="0.2">
      <c r="A155" s="63"/>
      <c r="B155" s="316" t="s">
        <v>378</v>
      </c>
      <c r="C155" s="64">
        <v>6</v>
      </c>
      <c r="D155" s="75" t="s">
        <v>148</v>
      </c>
      <c r="E155" s="134">
        <v>1</v>
      </c>
      <c r="F155" s="134">
        <f>C155*E155</f>
        <v>6</v>
      </c>
      <c r="G155" s="134">
        <f>$H$11*E155</f>
        <v>50</v>
      </c>
      <c r="H155" s="135">
        <f>F155*$H$11</f>
        <v>300</v>
      </c>
      <c r="I155" s="152">
        <v>90.71</v>
      </c>
      <c r="J155" s="135">
        <f>C155*I155</f>
        <v>544.26</v>
      </c>
      <c r="K155" s="136">
        <f>SUM(H155,J155)</f>
        <v>844.26</v>
      </c>
      <c r="L155" s="135">
        <f>K155/C155</f>
        <v>140.71</v>
      </c>
      <c r="M155" s="137">
        <f>C155*L155</f>
        <v>844.26</v>
      </c>
      <c r="N155" s="144">
        <v>0</v>
      </c>
      <c r="O155" s="130">
        <f>M155*N155</f>
        <v>0</v>
      </c>
      <c r="P155" s="159"/>
      <c r="Q155" s="159"/>
    </row>
    <row r="156" spans="1:18" s="72" customFormat="1" ht="14.25" x14ac:dyDescent="0.2">
      <c r="A156" s="63"/>
      <c r="B156" s="143"/>
      <c r="C156" s="64"/>
      <c r="D156" s="75"/>
      <c r="E156" s="134"/>
      <c r="F156" s="134"/>
      <c r="G156" s="134"/>
      <c r="H156" s="135"/>
      <c r="I156" s="152"/>
      <c r="J156" s="135"/>
      <c r="K156" s="136"/>
      <c r="L156" s="135"/>
      <c r="M156" s="137"/>
      <c r="N156" s="144"/>
      <c r="O156" s="130"/>
      <c r="P156" s="159"/>
      <c r="Q156" s="159"/>
    </row>
    <row r="157" spans="1:18" s="72" customFormat="1" ht="14.25" x14ac:dyDescent="0.2">
      <c r="A157" s="63"/>
      <c r="B157" s="316" t="s">
        <v>336</v>
      </c>
      <c r="C157" s="64">
        <v>448</v>
      </c>
      <c r="D157" s="75" t="s">
        <v>116</v>
      </c>
      <c r="E157" s="134">
        <v>0.09</v>
      </c>
      <c r="F157" s="134">
        <f>C157*E157</f>
        <v>40.32</v>
      </c>
      <c r="G157" s="134">
        <f>$H$11*E157</f>
        <v>4.5</v>
      </c>
      <c r="H157" s="135">
        <f>F157*$H$11</f>
        <v>2016</v>
      </c>
      <c r="I157" s="152">
        <v>5.61</v>
      </c>
      <c r="J157" s="135">
        <f>C157*I157</f>
        <v>2513.2800000000002</v>
      </c>
      <c r="K157" s="136">
        <f>SUM(H157,J157)</f>
        <v>4529.2800000000007</v>
      </c>
      <c r="L157" s="135">
        <f>K157/C157</f>
        <v>10.110000000000001</v>
      </c>
      <c r="M157" s="137">
        <f>C157*L157</f>
        <v>4529.2800000000007</v>
      </c>
      <c r="N157" s="144">
        <v>0</v>
      </c>
      <c r="O157" s="130">
        <f>M157*N157</f>
        <v>0</v>
      </c>
      <c r="P157" s="159"/>
      <c r="Q157" s="159"/>
    </row>
    <row r="158" spans="1:18" s="72" customFormat="1" ht="14.25" x14ac:dyDescent="0.2">
      <c r="A158" s="63"/>
      <c r="B158" s="242" t="s">
        <v>755</v>
      </c>
      <c r="C158" s="64">
        <v>10</v>
      </c>
      <c r="D158" s="75" t="s">
        <v>75</v>
      </c>
      <c r="E158" s="134">
        <v>1.5</v>
      </c>
      <c r="F158" s="134">
        <f>C158*E158</f>
        <v>15</v>
      </c>
      <c r="G158" s="134">
        <f>$H$11*E158</f>
        <v>75</v>
      </c>
      <c r="H158" s="135">
        <f>F158*$H$11</f>
        <v>750</v>
      </c>
      <c r="I158" s="152">
        <v>139</v>
      </c>
      <c r="J158" s="135">
        <f>C158*I158</f>
        <v>1390</v>
      </c>
      <c r="K158" s="136">
        <f>SUM(H158,J158)</f>
        <v>2140</v>
      </c>
      <c r="L158" s="135">
        <f>K158/C158</f>
        <v>214</v>
      </c>
      <c r="M158" s="137">
        <f>C158*L158</f>
        <v>2140</v>
      </c>
      <c r="N158" s="144">
        <v>0</v>
      </c>
      <c r="O158" s="130">
        <f>M158*N158</f>
        <v>0</v>
      </c>
      <c r="P158" s="159"/>
      <c r="Q158" s="159"/>
    </row>
    <row r="159" spans="1:18" s="72" customFormat="1" ht="14.25" x14ac:dyDescent="0.2">
      <c r="A159" s="63"/>
      <c r="B159" s="242" t="s">
        <v>756</v>
      </c>
      <c r="C159" s="192" t="s">
        <v>149</v>
      </c>
      <c r="D159" s="75"/>
      <c r="E159" s="134"/>
      <c r="F159" s="134"/>
      <c r="G159" s="134"/>
      <c r="H159" s="135"/>
      <c r="I159" s="152"/>
      <c r="J159" s="135"/>
      <c r="K159" s="136"/>
      <c r="L159" s="135"/>
      <c r="M159" s="137"/>
      <c r="N159" s="144"/>
      <c r="O159" s="130"/>
      <c r="P159" s="159"/>
      <c r="Q159" s="159"/>
    </row>
    <row r="160" spans="1:18" s="72" customFormat="1" ht="14.25" x14ac:dyDescent="0.2">
      <c r="A160" s="63"/>
      <c r="B160" s="242" t="s">
        <v>937</v>
      </c>
      <c r="C160" s="195">
        <v>120</v>
      </c>
      <c r="D160" s="75" t="s">
        <v>116</v>
      </c>
      <c r="E160" s="134">
        <v>0.1</v>
      </c>
      <c r="F160" s="134">
        <f>C160*E160</f>
        <v>12</v>
      </c>
      <c r="G160" s="134">
        <f>$H$11*E160</f>
        <v>5</v>
      </c>
      <c r="H160" s="135">
        <f>F160*$H$11</f>
        <v>600</v>
      </c>
      <c r="I160" s="152">
        <v>10.1</v>
      </c>
      <c r="J160" s="135">
        <f>C160*I160</f>
        <v>1212</v>
      </c>
      <c r="K160" s="136">
        <f>SUM(H160,J160)</f>
        <v>1812</v>
      </c>
      <c r="L160" s="135">
        <f>K160/C160</f>
        <v>15.1</v>
      </c>
      <c r="M160" s="137">
        <f>C160*L160</f>
        <v>1812</v>
      </c>
      <c r="N160" s="144">
        <v>0</v>
      </c>
      <c r="O160" s="130">
        <f>M160*N160</f>
        <v>0</v>
      </c>
      <c r="P160" s="159"/>
      <c r="Q160" s="159"/>
    </row>
    <row r="161" spans="1:17" s="72" customFormat="1" ht="14.25" x14ac:dyDescent="0.2">
      <c r="A161" s="63"/>
      <c r="B161" s="242"/>
      <c r="C161" s="192"/>
      <c r="D161" s="75"/>
      <c r="E161" s="134"/>
      <c r="F161" s="134"/>
      <c r="G161" s="134"/>
      <c r="H161" s="135"/>
      <c r="I161" s="152"/>
      <c r="J161" s="135"/>
      <c r="K161" s="136"/>
      <c r="L161" s="135"/>
      <c r="M161" s="137"/>
      <c r="N161" s="144"/>
      <c r="O161" s="130"/>
      <c r="P161" s="159"/>
      <c r="Q161" s="159"/>
    </row>
    <row r="162" spans="1:17" s="72" customFormat="1" ht="14.25" x14ac:dyDescent="0.2">
      <c r="A162" s="63"/>
      <c r="B162" s="143" t="s">
        <v>871</v>
      </c>
      <c r="C162" s="64">
        <v>15</v>
      </c>
      <c r="D162" s="75" t="s">
        <v>148</v>
      </c>
      <c r="E162" s="134">
        <v>2.5</v>
      </c>
      <c r="F162" s="134">
        <f>C162*E162</f>
        <v>37.5</v>
      </c>
      <c r="G162" s="134">
        <f>$H$11*E162</f>
        <v>125</v>
      </c>
      <c r="H162" s="135">
        <f>F162*$H$11</f>
        <v>1875</v>
      </c>
      <c r="I162" s="152">
        <v>175</v>
      </c>
      <c r="J162" s="135">
        <f>C162*I162</f>
        <v>2625</v>
      </c>
      <c r="K162" s="136">
        <f>SUM(H162,J162)</f>
        <v>4500</v>
      </c>
      <c r="L162" s="135">
        <f>K162/C162</f>
        <v>300</v>
      </c>
      <c r="M162" s="137">
        <f>C162*L162</f>
        <v>4500</v>
      </c>
      <c r="N162" s="144">
        <v>0</v>
      </c>
      <c r="O162" s="130">
        <f>M162*N162</f>
        <v>0</v>
      </c>
      <c r="P162" s="159"/>
      <c r="Q162" s="159"/>
    </row>
    <row r="163" spans="1:17" s="72" customFormat="1" ht="14.25" x14ac:dyDescent="0.2">
      <c r="A163" s="63"/>
      <c r="B163" s="143" t="s">
        <v>953</v>
      </c>
      <c r="C163" s="64">
        <v>2</v>
      </c>
      <c r="D163" s="75" t="s">
        <v>148</v>
      </c>
      <c r="E163" s="134">
        <v>2.5</v>
      </c>
      <c r="F163" s="134">
        <f>C163*E163</f>
        <v>5</v>
      </c>
      <c r="G163" s="134">
        <f>$H$11*E163</f>
        <v>125</v>
      </c>
      <c r="H163" s="135">
        <f>F163*$H$11</f>
        <v>250</v>
      </c>
      <c r="I163" s="152">
        <v>1500</v>
      </c>
      <c r="J163" s="135">
        <f>C163*I163</f>
        <v>3000</v>
      </c>
      <c r="K163" s="136">
        <f>SUM(H163,J163)</f>
        <v>3250</v>
      </c>
      <c r="L163" s="135">
        <f>K163/C163</f>
        <v>1625</v>
      </c>
      <c r="M163" s="137">
        <f>C163*L163</f>
        <v>3250</v>
      </c>
      <c r="N163" s="144">
        <v>0</v>
      </c>
      <c r="O163" s="130">
        <f>M163*N163</f>
        <v>0</v>
      </c>
      <c r="P163" s="159"/>
      <c r="Q163" s="159"/>
    </row>
    <row r="164" spans="1:17" ht="23.25" customHeight="1" x14ac:dyDescent="0.2">
      <c r="A164" s="63"/>
      <c r="B164" s="132"/>
      <c r="C164" s="138"/>
      <c r="D164" s="142"/>
      <c r="E164" s="133"/>
      <c r="F164" s="134"/>
      <c r="G164" s="134"/>
      <c r="H164" s="135"/>
      <c r="I164" s="135"/>
      <c r="J164" s="135"/>
      <c r="K164" s="136"/>
      <c r="L164" s="135"/>
      <c r="M164" s="137"/>
      <c r="N164" s="131"/>
      <c r="O164" s="130"/>
      <c r="P164" s="60"/>
      <c r="Q164" s="59"/>
    </row>
    <row r="165" spans="1:17" ht="24" customHeight="1" x14ac:dyDescent="0.2">
      <c r="A165" s="30"/>
      <c r="B165" s="31"/>
      <c r="C165" s="32"/>
      <c r="D165" s="33"/>
      <c r="E165" s="33"/>
      <c r="F165" s="33">
        <f>SUM(F13:F164)</f>
        <v>1290.6820833333334</v>
      </c>
      <c r="G165" s="33"/>
      <c r="H165" s="86">
        <f>SUM(H13:H164)</f>
        <v>64534.104166666664</v>
      </c>
      <c r="I165" s="33"/>
      <c r="J165" s="78">
        <f>SUM(J13:J164)</f>
        <v>78860.835372222224</v>
      </c>
      <c r="K165" s="33"/>
      <c r="L165" s="33"/>
      <c r="M165" s="68"/>
      <c r="N165" s="94"/>
      <c r="O165" s="104"/>
      <c r="P165" s="60"/>
      <c r="Q165" s="59"/>
    </row>
    <row r="166" spans="1:17" ht="15" customHeight="1" x14ac:dyDescent="0.2">
      <c r="A166" s="15"/>
      <c r="B166" s="28" t="s">
        <v>16</v>
      </c>
      <c r="C166" s="24"/>
      <c r="D166" s="25"/>
      <c r="E166" s="25"/>
      <c r="F166" s="25"/>
      <c r="G166" s="25"/>
      <c r="H166" s="25"/>
      <c r="I166" s="25"/>
      <c r="J166" s="25"/>
      <c r="K166" s="25"/>
      <c r="L166" s="25"/>
      <c r="M166" s="26">
        <f>SUM(M13:M164)</f>
        <v>143394.9395388889</v>
      </c>
      <c r="N166" s="100"/>
      <c r="O166" s="103">
        <f>SUM(O13:O164)</f>
        <v>0</v>
      </c>
      <c r="P166" s="60"/>
      <c r="Q166" s="65"/>
    </row>
    <row r="167" spans="1:17" x14ac:dyDescent="0.2">
      <c r="A167" s="13"/>
      <c r="B167" s="35" t="s">
        <v>12</v>
      </c>
      <c r="C167" s="24"/>
      <c r="D167" s="36"/>
      <c r="E167" s="36"/>
      <c r="F167" s="36"/>
      <c r="G167" s="36"/>
      <c r="H167" s="36"/>
      <c r="I167" s="36"/>
      <c r="J167" s="36"/>
      <c r="K167" s="36"/>
      <c r="L167" s="36"/>
      <c r="M167" s="26"/>
      <c r="N167" s="100"/>
      <c r="O167" s="103"/>
      <c r="P167" s="60"/>
      <c r="Q167" s="65"/>
    </row>
    <row r="168" spans="1:17" ht="24" customHeight="1" x14ac:dyDescent="0.2">
      <c r="A168" s="13"/>
      <c r="B168" s="37"/>
      <c r="C168" s="24"/>
      <c r="D168" s="36"/>
      <c r="E168" s="36"/>
      <c r="F168" s="36"/>
      <c r="G168" s="36"/>
      <c r="H168" s="36"/>
      <c r="I168" s="36"/>
      <c r="J168" s="36"/>
      <c r="K168" s="36"/>
      <c r="L168" s="36"/>
      <c r="M168" s="26"/>
      <c r="N168" s="100"/>
      <c r="O168" s="103"/>
      <c r="P168" s="60"/>
      <c r="Q168" s="59"/>
    </row>
    <row r="169" spans="1:17" ht="18.75" customHeight="1" x14ac:dyDescent="0.2">
      <c r="A169" s="15"/>
      <c r="B169" s="13" t="s">
        <v>8</v>
      </c>
      <c r="C169" s="24"/>
      <c r="D169" s="36" t="s">
        <v>5</v>
      </c>
      <c r="E169" s="36"/>
      <c r="F169" s="36"/>
      <c r="G169" s="36"/>
      <c r="H169" s="36"/>
      <c r="I169" s="36"/>
      <c r="J169" s="36"/>
      <c r="K169" s="36"/>
      <c r="L169" s="609">
        <v>2.0500000000000001E-2</v>
      </c>
      <c r="M169" s="84">
        <f>M166*L169</f>
        <v>2939.5962605472223</v>
      </c>
      <c r="N169" s="100"/>
      <c r="O169" s="103">
        <f>(O166/M166)*M169</f>
        <v>0</v>
      </c>
    </row>
    <row r="170" spans="1:17" ht="18.75" customHeight="1" x14ac:dyDescent="0.2">
      <c r="A170" s="38"/>
      <c r="B170" s="13"/>
      <c r="C170" s="24"/>
      <c r="D170" s="36"/>
      <c r="E170" s="36"/>
      <c r="F170" s="36"/>
      <c r="G170" s="36"/>
      <c r="H170" s="36"/>
      <c r="I170" s="36"/>
      <c r="J170" s="36"/>
      <c r="K170" s="36"/>
      <c r="L170" s="36"/>
      <c r="M170" s="26"/>
      <c r="N170" s="100"/>
      <c r="O170" s="103"/>
    </row>
    <row r="171" spans="1:17" s="42" customFormat="1" x14ac:dyDescent="0.2">
      <c r="A171" s="15"/>
      <c r="B171" s="39" t="s">
        <v>9</v>
      </c>
      <c r="C171" s="40"/>
      <c r="D171" s="41" t="s">
        <v>5</v>
      </c>
      <c r="E171" s="41"/>
      <c r="F171" s="41"/>
      <c r="G171" s="41"/>
      <c r="H171" s="41"/>
      <c r="I171" s="41"/>
      <c r="J171" s="41"/>
      <c r="K171" s="41"/>
      <c r="L171" s="79">
        <v>0.01</v>
      </c>
      <c r="M171" s="34">
        <f>M166*L171</f>
        <v>1433.9493953888889</v>
      </c>
      <c r="N171" s="100"/>
      <c r="O171" s="103">
        <f>(O166/M166)*M171</f>
        <v>0</v>
      </c>
    </row>
    <row r="172" spans="1:17" s="42" customFormat="1" x14ac:dyDescent="0.2">
      <c r="A172" s="15"/>
      <c r="B172" s="39"/>
      <c r="C172" s="40"/>
      <c r="D172" s="41"/>
      <c r="E172" s="41"/>
      <c r="F172" s="41"/>
      <c r="G172" s="41"/>
      <c r="H172" s="41"/>
      <c r="I172" s="41"/>
      <c r="J172" s="41"/>
      <c r="K172" s="41"/>
      <c r="L172" s="41"/>
      <c r="M172" s="34"/>
      <c r="N172" s="100"/>
      <c r="O172" s="103"/>
    </row>
    <row r="173" spans="1:17" s="42" customFormat="1" x14ac:dyDescent="0.2">
      <c r="A173" s="15"/>
      <c r="B173" s="39" t="s">
        <v>10</v>
      </c>
      <c r="C173" s="40"/>
      <c r="D173" s="41" t="s">
        <v>5</v>
      </c>
      <c r="E173" s="41"/>
      <c r="F173" s="41"/>
      <c r="G173" s="41"/>
      <c r="H173" s="41"/>
      <c r="I173" s="41"/>
      <c r="J173" s="41"/>
      <c r="K173" s="41"/>
      <c r="L173" s="79">
        <v>2.5000000000000001E-3</v>
      </c>
      <c r="M173" s="34">
        <f>M166*L173</f>
        <v>358.48734884722222</v>
      </c>
      <c r="N173" s="100"/>
      <c r="O173" s="103">
        <f>(O166/M166)*M173</f>
        <v>0</v>
      </c>
    </row>
    <row r="174" spans="1:17" s="42" customFormat="1" ht="20.25" customHeight="1" x14ac:dyDescent="0.2">
      <c r="A174" s="15"/>
      <c r="B174" s="80"/>
      <c r="C174" s="81"/>
      <c r="D174" s="82"/>
      <c r="E174" s="82"/>
      <c r="F174" s="82"/>
      <c r="G174" s="82"/>
      <c r="H174" s="82"/>
      <c r="I174" s="82"/>
      <c r="J174" s="82"/>
      <c r="K174" s="82"/>
      <c r="L174" s="82"/>
      <c r="M174" s="85"/>
      <c r="N174" s="100"/>
      <c r="O174" s="103"/>
    </row>
    <row r="175" spans="1:17" s="42" customFormat="1" ht="21.75" customHeight="1" x14ac:dyDescent="0.2">
      <c r="A175" s="29"/>
      <c r="B175" s="141" t="s">
        <v>42</v>
      </c>
      <c r="C175" s="81"/>
      <c r="D175" s="82" t="s">
        <v>5</v>
      </c>
      <c r="E175" s="82"/>
      <c r="F175" s="82"/>
      <c r="G175" s="82"/>
      <c r="H175" s="82"/>
      <c r="I175" s="82"/>
      <c r="J175" s="82"/>
      <c r="K175" s="82"/>
      <c r="L175" s="83">
        <f>M175/M166</f>
        <v>2.0252002593943854E-2</v>
      </c>
      <c r="M175" s="85">
        <f>I188</f>
        <v>2904.0346875</v>
      </c>
      <c r="N175" s="100"/>
      <c r="O175" s="103"/>
      <c r="P175" s="172"/>
    </row>
    <row r="176" spans="1:17" s="42" customFormat="1" ht="18" customHeight="1" x14ac:dyDescent="0.2">
      <c r="A176" s="29"/>
      <c r="B176" s="80"/>
      <c r="C176" s="81"/>
      <c r="D176" s="82"/>
      <c r="E176" s="82"/>
      <c r="F176" s="82"/>
      <c r="G176" s="82"/>
      <c r="H176" s="82"/>
      <c r="I176" s="82"/>
      <c r="J176" s="82"/>
      <c r="K176" s="82"/>
      <c r="L176" s="82"/>
      <c r="M176" s="85"/>
      <c r="N176" s="100"/>
      <c r="O176" s="103"/>
    </row>
    <row r="177" spans="1:17" s="42" customFormat="1" x14ac:dyDescent="0.2">
      <c r="A177" s="29"/>
      <c r="B177" s="80" t="s">
        <v>44</v>
      </c>
      <c r="C177" s="81"/>
      <c r="D177" s="82" t="s">
        <v>5</v>
      </c>
      <c r="E177" s="82"/>
      <c r="F177" s="82"/>
      <c r="G177" s="82"/>
      <c r="H177" s="82"/>
      <c r="I177" s="82"/>
      <c r="J177" s="82"/>
      <c r="K177" s="82"/>
      <c r="L177" s="83"/>
      <c r="M177" s="85"/>
      <c r="N177" s="100"/>
      <c r="O177" s="103">
        <f>M177*N177</f>
        <v>0</v>
      </c>
    </row>
    <row r="178" spans="1:17" s="42" customFormat="1" x14ac:dyDescent="0.2">
      <c r="A178" s="15"/>
      <c r="B178" s="80"/>
      <c r="C178" s="81"/>
      <c r="D178" s="82"/>
      <c r="E178" s="82"/>
      <c r="F178" s="82"/>
      <c r="G178" s="82"/>
      <c r="H178" s="82"/>
      <c r="I178" s="82"/>
      <c r="J178" s="82"/>
      <c r="K178" s="82"/>
      <c r="L178" s="82"/>
      <c r="M178" s="34"/>
      <c r="N178" s="100"/>
      <c r="O178" s="105"/>
    </row>
    <row r="179" spans="1:17" ht="18.75" customHeight="1" x14ac:dyDescent="0.2">
      <c r="A179" s="43"/>
      <c r="B179" s="44" t="s">
        <v>17</v>
      </c>
      <c r="C179" s="45"/>
      <c r="D179" s="46"/>
      <c r="E179" s="46"/>
      <c r="F179" s="46"/>
      <c r="G179" s="46"/>
      <c r="H179" s="46"/>
      <c r="I179" s="46"/>
      <c r="J179" s="46"/>
      <c r="K179" s="46"/>
      <c r="L179" s="46"/>
      <c r="M179" s="69">
        <f>SUM(M166:M178)</f>
        <v>151031.00723117226</v>
      </c>
      <c r="N179" s="101"/>
      <c r="O179" s="106">
        <f>SUM(O166:O178)</f>
        <v>0</v>
      </c>
      <c r="P179" s="42"/>
      <c r="Q179" s="42"/>
    </row>
    <row r="180" spans="1:17" ht="16.5" customHeight="1" x14ac:dyDescent="0.2">
      <c r="A180" s="15"/>
      <c r="B180" s="19"/>
      <c r="C180" s="24"/>
      <c r="D180" s="36"/>
      <c r="E180" s="36"/>
      <c r="F180" s="36"/>
      <c r="G180" s="36"/>
      <c r="H180" s="36"/>
      <c r="I180" s="36"/>
      <c r="J180" s="36"/>
      <c r="K180" s="36"/>
      <c r="L180" s="36"/>
      <c r="M180" s="26"/>
      <c r="N180" s="95"/>
      <c r="O180" s="107"/>
      <c r="P180" s="42"/>
      <c r="Q180" s="42"/>
    </row>
    <row r="181" spans="1:17" x14ac:dyDescent="0.2">
      <c r="A181" s="15"/>
      <c r="B181" s="19" t="s">
        <v>11</v>
      </c>
      <c r="C181" s="24"/>
      <c r="D181" s="36"/>
      <c r="E181" s="36"/>
      <c r="F181" s="36"/>
      <c r="G181" s="36"/>
      <c r="H181" s="36"/>
      <c r="I181" s="36"/>
      <c r="J181" s="36"/>
      <c r="K181" s="36"/>
      <c r="L181" s="79">
        <v>0.05</v>
      </c>
      <c r="M181" s="26">
        <f>M179*L181</f>
        <v>7551.5503615586131</v>
      </c>
      <c r="N181" s="95"/>
      <c r="O181" s="107">
        <f>O179/M179*M181</f>
        <v>0</v>
      </c>
      <c r="P181" s="42"/>
      <c r="Q181" s="42"/>
    </row>
    <row r="182" spans="1:17" x14ac:dyDescent="0.2">
      <c r="A182" s="47"/>
      <c r="B182" s="48"/>
      <c r="C182" s="49"/>
      <c r="D182" s="49"/>
      <c r="E182" s="49"/>
      <c r="F182" s="49"/>
      <c r="G182" s="49"/>
      <c r="H182" s="49"/>
      <c r="I182" s="49"/>
      <c r="J182" s="49"/>
      <c r="K182" s="49"/>
      <c r="L182" s="174"/>
      <c r="M182" s="70"/>
      <c r="N182" s="95"/>
      <c r="O182" s="107"/>
      <c r="P182" s="42"/>
      <c r="Q182" s="42"/>
    </row>
    <row r="183" spans="1:17" ht="27.75" customHeight="1" x14ac:dyDescent="0.2">
      <c r="A183" s="50"/>
      <c r="B183" s="56" t="s">
        <v>240</v>
      </c>
      <c r="C183" s="51"/>
      <c r="D183" s="52"/>
      <c r="E183" s="52"/>
      <c r="F183" s="52"/>
      <c r="G183" s="52"/>
      <c r="H183" s="52"/>
      <c r="I183" s="52"/>
      <c r="J183" s="52"/>
      <c r="K183" s="52"/>
      <c r="L183" s="173"/>
      <c r="M183" s="71">
        <f>ROUNDUP(SUM(M179:M182),0)</f>
        <v>158583</v>
      </c>
      <c r="N183" s="151">
        <f>O183/M183</f>
        <v>0</v>
      </c>
      <c r="O183" s="109">
        <f>SUM(O179:O182)</f>
        <v>0</v>
      </c>
      <c r="P183" s="42"/>
      <c r="Q183" s="42"/>
    </row>
    <row r="184" spans="1:17" ht="13.5" customHeight="1" x14ac:dyDescent="0.2">
      <c r="A184" s="161"/>
      <c r="B184" s="162"/>
      <c r="C184" s="163"/>
      <c r="D184" s="164"/>
      <c r="E184" s="164"/>
      <c r="F184" s="164"/>
      <c r="G184" s="72"/>
      <c r="H184" s="72"/>
      <c r="I184" s="72"/>
      <c r="J184" s="72"/>
      <c r="K184" s="164"/>
      <c r="L184" s="164"/>
      <c r="M184" s="165"/>
      <c r="N184" s="166">
        <f>SUM(L168:L178)</f>
        <v>5.3252002593943859E-2</v>
      </c>
      <c r="O184" s="240"/>
      <c r="P184" s="166">
        <f>L181</f>
        <v>0.05</v>
      </c>
      <c r="Q184" s="42"/>
    </row>
    <row r="185" spans="1:17" ht="13.5" customHeight="1" x14ac:dyDescent="0.2">
      <c r="A185" s="161"/>
      <c r="B185" s="162"/>
      <c r="C185" s="163"/>
      <c r="D185" s="164"/>
      <c r="E185" s="164"/>
      <c r="F185" s="167"/>
      <c r="G185" s="410" t="s">
        <v>45</v>
      </c>
      <c r="H185" s="411"/>
      <c r="I185" s="411"/>
      <c r="J185" s="412"/>
      <c r="K185" s="164"/>
      <c r="L185" s="169" t="s">
        <v>328</v>
      </c>
      <c r="M185" s="165">
        <f>SUM(M14:M67)</f>
        <v>47443.90904333334</v>
      </c>
      <c r="N185" s="561">
        <f>M185*$N$184</f>
        <v>2526.4831674424236</v>
      </c>
      <c r="O185" s="156">
        <f>SUM(M185:N185)</f>
        <v>49970.392210775761</v>
      </c>
      <c r="P185" s="568">
        <f>O185*$P$184</f>
        <v>2498.5196105387881</v>
      </c>
      <c r="Q185" s="565">
        <f>SUM(O185:P185)</f>
        <v>52468.911821314548</v>
      </c>
    </row>
    <row r="186" spans="1:17" ht="13.5" customHeight="1" x14ac:dyDescent="0.2">
      <c r="A186" s="161"/>
      <c r="B186" s="162"/>
      <c r="C186" s="163"/>
      <c r="D186" s="164"/>
      <c r="E186" s="164"/>
      <c r="F186" s="164"/>
      <c r="G186" s="413"/>
      <c r="H186" s="414" t="s">
        <v>583</v>
      </c>
      <c r="I186" s="72"/>
      <c r="J186" s="415"/>
      <c r="K186" s="164"/>
      <c r="L186" s="169"/>
      <c r="M186" s="165"/>
      <c r="N186" s="561"/>
      <c r="O186" s="156"/>
      <c r="P186" s="568"/>
      <c r="Q186" s="566"/>
    </row>
    <row r="187" spans="1:17" x14ac:dyDescent="0.2">
      <c r="F187" s="168"/>
      <c r="G187" s="413">
        <f>F165/8</f>
        <v>161.33526041666667</v>
      </c>
      <c r="H187" s="416">
        <v>1</v>
      </c>
      <c r="I187" s="72"/>
      <c r="J187" s="415"/>
      <c r="L187" s="169" t="s">
        <v>329</v>
      </c>
      <c r="M187" s="53">
        <f>SUM(M68:M113)</f>
        <v>39296.635666666662</v>
      </c>
      <c r="N187" s="561">
        <f>M187*$N$184</f>
        <v>2092.6245444545998</v>
      </c>
      <c r="O187" s="156">
        <f>SUM(M187:N187)</f>
        <v>41389.260211121262</v>
      </c>
      <c r="P187" s="568">
        <f>O187*$P$184</f>
        <v>2069.4630105560632</v>
      </c>
      <c r="Q187" s="219">
        <f>SUM(O187:P187)</f>
        <v>43458.723221677326</v>
      </c>
    </row>
    <row r="188" spans="1:17" x14ac:dyDescent="0.2">
      <c r="F188" s="168"/>
      <c r="G188" s="413">
        <f>G187/H187</f>
        <v>161.33526041666667</v>
      </c>
      <c r="H188" s="61">
        <v>18</v>
      </c>
      <c r="I188" s="61">
        <f>G188*H188</f>
        <v>2904.0346875</v>
      </c>
      <c r="J188" s="415"/>
      <c r="L188" s="169"/>
      <c r="M188" s="53"/>
      <c r="N188" s="561"/>
      <c r="O188" s="156"/>
      <c r="P188" s="568"/>
      <c r="Q188" s="566"/>
    </row>
    <row r="189" spans="1:17" x14ac:dyDescent="0.2">
      <c r="F189" s="168"/>
      <c r="G189" s="413"/>
      <c r="H189" s="72"/>
      <c r="I189" s="72"/>
      <c r="J189" s="415"/>
      <c r="L189" s="169" t="s">
        <v>330</v>
      </c>
      <c r="M189" s="53">
        <f>SUM(M114:M163)</f>
        <v>56654.394828888886</v>
      </c>
      <c r="N189" s="561">
        <f>M189*$N$184</f>
        <v>3016.9599803863107</v>
      </c>
      <c r="O189" s="156">
        <f>SUM(M189:N189)</f>
        <v>59671.354809275195</v>
      </c>
      <c r="P189" s="568">
        <f>O189*$P$184</f>
        <v>2983.5677404637599</v>
      </c>
      <c r="Q189" s="567">
        <f>SUM(O189:P189)</f>
        <v>62654.922549738956</v>
      </c>
    </row>
    <row r="190" spans="1:17" x14ac:dyDescent="0.2">
      <c r="G190" s="417"/>
      <c r="H190" s="418"/>
      <c r="I190" s="418"/>
      <c r="J190" s="419"/>
      <c r="L190" s="563"/>
      <c r="M190" s="557"/>
      <c r="N190" s="558"/>
      <c r="O190" s="564"/>
      <c r="P190" s="546"/>
      <c r="Q190" s="546"/>
    </row>
    <row r="191" spans="1:17" x14ac:dyDescent="0.2">
      <c r="L191" s="169"/>
      <c r="M191" s="53">
        <f>SUM(M185:M190)</f>
        <v>143394.9395388889</v>
      </c>
      <c r="N191" s="96"/>
      <c r="O191" s="156"/>
      <c r="Q191" s="53">
        <f>SUM(Q185:Q190)</f>
        <v>158582.55759273082</v>
      </c>
    </row>
    <row r="192" spans="1:17" ht="15" x14ac:dyDescent="0.25">
      <c r="B192" s="113" t="s">
        <v>30</v>
      </c>
      <c r="C192" s="114"/>
      <c r="D192" s="114"/>
      <c r="E192" s="114"/>
      <c r="F192" s="114"/>
      <c r="I192" s="113" t="s">
        <v>30</v>
      </c>
      <c r="J192" s="114"/>
      <c r="K192" s="114"/>
      <c r="L192" s="114"/>
      <c r="M192" s="114"/>
      <c r="O192" s="108"/>
      <c r="P192" s="42"/>
      <c r="Q192" s="42"/>
    </row>
    <row r="193" spans="2:20" x14ac:dyDescent="0.2">
      <c r="B193" s="115" t="s">
        <v>43</v>
      </c>
      <c r="C193" s="116"/>
      <c r="D193" s="111"/>
      <c r="E193" s="111"/>
      <c r="F193" s="111"/>
      <c r="I193" s="115" t="s">
        <v>31</v>
      </c>
      <c r="J193" s="116"/>
      <c r="K193" s="111"/>
      <c r="L193" s="111"/>
      <c r="M193" s="111"/>
      <c r="O193" s="108"/>
      <c r="P193" s="42"/>
      <c r="Q193" s="42"/>
    </row>
    <row r="194" spans="2:20" ht="15" x14ac:dyDescent="0.25">
      <c r="B194" s="115" t="s">
        <v>32</v>
      </c>
      <c r="C194" s="116" t="s">
        <v>33</v>
      </c>
      <c r="D194" s="111" t="s">
        <v>34</v>
      </c>
      <c r="E194" s="111" t="s">
        <v>35</v>
      </c>
      <c r="F194" s="114"/>
      <c r="I194" s="115" t="s">
        <v>32</v>
      </c>
      <c r="J194" s="116" t="s">
        <v>33</v>
      </c>
      <c r="K194" s="111" t="s">
        <v>34</v>
      </c>
      <c r="L194" s="111" t="s">
        <v>35</v>
      </c>
      <c r="M194" s="114"/>
      <c r="O194" s="108"/>
      <c r="P194" s="42"/>
      <c r="Q194" s="42"/>
    </row>
    <row r="195" spans="2:20" x14ac:dyDescent="0.2">
      <c r="B195" s="117">
        <v>1</v>
      </c>
      <c r="C195" s="116">
        <v>55</v>
      </c>
      <c r="D195" s="111">
        <f>B195*C195</f>
        <v>55</v>
      </c>
      <c r="E195" s="111">
        <f>D195*F195</f>
        <v>110</v>
      </c>
      <c r="F195" s="118">
        <v>2</v>
      </c>
      <c r="I195" s="117">
        <v>4</v>
      </c>
      <c r="J195" s="116">
        <v>55</v>
      </c>
      <c r="K195" s="111">
        <f>I195*J195</f>
        <v>220</v>
      </c>
      <c r="L195" s="111">
        <f>K195*M195</f>
        <v>440</v>
      </c>
      <c r="M195" s="118">
        <v>2</v>
      </c>
      <c r="O195" s="108"/>
      <c r="P195" s="42"/>
      <c r="Q195" s="42"/>
    </row>
    <row r="196" spans="2:20" x14ac:dyDescent="0.2">
      <c r="B196" s="115" t="s">
        <v>36</v>
      </c>
      <c r="C196" s="116"/>
      <c r="D196" s="111"/>
      <c r="E196" s="111" t="s">
        <v>37</v>
      </c>
      <c r="F196" s="111"/>
      <c r="I196" s="115" t="s">
        <v>36</v>
      </c>
      <c r="J196" s="116"/>
      <c r="K196" s="111"/>
      <c r="L196" s="111" t="s">
        <v>37</v>
      </c>
      <c r="M196" s="111"/>
      <c r="O196" s="108"/>
      <c r="P196" s="42"/>
      <c r="Q196" s="42"/>
    </row>
    <row r="197" spans="2:20" ht="15" x14ac:dyDescent="0.25">
      <c r="B197" s="115">
        <v>0.7</v>
      </c>
      <c r="C197" s="119"/>
      <c r="D197" s="114"/>
      <c r="E197" s="111">
        <f>B197*C197</f>
        <v>0</v>
      </c>
      <c r="F197" s="111"/>
      <c r="I197" s="115">
        <v>0.7</v>
      </c>
      <c r="J197" s="119">
        <v>310</v>
      </c>
      <c r="K197" s="114"/>
      <c r="L197" s="111">
        <f>I197*J197</f>
        <v>217</v>
      </c>
      <c r="M197" s="111"/>
      <c r="O197" s="108"/>
      <c r="P197" s="42"/>
      <c r="Q197" s="42"/>
    </row>
    <row r="198" spans="2:20" x14ac:dyDescent="0.2">
      <c r="B198" s="115" t="s">
        <v>38</v>
      </c>
      <c r="C198" s="116"/>
      <c r="D198" s="111"/>
      <c r="E198" s="111">
        <f>SUM(E195:E197)</f>
        <v>110</v>
      </c>
      <c r="F198" s="111"/>
      <c r="I198" s="115" t="s">
        <v>38</v>
      </c>
      <c r="J198" s="116"/>
      <c r="K198" s="111"/>
      <c r="L198" s="111">
        <f>SUM(L195:L197)</f>
        <v>657</v>
      </c>
      <c r="M198" s="111"/>
      <c r="O198" s="108"/>
      <c r="P198" s="42"/>
      <c r="Q198" s="42"/>
    </row>
    <row r="199" spans="2:20" x14ac:dyDescent="0.2">
      <c r="B199" s="117">
        <v>2</v>
      </c>
      <c r="C199" s="116"/>
      <c r="D199" s="111"/>
      <c r="E199" s="111">
        <f>B199*E198</f>
        <v>220</v>
      </c>
      <c r="F199" s="111"/>
      <c r="I199" s="117">
        <v>1</v>
      </c>
      <c r="J199" s="116"/>
      <c r="K199" s="111"/>
      <c r="L199" s="111">
        <f>I199*L198</f>
        <v>657</v>
      </c>
      <c r="M199" s="111"/>
      <c r="O199" s="108"/>
      <c r="P199" s="42"/>
      <c r="Q199" s="42"/>
      <c r="R199" s="418" t="s">
        <v>879</v>
      </c>
      <c r="S199" s="418" t="s">
        <v>880</v>
      </c>
      <c r="T199" s="418" t="s">
        <v>881</v>
      </c>
    </row>
    <row r="200" spans="2:20" x14ac:dyDescent="0.2">
      <c r="B200" s="115" t="s">
        <v>39</v>
      </c>
      <c r="C200" s="116" t="s">
        <v>40</v>
      </c>
      <c r="D200" s="111"/>
      <c r="E200" s="111" t="s">
        <v>41</v>
      </c>
      <c r="F200" s="111"/>
      <c r="I200" s="115" t="s">
        <v>39</v>
      </c>
      <c r="J200" s="116" t="s">
        <v>40</v>
      </c>
      <c r="K200" s="111"/>
      <c r="L200" s="111" t="s">
        <v>41</v>
      </c>
      <c r="M200" s="111"/>
      <c r="Q200" s="54"/>
      <c r="R200" s="14">
        <v>34</v>
      </c>
      <c r="S200" s="14">
        <v>23</v>
      </c>
      <c r="T200" s="14">
        <v>30</v>
      </c>
    </row>
    <row r="201" spans="2:20" x14ac:dyDescent="0.2">
      <c r="B201" s="117"/>
      <c r="C201" s="119"/>
      <c r="D201" s="111">
        <f>B201*C201</f>
        <v>0</v>
      </c>
      <c r="E201" s="111">
        <f>D201*F195</f>
        <v>0</v>
      </c>
      <c r="F201" s="111"/>
      <c r="I201" s="117">
        <v>125</v>
      </c>
      <c r="J201" s="119">
        <v>4</v>
      </c>
      <c r="K201" s="111">
        <f>I201*J201</f>
        <v>500</v>
      </c>
      <c r="L201" s="111">
        <f>K201*M195</f>
        <v>1000</v>
      </c>
      <c r="M201" s="111"/>
    </row>
    <row r="202" spans="2:20" x14ac:dyDescent="0.2">
      <c r="B202" s="115"/>
      <c r="C202" s="116"/>
      <c r="D202" s="111"/>
      <c r="E202" s="112">
        <f>SUM(E199:E201)</f>
        <v>220</v>
      </c>
      <c r="F202" s="111"/>
      <c r="I202" s="115"/>
      <c r="J202" s="116"/>
      <c r="K202" s="111"/>
      <c r="L202" s="112">
        <f>SUM(L199:L201)</f>
        <v>1657</v>
      </c>
      <c r="M202" s="111"/>
    </row>
    <row r="206" spans="2:20" x14ac:dyDescent="0.2">
      <c r="D206" s="72" t="s">
        <v>45</v>
      </c>
      <c r="E206" s="14">
        <f>F165/8.5</f>
        <v>151.84495098039216</v>
      </c>
      <c r="F206" s="60">
        <f>E206*17.5</f>
        <v>2657.2866421568629</v>
      </c>
      <c r="G206" s="72" t="s">
        <v>48</v>
      </c>
    </row>
  </sheetData>
  <pageMargins left="0.70866141732283472" right="0.70866141732283472" top="0.74803149606299213" bottom="0.74803149606299213" header="0.31496062992125984" footer="0.31496062992125984"/>
  <pageSetup paperSize="9" scale="99"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C353-2281-4FC2-9B73-14946688EF47}">
  <sheetPr>
    <pageSetUpPr fitToPage="1"/>
  </sheetPr>
  <dimension ref="A1:T202"/>
  <sheetViews>
    <sheetView topLeftCell="A21" zoomScale="85" zoomScaleNormal="85" workbookViewId="0">
      <selection activeCell="D21" sqref="D21:D22"/>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2" width="11.5703125" style="14" customWidth="1"/>
    <col min="13" max="13" width="14.7109375" style="14" customWidth="1"/>
    <col min="14" max="14" width="11" style="92" customWidth="1"/>
    <col min="15" max="15" width="13.140625" style="14" customWidth="1"/>
    <col min="16" max="16" width="10.5703125" style="14" bestFit="1" customWidth="1"/>
    <col min="17" max="17" width="13" style="14" customWidth="1"/>
    <col min="18" max="18" width="14.28515625" style="14" customWidth="1"/>
    <col min="19"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Summary!B119</f>
        <v>Partitions</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50</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5"/>
      <c r="M13" s="110"/>
      <c r="N13" s="126"/>
      <c r="O13" s="127"/>
    </row>
    <row r="14" spans="1:17" s="72" customFormat="1" ht="15" x14ac:dyDescent="0.2">
      <c r="A14" s="63"/>
      <c r="B14" s="176" t="s">
        <v>58</v>
      </c>
      <c r="C14" s="64"/>
      <c r="D14" s="75"/>
      <c r="E14" s="128"/>
      <c r="F14" s="129"/>
      <c r="G14" s="129"/>
      <c r="H14" s="129"/>
      <c r="I14" s="153"/>
      <c r="J14" s="128"/>
      <c r="K14" s="128"/>
      <c r="L14" s="128"/>
      <c r="M14" s="120"/>
      <c r="N14" s="126"/>
      <c r="O14" s="127"/>
    </row>
    <row r="15" spans="1:17" s="72" customFormat="1" ht="15" x14ac:dyDescent="0.2">
      <c r="A15" s="63"/>
      <c r="B15" s="176"/>
      <c r="C15" s="64"/>
      <c r="D15" s="75"/>
      <c r="E15" s="128"/>
      <c r="F15" s="129"/>
      <c r="G15" s="129"/>
      <c r="H15" s="129"/>
      <c r="I15" s="153"/>
      <c r="J15" s="128"/>
      <c r="K15" s="128"/>
      <c r="L15" s="128"/>
      <c r="M15" s="120"/>
      <c r="N15" s="126"/>
      <c r="O15" s="127"/>
    </row>
    <row r="16" spans="1:17" s="72" customFormat="1" ht="14.25" x14ac:dyDescent="0.2">
      <c r="A16" s="63"/>
      <c r="B16" s="143" t="s">
        <v>299</v>
      </c>
      <c r="C16" s="192" t="s">
        <v>262</v>
      </c>
      <c r="D16" s="75"/>
      <c r="E16" s="128"/>
      <c r="F16" s="129"/>
      <c r="G16" s="129"/>
      <c r="H16" s="129"/>
      <c r="I16" s="153"/>
      <c r="J16" s="128"/>
      <c r="K16" s="128"/>
      <c r="L16" s="128"/>
      <c r="M16" s="120"/>
      <c r="N16" s="126"/>
      <c r="O16" s="127"/>
    </row>
    <row r="17" spans="1:19" s="72" customFormat="1" ht="14.25" x14ac:dyDescent="0.2">
      <c r="A17" s="63"/>
      <c r="B17" s="143" t="s">
        <v>300</v>
      </c>
      <c r="C17" s="195">
        <v>4</v>
      </c>
      <c r="D17" s="75" t="s">
        <v>116</v>
      </c>
      <c r="E17" s="134">
        <f>'WORKINGS_Partitions SPEC Rates'!G41</f>
        <v>1.9770000000000001</v>
      </c>
      <c r="F17" s="134">
        <f>C17*E17</f>
        <v>7.9080000000000004</v>
      </c>
      <c r="G17" s="134">
        <f>$H$11*E17</f>
        <v>98.850000000000009</v>
      </c>
      <c r="H17" s="135">
        <f>F17*$H$11</f>
        <v>395.40000000000003</v>
      </c>
      <c r="I17" s="152">
        <f>'WORKINGS_Partitions SPEC Rates'!K41</f>
        <v>68.917518333333334</v>
      </c>
      <c r="J17" s="135">
        <f>C17*I17</f>
        <v>275.67007333333333</v>
      </c>
      <c r="K17" s="136">
        <f>SUM(H17,J17)</f>
        <v>671.07007333333331</v>
      </c>
      <c r="L17" s="135">
        <f>K17/C17</f>
        <v>167.76751833333333</v>
      </c>
      <c r="M17" s="137">
        <f>C17*L17</f>
        <v>671.07007333333331</v>
      </c>
      <c r="N17" s="144">
        <v>0</v>
      </c>
      <c r="O17" s="130">
        <f>M17*N17</f>
        <v>0</v>
      </c>
    </row>
    <row r="18" spans="1:19" s="72" customFormat="1" ht="14.25" x14ac:dyDescent="0.2">
      <c r="A18" s="63"/>
      <c r="B18" s="143" t="s">
        <v>257</v>
      </c>
      <c r="C18" s="607">
        <v>4</v>
      </c>
      <c r="D18" s="75" t="s">
        <v>116</v>
      </c>
      <c r="E18" s="134">
        <v>0.15</v>
      </c>
      <c r="F18" s="134">
        <f>C18*E18</f>
        <v>0.6</v>
      </c>
      <c r="G18" s="134">
        <f>$H$11*E18</f>
        <v>7.5</v>
      </c>
      <c r="H18" s="135">
        <f>F18*$H$11</f>
        <v>30</v>
      </c>
      <c r="I18" s="152">
        <v>3.5</v>
      </c>
      <c r="J18" s="135">
        <f>C18*I18</f>
        <v>14</v>
      </c>
      <c r="K18" s="136">
        <f>SUM(H18,J18)</f>
        <v>44</v>
      </c>
      <c r="L18" s="135">
        <f>K18/C18</f>
        <v>11</v>
      </c>
      <c r="M18" s="137">
        <f>C18*L18</f>
        <v>44</v>
      </c>
      <c r="N18" s="144">
        <v>0</v>
      </c>
      <c r="O18" s="130">
        <f>M18*N18</f>
        <v>0</v>
      </c>
      <c r="P18" s="159"/>
      <c r="Q18" s="177"/>
    </row>
    <row r="19" spans="1:19" s="72" customFormat="1" ht="14.25" x14ac:dyDescent="0.2">
      <c r="A19" s="63"/>
      <c r="B19" s="143"/>
      <c r="C19" s="64"/>
      <c r="D19" s="75"/>
      <c r="E19" s="134"/>
      <c r="F19" s="134"/>
      <c r="G19" s="134"/>
      <c r="H19" s="135"/>
      <c r="I19" s="152"/>
      <c r="J19" s="135"/>
      <c r="K19" s="136"/>
      <c r="L19" s="135"/>
      <c r="M19" s="137"/>
      <c r="N19" s="144"/>
      <c r="O19" s="130"/>
      <c r="P19" s="159"/>
      <c r="Q19" s="177"/>
    </row>
    <row r="20" spans="1:19" s="72" customFormat="1" ht="14.25" x14ac:dyDescent="0.2">
      <c r="A20" s="63"/>
      <c r="B20" s="316" t="s">
        <v>261</v>
      </c>
      <c r="C20" s="608" t="s">
        <v>262</v>
      </c>
      <c r="D20" s="75"/>
      <c r="E20" s="134"/>
      <c r="F20" s="134"/>
      <c r="G20" s="134"/>
      <c r="H20" s="135"/>
      <c r="I20" s="152"/>
      <c r="J20" s="135"/>
      <c r="K20" s="136"/>
      <c r="L20" s="135"/>
      <c r="M20" s="137"/>
      <c r="N20" s="144"/>
      <c r="O20" s="130"/>
      <c r="P20" s="159"/>
      <c r="Q20" s="177"/>
    </row>
    <row r="21" spans="1:19" s="72" customFormat="1" ht="14.25" x14ac:dyDescent="0.2">
      <c r="A21" s="63"/>
      <c r="B21" s="143" t="s">
        <v>285</v>
      </c>
      <c r="C21" s="195">
        <v>23</v>
      </c>
      <c r="D21" s="75" t="s">
        <v>116</v>
      </c>
      <c r="E21" s="134">
        <f>'WORKINGS_Partitions SPEC Rates'!G41</f>
        <v>1.9770000000000001</v>
      </c>
      <c r="F21" s="134">
        <f>C21*E21</f>
        <v>45.471000000000004</v>
      </c>
      <c r="G21" s="134">
        <f>$H$11*E21</f>
        <v>98.850000000000009</v>
      </c>
      <c r="H21" s="135">
        <f>F21*$H$11</f>
        <v>2273.5500000000002</v>
      </c>
      <c r="I21" s="152">
        <f>'WORKINGS_Partitions SPEC Rates'!K41</f>
        <v>68.917518333333334</v>
      </c>
      <c r="J21" s="135">
        <f>C21*I21</f>
        <v>1585.1029216666666</v>
      </c>
      <c r="K21" s="136">
        <f>SUM(H21,J21)</f>
        <v>3858.6529216666668</v>
      </c>
      <c r="L21" s="135">
        <f>K21/C21</f>
        <v>167.76751833333333</v>
      </c>
      <c r="M21" s="137">
        <f>C21*L21</f>
        <v>3858.6529216666668</v>
      </c>
      <c r="N21" s="144">
        <v>0</v>
      </c>
      <c r="O21" s="130">
        <f>M21*N21</f>
        <v>0</v>
      </c>
      <c r="P21" s="159"/>
      <c r="Q21" s="177"/>
    </row>
    <row r="22" spans="1:19" s="72" customFormat="1" ht="14.25" x14ac:dyDescent="0.2">
      <c r="A22" s="63"/>
      <c r="B22" s="143" t="s">
        <v>263</v>
      </c>
      <c r="C22" s="192" t="s">
        <v>447</v>
      </c>
      <c r="D22" s="75"/>
      <c r="E22" s="134"/>
      <c r="F22" s="134"/>
      <c r="G22" s="134"/>
      <c r="H22" s="135"/>
      <c r="I22" s="152"/>
      <c r="J22" s="135"/>
      <c r="K22" s="136"/>
      <c r="L22" s="135"/>
      <c r="M22" s="137"/>
      <c r="N22" s="144"/>
      <c r="O22" s="130"/>
      <c r="P22" s="159"/>
      <c r="Q22" s="177"/>
    </row>
    <row r="23" spans="1:19" s="72" customFormat="1" ht="14.25" x14ac:dyDescent="0.2">
      <c r="A23" s="63"/>
      <c r="B23" s="143" t="s">
        <v>257</v>
      </c>
      <c r="C23" s="607">
        <v>23</v>
      </c>
      <c r="D23" s="75" t="s">
        <v>116</v>
      </c>
      <c r="E23" s="134">
        <v>0.15</v>
      </c>
      <c r="F23" s="134">
        <f>C23*E23</f>
        <v>3.4499999999999997</v>
      </c>
      <c r="G23" s="134">
        <f>$H$11*E23</f>
        <v>7.5</v>
      </c>
      <c r="H23" s="135">
        <f>F23*$H$11</f>
        <v>172.5</v>
      </c>
      <c r="I23" s="152">
        <v>3.5</v>
      </c>
      <c r="J23" s="135">
        <f>C23*I23</f>
        <v>80.5</v>
      </c>
      <c r="K23" s="136">
        <f>SUM(H23,J23)</f>
        <v>253</v>
      </c>
      <c r="L23" s="135">
        <f>K23/C23</f>
        <v>11</v>
      </c>
      <c r="M23" s="137">
        <f>C23*L23</f>
        <v>253</v>
      </c>
      <c r="N23" s="144">
        <v>0</v>
      </c>
      <c r="O23" s="130">
        <f>M23*N23</f>
        <v>0</v>
      </c>
      <c r="P23" s="159"/>
      <c r="Q23" s="177"/>
    </row>
    <row r="24" spans="1:19" s="72" customFormat="1" ht="14.25" x14ac:dyDescent="0.2">
      <c r="A24" s="63"/>
      <c r="B24" s="143"/>
      <c r="C24" s="195"/>
      <c r="D24" s="75"/>
      <c r="E24" s="134"/>
      <c r="F24" s="134"/>
      <c r="G24" s="134"/>
      <c r="H24" s="135"/>
      <c r="I24" s="152"/>
      <c r="J24" s="135"/>
      <c r="K24" s="136"/>
      <c r="L24" s="135"/>
      <c r="M24" s="137"/>
      <c r="N24" s="144"/>
      <c r="O24" s="130"/>
      <c r="P24" s="159"/>
      <c r="Q24" s="177"/>
    </row>
    <row r="25" spans="1:19" s="72" customFormat="1" ht="14.25" x14ac:dyDescent="0.2">
      <c r="A25" s="63"/>
      <c r="B25" s="143" t="s">
        <v>340</v>
      </c>
      <c r="C25" s="199" t="s">
        <v>341</v>
      </c>
      <c r="D25" s="75"/>
      <c r="E25" s="134"/>
      <c r="F25" s="134"/>
      <c r="G25" s="134"/>
      <c r="H25" s="135"/>
      <c r="I25" s="152"/>
      <c r="J25" s="135"/>
      <c r="K25" s="136"/>
      <c r="L25" s="135"/>
      <c r="M25" s="137"/>
      <c r="N25" s="144"/>
      <c r="O25" s="130"/>
      <c r="P25" s="159"/>
      <c r="Q25" s="177"/>
      <c r="R25" s="72">
        <f>SUM(C36,C44,C48,C53,C88,C94,C99,C137,C143)</f>
        <v>82</v>
      </c>
    </row>
    <row r="26" spans="1:19" s="72" customFormat="1" ht="14.25" x14ac:dyDescent="0.2">
      <c r="A26" s="63"/>
      <c r="B26" s="143"/>
      <c r="C26" s="195"/>
      <c r="D26" s="75"/>
      <c r="E26" s="134"/>
      <c r="F26" s="134"/>
      <c r="G26" s="134"/>
      <c r="H26" s="135"/>
      <c r="I26" s="152"/>
      <c r="J26" s="135"/>
      <c r="K26" s="136"/>
      <c r="L26" s="135"/>
      <c r="M26" s="137"/>
      <c r="N26" s="144"/>
      <c r="O26" s="130"/>
      <c r="P26" s="159"/>
      <c r="Q26" s="177"/>
    </row>
    <row r="27" spans="1:19" s="72" customFormat="1" ht="14.25" x14ac:dyDescent="0.2">
      <c r="A27" s="63"/>
      <c r="B27" s="143" t="s">
        <v>294</v>
      </c>
      <c r="C27" s="195">
        <v>9</v>
      </c>
      <c r="D27" s="75" t="s">
        <v>116</v>
      </c>
      <c r="E27" s="134">
        <f>'WORKINGS_Partitions SPEC Rates'!G76</f>
        <v>0.72041666666666659</v>
      </c>
      <c r="F27" s="134">
        <f>C27*E27</f>
        <v>6.4837499999999997</v>
      </c>
      <c r="G27" s="134">
        <f>$H$11*E27</f>
        <v>36.020833333333329</v>
      </c>
      <c r="H27" s="135">
        <f>F27*$H$11</f>
        <v>324.1875</v>
      </c>
      <c r="I27" s="152">
        <f>'WORKINGS_Partitions SPEC Rates'!K76</f>
        <v>23.380602083333336</v>
      </c>
      <c r="J27" s="135">
        <f>C27*I27</f>
        <v>210.42541875000003</v>
      </c>
      <c r="K27" s="136">
        <f>SUM(H27,J27)</f>
        <v>534.61291875000006</v>
      </c>
      <c r="L27" s="135">
        <f>K27/C27</f>
        <v>59.401435416666672</v>
      </c>
      <c r="M27" s="137">
        <f>C27*L27</f>
        <v>534.61291875000006</v>
      </c>
      <c r="N27" s="144">
        <v>0</v>
      </c>
      <c r="O27" s="130">
        <f>M27*N27</f>
        <v>0</v>
      </c>
      <c r="P27" s="159"/>
      <c r="Q27" s="307"/>
      <c r="R27" s="72" t="s">
        <v>448</v>
      </c>
      <c r="S27" s="72">
        <v>1.1499999999999999</v>
      </c>
    </row>
    <row r="28" spans="1:19" s="72" customFormat="1" ht="25.5" x14ac:dyDescent="0.2">
      <c r="A28" s="63"/>
      <c r="B28" s="175" t="s">
        <v>295</v>
      </c>
      <c r="C28" s="195">
        <v>34</v>
      </c>
      <c r="D28" s="75" t="s">
        <v>151</v>
      </c>
      <c r="E28" s="134">
        <v>0.4</v>
      </c>
      <c r="F28" s="134">
        <f>C28*E28</f>
        <v>13.600000000000001</v>
      </c>
      <c r="G28" s="134">
        <f>$H$11*E28</f>
        <v>20</v>
      </c>
      <c r="H28" s="135">
        <f>F28*$H$11</f>
        <v>680.00000000000011</v>
      </c>
      <c r="I28" s="152">
        <v>17.739999999999998</v>
      </c>
      <c r="J28" s="135">
        <f>C28*I28</f>
        <v>603.16</v>
      </c>
      <c r="K28" s="136">
        <f>SUM(H28,J28)</f>
        <v>1283.1600000000001</v>
      </c>
      <c r="L28" s="135">
        <f>K28/C28</f>
        <v>37.74</v>
      </c>
      <c r="M28" s="137">
        <f>C28*L28</f>
        <v>1283.1600000000001</v>
      </c>
      <c r="N28" s="144">
        <v>0</v>
      </c>
      <c r="O28" s="130">
        <f>M28*N28</f>
        <v>0</v>
      </c>
      <c r="P28" s="159">
        <v>9</v>
      </c>
      <c r="Q28" s="307">
        <v>3.9</v>
      </c>
      <c r="R28" s="306">
        <f>(P28/0.4)*Q28</f>
        <v>87.75</v>
      </c>
    </row>
    <row r="29" spans="1:19" s="72" customFormat="1" ht="14.25" x14ac:dyDescent="0.2">
      <c r="A29" s="63"/>
      <c r="B29" s="175"/>
      <c r="C29" s="195"/>
      <c r="D29" s="75"/>
      <c r="E29" s="134"/>
      <c r="F29" s="134"/>
      <c r="G29" s="134"/>
      <c r="H29" s="135"/>
      <c r="I29" s="152"/>
      <c r="J29" s="135"/>
      <c r="K29" s="136"/>
      <c r="L29" s="135"/>
      <c r="M29" s="137"/>
      <c r="N29" s="144"/>
      <c r="O29" s="130"/>
      <c r="P29" s="159"/>
      <c r="Q29" s="307"/>
      <c r="R29" s="306"/>
    </row>
    <row r="30" spans="1:19" s="72" customFormat="1" ht="14.25" x14ac:dyDescent="0.2">
      <c r="A30" s="63"/>
      <c r="B30" s="143"/>
      <c r="C30" s="195"/>
      <c r="D30" s="75"/>
      <c r="E30" s="134"/>
      <c r="F30" s="134"/>
      <c r="G30" s="134"/>
      <c r="H30" s="135"/>
      <c r="I30" s="152"/>
      <c r="J30" s="135"/>
      <c r="K30" s="136"/>
      <c r="L30" s="135"/>
      <c r="M30" s="137"/>
      <c r="N30" s="144"/>
      <c r="O30" s="130"/>
      <c r="P30" s="159"/>
      <c r="Q30" s="307"/>
    </row>
    <row r="31" spans="1:19" s="72" customFormat="1" ht="25.5" x14ac:dyDescent="0.2">
      <c r="A31" s="63"/>
      <c r="B31" s="175" t="s">
        <v>289</v>
      </c>
      <c r="C31" s="195">
        <v>19</v>
      </c>
      <c r="D31" s="75" t="s">
        <v>151</v>
      </c>
      <c r="E31" s="134">
        <v>0.44</v>
      </c>
      <c r="F31" s="134">
        <f>C31*E31</f>
        <v>8.36</v>
      </c>
      <c r="G31" s="134">
        <f>$H$11*E31</f>
        <v>22</v>
      </c>
      <c r="H31" s="135">
        <f>F31*$H$11</f>
        <v>418</v>
      </c>
      <c r="I31" s="152">
        <v>19.7</v>
      </c>
      <c r="J31" s="135">
        <f>C31*I31</f>
        <v>374.3</v>
      </c>
      <c r="K31" s="136">
        <f>SUM(H31,J31)</f>
        <v>792.3</v>
      </c>
      <c r="L31" s="135">
        <f>K31/C31</f>
        <v>41.699999999999996</v>
      </c>
      <c r="M31" s="137">
        <f>C31*L31</f>
        <v>792.3</v>
      </c>
      <c r="N31" s="144">
        <v>0</v>
      </c>
      <c r="O31" s="130">
        <f>M31*N31</f>
        <v>0</v>
      </c>
      <c r="P31" s="159">
        <v>7</v>
      </c>
      <c r="Q31" s="307">
        <v>2.95</v>
      </c>
      <c r="R31" s="306">
        <f>(P31/0.4)*Q31</f>
        <v>51.625</v>
      </c>
    </row>
    <row r="32" spans="1:19" s="72" customFormat="1" ht="14.25" x14ac:dyDescent="0.2">
      <c r="A32" s="63"/>
      <c r="B32" s="143"/>
      <c r="C32" s="195"/>
      <c r="D32" s="75"/>
      <c r="E32" s="134"/>
      <c r="F32" s="134"/>
      <c r="G32" s="134"/>
      <c r="H32" s="135"/>
      <c r="I32" s="152"/>
      <c r="J32" s="135"/>
      <c r="K32" s="136"/>
      <c r="L32" s="135"/>
      <c r="M32" s="137"/>
      <c r="N32" s="144"/>
      <c r="O32" s="130"/>
      <c r="P32" s="159"/>
      <c r="Q32" s="307"/>
    </row>
    <row r="33" spans="1:18" s="72" customFormat="1" ht="25.5" x14ac:dyDescent="0.2">
      <c r="A33" s="63"/>
      <c r="B33" s="175" t="s">
        <v>254</v>
      </c>
      <c r="C33" s="64">
        <v>141</v>
      </c>
      <c r="D33" s="75" t="s">
        <v>151</v>
      </c>
      <c r="E33" s="134">
        <v>0.43</v>
      </c>
      <c r="F33" s="134">
        <f>C33*E33</f>
        <v>60.63</v>
      </c>
      <c r="G33" s="134">
        <f>$H$11*E33</f>
        <v>21.5</v>
      </c>
      <c r="H33" s="135">
        <f>F33*$H$11</f>
        <v>3031.5</v>
      </c>
      <c r="I33" s="152">
        <v>19</v>
      </c>
      <c r="J33" s="135">
        <f>C33*I33</f>
        <v>2679</v>
      </c>
      <c r="K33" s="136">
        <f>SUM(H33,J33)</f>
        <v>5710.5</v>
      </c>
      <c r="L33" s="135">
        <f>K33/C33</f>
        <v>40.5</v>
      </c>
      <c r="M33" s="137">
        <f>C33*L33</f>
        <v>5710.5</v>
      </c>
      <c r="N33" s="144">
        <v>0</v>
      </c>
      <c r="O33" s="130">
        <f>M33*N33</f>
        <v>0</v>
      </c>
      <c r="P33" s="159">
        <v>48</v>
      </c>
      <c r="Q33" s="307">
        <v>2.95</v>
      </c>
      <c r="R33" s="306">
        <f>(P33/0.4)*Q33</f>
        <v>354</v>
      </c>
    </row>
    <row r="34" spans="1:18" s="72" customFormat="1" ht="14.25" x14ac:dyDescent="0.2">
      <c r="A34" s="63"/>
      <c r="B34" s="143"/>
      <c r="C34" s="64"/>
      <c r="D34" s="75"/>
      <c r="E34" s="134"/>
      <c r="F34" s="134"/>
      <c r="G34" s="134"/>
      <c r="H34" s="135"/>
      <c r="I34" s="152"/>
      <c r="J34" s="135"/>
      <c r="K34" s="136"/>
      <c r="L34" s="135"/>
      <c r="M34" s="137"/>
      <c r="N34" s="144"/>
      <c r="O34" s="130"/>
      <c r="P34" s="159"/>
      <c r="Q34" s="307"/>
    </row>
    <row r="35" spans="1:18" s="72" customFormat="1" ht="25.5" x14ac:dyDescent="0.2">
      <c r="A35" s="63"/>
      <c r="B35" s="202" t="s">
        <v>256</v>
      </c>
      <c r="C35" s="64">
        <v>27</v>
      </c>
      <c r="D35" s="75" t="s">
        <v>151</v>
      </c>
      <c r="E35" s="134">
        <v>0.43</v>
      </c>
      <c r="F35" s="134">
        <f>C35*E35</f>
        <v>11.61</v>
      </c>
      <c r="G35" s="134">
        <f>$H$11*E35</f>
        <v>21.5</v>
      </c>
      <c r="H35" s="135">
        <f>F35*$H$11</f>
        <v>580.5</v>
      </c>
      <c r="I35" s="152">
        <v>19.52</v>
      </c>
      <c r="J35" s="135">
        <f>C35*I35</f>
        <v>527.04</v>
      </c>
      <c r="K35" s="136">
        <f>SUM(H35,J35)</f>
        <v>1107.54</v>
      </c>
      <c r="L35" s="135">
        <f>K35/C35</f>
        <v>41.019999999999996</v>
      </c>
      <c r="M35" s="137">
        <f>C35*L35</f>
        <v>1107.54</v>
      </c>
      <c r="N35" s="144">
        <v>0</v>
      </c>
      <c r="O35" s="130">
        <f>M35*N35</f>
        <v>0</v>
      </c>
      <c r="P35" s="159">
        <v>9</v>
      </c>
      <c r="Q35" s="307">
        <v>2.95</v>
      </c>
      <c r="R35" s="306">
        <f>(P35/0.4)*Q35</f>
        <v>66.375</v>
      </c>
    </row>
    <row r="36" spans="1:18" s="72" customFormat="1" ht="14.25" x14ac:dyDescent="0.2">
      <c r="A36" s="63"/>
      <c r="B36" s="316" t="s">
        <v>258</v>
      </c>
      <c r="C36" s="64">
        <v>9</v>
      </c>
      <c r="D36" s="75" t="s">
        <v>116</v>
      </c>
      <c r="E36" s="134">
        <v>0.25</v>
      </c>
      <c r="F36" s="134">
        <f>C36*E36</f>
        <v>2.25</v>
      </c>
      <c r="G36" s="134">
        <f>$H$11*E36</f>
        <v>12.5</v>
      </c>
      <c r="H36" s="135">
        <f>F36*$H$11</f>
        <v>112.5</v>
      </c>
      <c r="I36" s="152">
        <v>23.84</v>
      </c>
      <c r="J36" s="135">
        <f>C36*I36</f>
        <v>214.56</v>
      </c>
      <c r="K36" s="136">
        <f>SUM(H36,J36)</f>
        <v>327.06</v>
      </c>
      <c r="L36" s="135">
        <f>K36/C36</f>
        <v>36.340000000000003</v>
      </c>
      <c r="M36" s="137">
        <f>C36*L36</f>
        <v>327.06000000000006</v>
      </c>
      <c r="N36" s="144">
        <v>0</v>
      </c>
      <c r="O36" s="130">
        <f>M36*N36</f>
        <v>0</v>
      </c>
      <c r="P36" s="159"/>
      <c r="Q36" s="307"/>
    </row>
    <row r="37" spans="1:18" s="72" customFormat="1" ht="14.25" x14ac:dyDescent="0.2">
      <c r="A37" s="63"/>
      <c r="B37" s="143" t="s">
        <v>257</v>
      </c>
      <c r="C37" s="243">
        <v>9</v>
      </c>
      <c r="D37" s="75" t="s">
        <v>116</v>
      </c>
      <c r="E37" s="134">
        <v>0.15</v>
      </c>
      <c r="F37" s="134">
        <f>C37*E37</f>
        <v>1.3499999999999999</v>
      </c>
      <c r="G37" s="134">
        <f>$H$11*E37</f>
        <v>7.5</v>
      </c>
      <c r="H37" s="135">
        <f>F37*$H$11</f>
        <v>67.5</v>
      </c>
      <c r="I37" s="152">
        <v>3.5</v>
      </c>
      <c r="J37" s="135">
        <f>C37*I37</f>
        <v>31.5</v>
      </c>
      <c r="K37" s="136">
        <f>SUM(H37,J37)</f>
        <v>99</v>
      </c>
      <c r="L37" s="135">
        <f>K37/C37</f>
        <v>11</v>
      </c>
      <c r="M37" s="137">
        <f>C37*L37</f>
        <v>99</v>
      </c>
      <c r="N37" s="144">
        <v>0</v>
      </c>
      <c r="O37" s="130">
        <f>M37*N37</f>
        <v>0</v>
      </c>
      <c r="P37" s="159"/>
      <c r="Q37" s="307"/>
    </row>
    <row r="38" spans="1:18" s="72" customFormat="1" ht="14.25" x14ac:dyDescent="0.2">
      <c r="A38" s="63"/>
      <c r="B38" s="143" t="s">
        <v>29</v>
      </c>
      <c r="C38" s="64"/>
      <c r="D38" s="75"/>
      <c r="E38" s="134"/>
      <c r="F38" s="134"/>
      <c r="G38" s="134"/>
      <c r="H38" s="135"/>
      <c r="I38" s="152"/>
      <c r="J38" s="135"/>
      <c r="K38" s="136"/>
      <c r="L38" s="135"/>
      <c r="M38" s="137"/>
      <c r="N38" s="144"/>
      <c r="O38" s="130"/>
      <c r="P38" s="159"/>
      <c r="Q38" s="307"/>
    </row>
    <row r="39" spans="1:18" s="72" customFormat="1" ht="25.5" x14ac:dyDescent="0.2">
      <c r="A39" s="63"/>
      <c r="B39" s="242" t="s">
        <v>286</v>
      </c>
      <c r="C39" s="64">
        <v>84</v>
      </c>
      <c r="D39" s="75" t="s">
        <v>151</v>
      </c>
      <c r="E39" s="134">
        <v>0.42</v>
      </c>
      <c r="F39" s="134">
        <f>C39*E39</f>
        <v>35.28</v>
      </c>
      <c r="G39" s="134">
        <f>$H$11*E39</f>
        <v>21</v>
      </c>
      <c r="H39" s="135">
        <f>F39*$H$11</f>
        <v>1764</v>
      </c>
      <c r="I39" s="152">
        <v>19.079999999999998</v>
      </c>
      <c r="J39" s="135">
        <f>C39*I39</f>
        <v>1602.7199999999998</v>
      </c>
      <c r="K39" s="136">
        <f>SUM(H39,J39)</f>
        <v>3366.72</v>
      </c>
      <c r="L39" s="135">
        <f>K39/C39</f>
        <v>40.08</v>
      </c>
      <c r="M39" s="137">
        <f>C39*L39</f>
        <v>3366.72</v>
      </c>
      <c r="N39" s="144">
        <v>0</v>
      </c>
      <c r="O39" s="130">
        <f>M39*N39</f>
        <v>0</v>
      </c>
      <c r="P39" s="159">
        <v>29</v>
      </c>
      <c r="Q39" s="307">
        <v>2.95</v>
      </c>
      <c r="R39" s="306">
        <f>(P39/0.4)*Q39</f>
        <v>213.875</v>
      </c>
    </row>
    <row r="40" spans="1:18" s="72" customFormat="1" ht="14.25" x14ac:dyDescent="0.2">
      <c r="A40" s="63"/>
      <c r="B40" s="175"/>
      <c r="C40" s="64"/>
      <c r="D40" s="75"/>
      <c r="E40" s="134"/>
      <c r="F40" s="134"/>
      <c r="G40" s="134"/>
      <c r="H40" s="135"/>
      <c r="I40" s="152"/>
      <c r="J40" s="135"/>
      <c r="K40" s="136"/>
      <c r="L40" s="135"/>
      <c r="M40" s="137"/>
      <c r="N40" s="144"/>
      <c r="O40" s="130"/>
      <c r="P40" s="159"/>
      <c r="Q40" s="307"/>
    </row>
    <row r="41" spans="1:18" s="72" customFormat="1" ht="25.5" x14ac:dyDescent="0.2">
      <c r="A41" s="63"/>
      <c r="B41" s="175" t="s">
        <v>288</v>
      </c>
      <c r="C41" s="64">
        <v>12</v>
      </c>
      <c r="D41" s="75" t="s">
        <v>151</v>
      </c>
      <c r="E41" s="134">
        <v>0.45</v>
      </c>
      <c r="F41" s="134">
        <f>C41*E41</f>
        <v>5.4</v>
      </c>
      <c r="G41" s="134">
        <f>$H$11*E41</f>
        <v>22.5</v>
      </c>
      <c r="H41" s="135">
        <f>F41*$H$11</f>
        <v>270</v>
      </c>
      <c r="I41" s="152">
        <v>19.89</v>
      </c>
      <c r="J41" s="135">
        <f>C41*I41</f>
        <v>238.68</v>
      </c>
      <c r="K41" s="136">
        <f>SUM(H41,J41)</f>
        <v>508.68</v>
      </c>
      <c r="L41" s="135">
        <f>K41/C41</f>
        <v>42.39</v>
      </c>
      <c r="M41" s="137">
        <f>C41*L41</f>
        <v>508.68</v>
      </c>
      <c r="N41" s="144">
        <v>0</v>
      </c>
      <c r="O41" s="130">
        <f>M41*N41</f>
        <v>0</v>
      </c>
      <c r="P41" s="159">
        <v>4</v>
      </c>
      <c r="Q41" s="307">
        <v>2.95</v>
      </c>
      <c r="R41" s="306">
        <f>(P41/0.4)*Q41</f>
        <v>29.5</v>
      </c>
    </row>
    <row r="42" spans="1:18" s="72" customFormat="1" ht="14.25" x14ac:dyDescent="0.2">
      <c r="A42" s="63"/>
      <c r="B42" s="175"/>
      <c r="C42" s="64"/>
      <c r="D42" s="75"/>
      <c r="E42" s="134"/>
      <c r="F42" s="134"/>
      <c r="G42" s="134"/>
      <c r="H42" s="135"/>
      <c r="I42" s="152"/>
      <c r="J42" s="135"/>
      <c r="K42" s="136"/>
      <c r="L42" s="135"/>
      <c r="M42" s="137"/>
      <c r="N42" s="144"/>
      <c r="O42" s="130"/>
      <c r="P42" s="159"/>
      <c r="Q42" s="307"/>
    </row>
    <row r="43" spans="1:18" s="72" customFormat="1" ht="25.5" x14ac:dyDescent="0.2">
      <c r="A43" s="63"/>
      <c r="B43" s="175" t="s">
        <v>287</v>
      </c>
      <c r="C43" s="64">
        <v>12</v>
      </c>
      <c r="D43" s="75" t="s">
        <v>151</v>
      </c>
      <c r="E43" s="134">
        <v>0.45</v>
      </c>
      <c r="F43" s="134">
        <f>C43*E43</f>
        <v>5.4</v>
      </c>
      <c r="G43" s="134">
        <f>$H$11*E43</f>
        <v>22.5</v>
      </c>
      <c r="H43" s="135">
        <f>F43*$H$11</f>
        <v>270</v>
      </c>
      <c r="I43" s="152">
        <v>20.59</v>
      </c>
      <c r="J43" s="135">
        <f>C43*I43</f>
        <v>247.07999999999998</v>
      </c>
      <c r="K43" s="136">
        <f>SUM(H43,J43)</f>
        <v>517.07999999999993</v>
      </c>
      <c r="L43" s="135">
        <f>K43/C43</f>
        <v>43.089999999999996</v>
      </c>
      <c r="M43" s="137">
        <f>C43*L43</f>
        <v>517.07999999999993</v>
      </c>
      <c r="N43" s="144">
        <v>0</v>
      </c>
      <c r="O43" s="130">
        <f>M43*N43</f>
        <v>0</v>
      </c>
      <c r="P43" s="159">
        <v>4</v>
      </c>
      <c r="Q43" s="307">
        <v>2.9</v>
      </c>
      <c r="R43" s="306">
        <f>(P43/0.4)*Q43</f>
        <v>29</v>
      </c>
    </row>
    <row r="44" spans="1:18" s="72" customFormat="1" ht="14.25" x14ac:dyDescent="0.2">
      <c r="A44" s="63"/>
      <c r="B44" s="316" t="s">
        <v>259</v>
      </c>
      <c r="C44" s="195">
        <v>4</v>
      </c>
      <c r="D44" s="75" t="s">
        <v>116</v>
      </c>
      <c r="E44" s="134">
        <v>0.25</v>
      </c>
      <c r="F44" s="134">
        <f>C44*E44</f>
        <v>1</v>
      </c>
      <c r="G44" s="134">
        <f>$H$11*E44</f>
        <v>12.5</v>
      </c>
      <c r="H44" s="135">
        <f>F44*$H$11</f>
        <v>50</v>
      </c>
      <c r="I44" s="152">
        <v>23.84</v>
      </c>
      <c r="J44" s="135">
        <f>C44*I44</f>
        <v>95.36</v>
      </c>
      <c r="K44" s="136">
        <f>SUM(H44,J44)</f>
        <v>145.36000000000001</v>
      </c>
      <c r="L44" s="135">
        <f>K44/C44</f>
        <v>36.340000000000003</v>
      </c>
      <c r="M44" s="137">
        <f>C44*L44</f>
        <v>145.36000000000001</v>
      </c>
      <c r="N44" s="144">
        <v>0</v>
      </c>
      <c r="O44" s="130">
        <f>M44*N44</f>
        <v>0</v>
      </c>
      <c r="P44" s="159"/>
      <c r="Q44" s="307"/>
    </row>
    <row r="45" spans="1:18" s="72" customFormat="1" ht="14.25" x14ac:dyDescent="0.2">
      <c r="A45" s="63"/>
      <c r="B45" s="143" t="s">
        <v>257</v>
      </c>
      <c r="C45" s="607">
        <v>4</v>
      </c>
      <c r="D45" s="75" t="s">
        <v>116</v>
      </c>
      <c r="E45" s="134">
        <v>0.15</v>
      </c>
      <c r="F45" s="134">
        <f>C45*E45</f>
        <v>0.6</v>
      </c>
      <c r="G45" s="134">
        <f>$H$11*E45</f>
        <v>7.5</v>
      </c>
      <c r="H45" s="135">
        <f>F45*$H$11</f>
        <v>30</v>
      </c>
      <c r="I45" s="152">
        <v>3.5</v>
      </c>
      <c r="J45" s="135">
        <f>C45*I45</f>
        <v>14</v>
      </c>
      <c r="K45" s="136">
        <f>SUM(H45,J45)</f>
        <v>44</v>
      </c>
      <c r="L45" s="135">
        <f>K45/C45</f>
        <v>11</v>
      </c>
      <c r="M45" s="137">
        <f>C45*L45</f>
        <v>44</v>
      </c>
      <c r="N45" s="144">
        <v>0</v>
      </c>
      <c r="O45" s="130">
        <f>M45*N45</f>
        <v>0</v>
      </c>
      <c r="P45" s="159"/>
      <c r="Q45" s="307"/>
    </row>
    <row r="46" spans="1:18" s="72" customFormat="1" ht="14.25" x14ac:dyDescent="0.2">
      <c r="A46" s="63"/>
      <c r="B46" s="143"/>
      <c r="C46" s="195"/>
      <c r="D46" s="75"/>
      <c r="E46" s="134"/>
      <c r="F46" s="134"/>
      <c r="G46" s="134"/>
      <c r="H46" s="135"/>
      <c r="I46" s="152"/>
      <c r="J46" s="135"/>
      <c r="K46" s="136"/>
      <c r="L46" s="135"/>
      <c r="M46" s="137"/>
      <c r="N46" s="144"/>
      <c r="O46" s="130"/>
      <c r="P46" s="159"/>
      <c r="Q46" s="307"/>
    </row>
    <row r="47" spans="1:18" s="72" customFormat="1" ht="25.5" x14ac:dyDescent="0.2">
      <c r="A47" s="63"/>
      <c r="B47" s="175" t="s">
        <v>260</v>
      </c>
      <c r="C47" s="64">
        <v>74</v>
      </c>
      <c r="D47" s="75" t="s">
        <v>151</v>
      </c>
      <c r="E47" s="134">
        <v>0.43</v>
      </c>
      <c r="F47" s="134">
        <f>C47*E47</f>
        <v>31.82</v>
      </c>
      <c r="G47" s="134">
        <f>$H$11*E47</f>
        <v>21.5</v>
      </c>
      <c r="H47" s="135">
        <f>F47*$H$11</f>
        <v>1591</v>
      </c>
      <c r="I47" s="152">
        <v>19.38</v>
      </c>
      <c r="J47" s="135">
        <f>C47*I47</f>
        <v>1434.12</v>
      </c>
      <c r="K47" s="136">
        <f>SUM(H47,J47)</f>
        <v>3025.12</v>
      </c>
      <c r="L47" s="135">
        <f>K47/C47</f>
        <v>40.879999999999995</v>
      </c>
      <c r="M47" s="137">
        <f>C47*L47</f>
        <v>3025.12</v>
      </c>
      <c r="N47" s="144">
        <v>0</v>
      </c>
      <c r="O47" s="130">
        <f>M47*N47</f>
        <v>0</v>
      </c>
      <c r="P47" s="159">
        <v>25</v>
      </c>
      <c r="Q47" s="307">
        <v>2.9</v>
      </c>
      <c r="R47" s="306">
        <f>(P47/0.4)*Q47</f>
        <v>181.25</v>
      </c>
    </row>
    <row r="48" spans="1:18" s="72" customFormat="1" ht="14.25" x14ac:dyDescent="0.2">
      <c r="A48" s="63"/>
      <c r="B48" s="316" t="s">
        <v>259</v>
      </c>
      <c r="C48" s="64">
        <v>25</v>
      </c>
      <c r="D48" s="75" t="s">
        <v>116</v>
      </c>
      <c r="E48" s="134">
        <v>0.25</v>
      </c>
      <c r="F48" s="134">
        <f>C48*E48</f>
        <v>6.25</v>
      </c>
      <c r="G48" s="134">
        <f>$H$11*E48</f>
        <v>12.5</v>
      </c>
      <c r="H48" s="135">
        <f>F48*$H$11</f>
        <v>312.5</v>
      </c>
      <c r="I48" s="152">
        <v>23.84</v>
      </c>
      <c r="J48" s="135">
        <f>C48*I48</f>
        <v>596</v>
      </c>
      <c r="K48" s="136">
        <f>SUM(H48,J48)</f>
        <v>908.5</v>
      </c>
      <c r="L48" s="135">
        <f>K48/C48</f>
        <v>36.340000000000003</v>
      </c>
      <c r="M48" s="137">
        <f>C48*L48</f>
        <v>908.50000000000011</v>
      </c>
      <c r="N48" s="144">
        <v>0</v>
      </c>
      <c r="O48" s="130">
        <f>M48*N48</f>
        <v>0</v>
      </c>
      <c r="P48" s="159"/>
      <c r="Q48" s="307"/>
    </row>
    <row r="49" spans="1:18" s="72" customFormat="1" ht="14.25" x14ac:dyDescent="0.2">
      <c r="A49" s="63"/>
      <c r="B49" s="143" t="s">
        <v>257</v>
      </c>
      <c r="C49" s="243">
        <v>25</v>
      </c>
      <c r="D49" s="75" t="s">
        <v>116</v>
      </c>
      <c r="E49" s="134">
        <v>0.15</v>
      </c>
      <c r="F49" s="134">
        <f>C49*E49</f>
        <v>3.75</v>
      </c>
      <c r="G49" s="134">
        <f>$H$11*E49</f>
        <v>7.5</v>
      </c>
      <c r="H49" s="135">
        <f>F49*$H$11</f>
        <v>187.5</v>
      </c>
      <c r="I49" s="152">
        <v>3.5</v>
      </c>
      <c r="J49" s="135">
        <f>C49*I49</f>
        <v>87.5</v>
      </c>
      <c r="K49" s="136">
        <f>SUM(H49,J49)</f>
        <v>275</v>
      </c>
      <c r="L49" s="135">
        <f>K49/C49</f>
        <v>11</v>
      </c>
      <c r="M49" s="137">
        <f>C49*L49</f>
        <v>275</v>
      </c>
      <c r="N49" s="144">
        <v>0</v>
      </c>
      <c r="O49" s="130">
        <f>M49*N49</f>
        <v>0</v>
      </c>
      <c r="P49" s="159"/>
      <c r="Q49" s="307"/>
    </row>
    <row r="50" spans="1:18" s="72" customFormat="1" ht="14.25" x14ac:dyDescent="0.2">
      <c r="A50" s="63"/>
      <c r="B50" s="143"/>
      <c r="C50" s="64"/>
      <c r="D50" s="75"/>
      <c r="E50" s="134"/>
      <c r="F50" s="134"/>
      <c r="G50" s="134"/>
      <c r="H50" s="135"/>
      <c r="I50" s="152"/>
      <c r="J50" s="135"/>
      <c r="K50" s="136"/>
      <c r="L50" s="135"/>
      <c r="M50" s="137"/>
      <c r="N50" s="144"/>
      <c r="O50" s="130"/>
      <c r="P50" s="159"/>
      <c r="Q50" s="307"/>
    </row>
    <row r="51" spans="1:18" s="72" customFormat="1" ht="14.25" x14ac:dyDescent="0.2">
      <c r="A51" s="63"/>
      <c r="B51" s="143" t="s">
        <v>290</v>
      </c>
      <c r="C51" s="195">
        <v>11</v>
      </c>
      <c r="D51" s="75" t="s">
        <v>116</v>
      </c>
      <c r="E51" s="134">
        <f>WORKINGS_Partitions!G89</f>
        <v>1.0050000000000001</v>
      </c>
      <c r="F51" s="134">
        <f>C51*E51</f>
        <v>11.055000000000001</v>
      </c>
      <c r="G51" s="134">
        <f>$H$11*E51</f>
        <v>50.250000000000007</v>
      </c>
      <c r="H51" s="135">
        <f>F51*$H$11</f>
        <v>552.75000000000011</v>
      </c>
      <c r="I51" s="152">
        <f>'WORKINGS_Partitions SPEC Rates'!K89</f>
        <v>26.385191666666671</v>
      </c>
      <c r="J51" s="135">
        <f>C51*I51</f>
        <v>290.23710833333337</v>
      </c>
      <c r="K51" s="136">
        <f>SUM(H51,J51)</f>
        <v>842.98710833333348</v>
      </c>
      <c r="L51" s="135">
        <f>K51/C51</f>
        <v>76.635191666666685</v>
      </c>
      <c r="M51" s="137">
        <f>C51*L51</f>
        <v>842.98710833333348</v>
      </c>
      <c r="N51" s="144">
        <v>0</v>
      </c>
      <c r="O51" s="130">
        <f>M51*N51</f>
        <v>0</v>
      </c>
      <c r="P51" s="159"/>
      <c r="Q51" s="307"/>
    </row>
    <row r="52" spans="1:18" s="72" customFormat="1" ht="25.5" x14ac:dyDescent="0.2">
      <c r="A52" s="63"/>
      <c r="B52" s="175" t="s">
        <v>291</v>
      </c>
      <c r="C52" s="195">
        <v>31</v>
      </c>
      <c r="D52" s="75" t="s">
        <v>151</v>
      </c>
      <c r="E52" s="134">
        <v>0.44</v>
      </c>
      <c r="F52" s="134">
        <f>C52*E52</f>
        <v>13.64</v>
      </c>
      <c r="G52" s="134">
        <f>$H$11*E52</f>
        <v>22</v>
      </c>
      <c r="H52" s="135">
        <f>F52*$H$11</f>
        <v>682</v>
      </c>
      <c r="I52" s="152">
        <v>19.670000000000002</v>
      </c>
      <c r="J52" s="135">
        <f>C52*I52</f>
        <v>609.7700000000001</v>
      </c>
      <c r="K52" s="136">
        <f>SUM(H52,J52)</f>
        <v>1291.77</v>
      </c>
      <c r="L52" s="135">
        <f>K52/C52</f>
        <v>41.67</v>
      </c>
      <c r="M52" s="137">
        <f>C52*L52</f>
        <v>1291.77</v>
      </c>
      <c r="N52" s="144">
        <v>0</v>
      </c>
      <c r="O52" s="130">
        <f>M52*N52</f>
        <v>0</v>
      </c>
      <c r="P52" s="159">
        <v>11</v>
      </c>
      <c r="Q52" s="307">
        <v>2.9</v>
      </c>
      <c r="R52" s="306">
        <f>(P52/0.4)*Q52</f>
        <v>79.75</v>
      </c>
    </row>
    <row r="53" spans="1:18" s="72" customFormat="1" ht="14.25" x14ac:dyDescent="0.2">
      <c r="A53" s="63"/>
      <c r="B53" s="316" t="s">
        <v>259</v>
      </c>
      <c r="C53" s="64">
        <v>11</v>
      </c>
      <c r="D53" s="75" t="s">
        <v>116</v>
      </c>
      <c r="E53" s="134">
        <v>0.25</v>
      </c>
      <c r="F53" s="134">
        <f>C53*E53</f>
        <v>2.75</v>
      </c>
      <c r="G53" s="134">
        <f>$H$11*E53</f>
        <v>12.5</v>
      </c>
      <c r="H53" s="135">
        <f>F53*$H$11</f>
        <v>137.5</v>
      </c>
      <c r="I53" s="152">
        <v>23.84</v>
      </c>
      <c r="J53" s="135">
        <f>C53*I53</f>
        <v>262.24</v>
      </c>
      <c r="K53" s="136">
        <f>SUM(H53,J53)</f>
        <v>399.74</v>
      </c>
      <c r="L53" s="135">
        <f>K53/C53</f>
        <v>36.340000000000003</v>
      </c>
      <c r="M53" s="137">
        <f>C53*L53</f>
        <v>399.74</v>
      </c>
      <c r="N53" s="144">
        <v>0</v>
      </c>
      <c r="O53" s="130">
        <f>M53*N53</f>
        <v>0</v>
      </c>
      <c r="P53" s="159"/>
      <c r="Q53" s="177"/>
    </row>
    <row r="54" spans="1:18" s="72" customFormat="1" ht="14.25" x14ac:dyDescent="0.2">
      <c r="A54" s="63"/>
      <c r="B54" s="143" t="s">
        <v>257</v>
      </c>
      <c r="C54" s="243">
        <v>11</v>
      </c>
      <c r="D54" s="75" t="s">
        <v>116</v>
      </c>
      <c r="E54" s="134">
        <v>0.15</v>
      </c>
      <c r="F54" s="134">
        <f>C54*E54</f>
        <v>1.65</v>
      </c>
      <c r="G54" s="134">
        <f>$H$11*E54</f>
        <v>7.5</v>
      </c>
      <c r="H54" s="135">
        <f>F54*$H$11</f>
        <v>82.5</v>
      </c>
      <c r="I54" s="152">
        <v>3.5</v>
      </c>
      <c r="J54" s="135">
        <f>C54*I54</f>
        <v>38.5</v>
      </c>
      <c r="K54" s="136">
        <f>SUM(H54,J54)</f>
        <v>121</v>
      </c>
      <c r="L54" s="135">
        <f>K54/C54</f>
        <v>11</v>
      </c>
      <c r="M54" s="137">
        <f>C54*L54</f>
        <v>121</v>
      </c>
      <c r="N54" s="144">
        <v>0</v>
      </c>
      <c r="O54" s="130">
        <f>M54*N54</f>
        <v>0</v>
      </c>
      <c r="P54" s="159"/>
      <c r="Q54" s="177"/>
    </row>
    <row r="55" spans="1:18" s="72" customFormat="1" ht="14.25" x14ac:dyDescent="0.2">
      <c r="A55" s="63"/>
      <c r="B55" s="143"/>
      <c r="C55" s="64"/>
      <c r="D55" s="75"/>
      <c r="E55" s="134"/>
      <c r="F55" s="134"/>
      <c r="G55" s="134"/>
      <c r="H55" s="135"/>
      <c r="I55" s="152"/>
      <c r="J55" s="135"/>
      <c r="K55" s="136"/>
      <c r="L55" s="135"/>
      <c r="M55" s="137"/>
      <c r="N55" s="144"/>
      <c r="O55" s="130"/>
      <c r="P55" s="159"/>
      <c r="Q55" s="177"/>
    </row>
    <row r="56" spans="1:18" s="72" customFormat="1" ht="14.25" x14ac:dyDescent="0.2">
      <c r="A56" s="63"/>
      <c r="B56" s="316" t="s">
        <v>378</v>
      </c>
      <c r="C56" s="64">
        <v>43</v>
      </c>
      <c r="D56" s="75" t="s">
        <v>148</v>
      </c>
      <c r="E56" s="134">
        <v>0.75</v>
      </c>
      <c r="F56" s="134">
        <f>C56*E56</f>
        <v>32.25</v>
      </c>
      <c r="G56" s="134">
        <f>$H$11*E56</f>
        <v>37.5</v>
      </c>
      <c r="H56" s="135">
        <f>F56*$H$11</f>
        <v>1612.5</v>
      </c>
      <c r="I56" s="152">
        <v>82.5</v>
      </c>
      <c r="J56" s="135">
        <f>C56*I56</f>
        <v>3547.5</v>
      </c>
      <c r="K56" s="136">
        <f>SUM(H56,J56)</f>
        <v>5160</v>
      </c>
      <c r="L56" s="135">
        <f>K56/C56</f>
        <v>120</v>
      </c>
      <c r="M56" s="137">
        <f>C56*L56</f>
        <v>5160</v>
      </c>
      <c r="N56" s="144">
        <v>0</v>
      </c>
      <c r="O56" s="130">
        <f>M56*N56</f>
        <v>0</v>
      </c>
      <c r="P56" s="159"/>
      <c r="Q56" s="177"/>
    </row>
    <row r="57" spans="1:18" s="72" customFormat="1" ht="14.25" x14ac:dyDescent="0.2">
      <c r="A57" s="63"/>
      <c r="B57" s="316"/>
      <c r="C57" s="64"/>
      <c r="D57" s="75"/>
      <c r="E57" s="134"/>
      <c r="F57" s="134"/>
      <c r="G57" s="134"/>
      <c r="H57" s="135"/>
      <c r="I57" s="152"/>
      <c r="J57" s="135"/>
      <c r="K57" s="136"/>
      <c r="L57" s="135"/>
      <c r="M57" s="137"/>
      <c r="N57" s="144"/>
      <c r="O57" s="130"/>
      <c r="P57" s="159"/>
      <c r="Q57" s="177"/>
    </row>
    <row r="58" spans="1:18" s="72" customFormat="1" ht="14.25" x14ac:dyDescent="0.2">
      <c r="A58" s="63"/>
      <c r="B58" s="143" t="s">
        <v>379</v>
      </c>
      <c r="C58" s="192" t="s">
        <v>938</v>
      </c>
      <c r="D58" s="75"/>
      <c r="E58" s="134"/>
      <c r="F58" s="134"/>
      <c r="G58" s="134"/>
      <c r="H58" s="135"/>
      <c r="I58" s="152"/>
      <c r="J58" s="135"/>
      <c r="K58" s="136"/>
      <c r="L58" s="135"/>
      <c r="M58" s="137"/>
      <c r="N58" s="144"/>
      <c r="O58" s="130"/>
      <c r="P58" s="159"/>
      <c r="Q58" s="177"/>
    </row>
    <row r="59" spans="1:18" s="72" customFormat="1" ht="14.25" x14ac:dyDescent="0.2">
      <c r="A59" s="63"/>
      <c r="B59" s="143"/>
      <c r="C59" s="64"/>
      <c r="D59" s="75"/>
      <c r="E59" s="134"/>
      <c r="F59" s="134"/>
      <c r="G59" s="134"/>
      <c r="H59" s="135"/>
      <c r="I59" s="152"/>
      <c r="J59" s="135"/>
      <c r="K59" s="136"/>
      <c r="L59" s="135"/>
      <c r="M59" s="137"/>
      <c r="N59" s="144"/>
      <c r="O59" s="130"/>
      <c r="P59" s="159"/>
      <c r="Q59" s="177"/>
    </row>
    <row r="60" spans="1:18" s="72" customFormat="1" ht="14.25" x14ac:dyDescent="0.2">
      <c r="A60" s="63"/>
      <c r="B60" s="242" t="s">
        <v>297</v>
      </c>
      <c r="C60" s="64">
        <f>SUM(P28)</f>
        <v>9</v>
      </c>
      <c r="D60" s="75" t="s">
        <v>116</v>
      </c>
      <c r="E60" s="134">
        <v>0.25</v>
      </c>
      <c r="F60" s="134">
        <f>C60*E60</f>
        <v>2.25</v>
      </c>
      <c r="G60" s="134">
        <f>$H$11*E60</f>
        <v>12.5</v>
      </c>
      <c r="H60" s="135">
        <f>F60*$H$11</f>
        <v>112.5</v>
      </c>
      <c r="I60" s="152">
        <v>15</v>
      </c>
      <c r="J60" s="135">
        <f>C60*I60</f>
        <v>135</v>
      </c>
      <c r="K60" s="136">
        <f>SUM(H60,J60)</f>
        <v>247.5</v>
      </c>
      <c r="L60" s="135">
        <f>K60/C60</f>
        <v>27.5</v>
      </c>
      <c r="M60" s="137">
        <f>C60*L60</f>
        <v>247.5</v>
      </c>
      <c r="N60" s="144">
        <v>0</v>
      </c>
      <c r="O60" s="130">
        <f>M60*N60</f>
        <v>0</v>
      </c>
      <c r="P60" s="159"/>
      <c r="Q60" s="177"/>
    </row>
    <row r="61" spans="1:18" s="72" customFormat="1" ht="14.25" x14ac:dyDescent="0.2">
      <c r="A61" s="63"/>
      <c r="B61" s="316" t="s">
        <v>336</v>
      </c>
      <c r="C61" s="64">
        <v>492</v>
      </c>
      <c r="D61" s="75" t="s">
        <v>116</v>
      </c>
      <c r="E61" s="134">
        <v>0.09</v>
      </c>
      <c r="F61" s="134">
        <f>C61*E61</f>
        <v>44.28</v>
      </c>
      <c r="G61" s="134">
        <f>$H$11*E61</f>
        <v>4.5</v>
      </c>
      <c r="H61" s="135">
        <f>F61*$H$11</f>
        <v>2214</v>
      </c>
      <c r="I61" s="152">
        <v>5.61</v>
      </c>
      <c r="J61" s="135">
        <f>C61*I61</f>
        <v>2760.1200000000003</v>
      </c>
      <c r="K61" s="136">
        <f>SUM(H61,J61)</f>
        <v>4974.1200000000008</v>
      </c>
      <c r="L61" s="135">
        <f>K61/C61</f>
        <v>10.110000000000001</v>
      </c>
      <c r="M61" s="137">
        <f>C61*L61</f>
        <v>4974.1200000000008</v>
      </c>
      <c r="N61" s="144">
        <v>0</v>
      </c>
      <c r="O61" s="130">
        <f>M61*N61</f>
        <v>0</v>
      </c>
      <c r="P61" s="159"/>
      <c r="Q61" s="177"/>
    </row>
    <row r="62" spans="1:18" s="72" customFormat="1" ht="14.25" x14ac:dyDescent="0.2">
      <c r="A62" s="63"/>
      <c r="B62" s="242" t="s">
        <v>755</v>
      </c>
      <c r="C62" s="64">
        <v>7</v>
      </c>
      <c r="D62" s="75" t="s">
        <v>75</v>
      </c>
      <c r="E62" s="134">
        <v>1.5</v>
      </c>
      <c r="F62" s="134">
        <f>C62*E62</f>
        <v>10.5</v>
      </c>
      <c r="G62" s="134">
        <f>$H$11*E62</f>
        <v>75</v>
      </c>
      <c r="H62" s="135">
        <f>F62*$H$11</f>
        <v>525</v>
      </c>
      <c r="I62" s="152">
        <v>139</v>
      </c>
      <c r="J62" s="135">
        <f>C62*I62</f>
        <v>973</v>
      </c>
      <c r="K62" s="136">
        <f>SUM(H62,J62)</f>
        <v>1498</v>
      </c>
      <c r="L62" s="135">
        <f>K62/C62</f>
        <v>214</v>
      </c>
      <c r="M62" s="137">
        <f>C62*L62</f>
        <v>1498</v>
      </c>
      <c r="N62" s="144">
        <v>0</v>
      </c>
      <c r="O62" s="130">
        <f>M62*N62</f>
        <v>0</v>
      </c>
      <c r="P62" s="159"/>
      <c r="Q62" s="159"/>
    </row>
    <row r="63" spans="1:18" s="72" customFormat="1" ht="14.25" x14ac:dyDescent="0.2">
      <c r="A63" s="63"/>
      <c r="B63" s="242" t="s">
        <v>756</v>
      </c>
      <c r="C63" s="64">
        <v>6</v>
      </c>
      <c r="D63" s="75" t="s">
        <v>75</v>
      </c>
      <c r="E63" s="134">
        <v>1</v>
      </c>
      <c r="F63" s="134">
        <f>C63*E63</f>
        <v>6</v>
      </c>
      <c r="G63" s="134">
        <f>$H$11*E63</f>
        <v>50</v>
      </c>
      <c r="H63" s="135">
        <f>F63*$H$11</f>
        <v>300</v>
      </c>
      <c r="I63" s="152">
        <v>70</v>
      </c>
      <c r="J63" s="135">
        <f>C63*I63</f>
        <v>420</v>
      </c>
      <c r="K63" s="136">
        <f>SUM(H63,J63)</f>
        <v>720</v>
      </c>
      <c r="L63" s="135">
        <f>K63/C63</f>
        <v>120</v>
      </c>
      <c r="M63" s="137">
        <f>C63*L63</f>
        <v>720</v>
      </c>
      <c r="N63" s="144">
        <v>0</v>
      </c>
      <c r="O63" s="130">
        <f>M63*N63</f>
        <v>0</v>
      </c>
      <c r="P63" s="159"/>
      <c r="Q63" s="159"/>
    </row>
    <row r="64" spans="1:18" s="72" customFormat="1" ht="14.25" x14ac:dyDescent="0.2">
      <c r="A64" s="63"/>
      <c r="B64" s="242" t="s">
        <v>937</v>
      </c>
      <c r="C64" s="64">
        <v>136</v>
      </c>
      <c r="D64" s="75" t="s">
        <v>116</v>
      </c>
      <c r="E64" s="134">
        <v>0.1</v>
      </c>
      <c r="F64" s="134">
        <f>C64*E64</f>
        <v>13.600000000000001</v>
      </c>
      <c r="G64" s="134">
        <f>$H$11*E64</f>
        <v>5</v>
      </c>
      <c r="H64" s="135">
        <f>F64*$H$11</f>
        <v>680.00000000000011</v>
      </c>
      <c r="I64" s="152">
        <v>10.1</v>
      </c>
      <c r="J64" s="135">
        <f>C64*I64</f>
        <v>1373.6</v>
      </c>
      <c r="K64" s="136">
        <f>SUM(H64,J64)</f>
        <v>2053.6</v>
      </c>
      <c r="L64" s="135">
        <f>K64/C64</f>
        <v>15.1</v>
      </c>
      <c r="M64" s="137">
        <f>C64*L64</f>
        <v>2053.6</v>
      </c>
      <c r="N64" s="144">
        <v>0</v>
      </c>
      <c r="O64" s="130">
        <f>M64*N64</f>
        <v>0</v>
      </c>
      <c r="P64" s="159"/>
      <c r="Q64" s="159"/>
    </row>
    <row r="65" spans="1:20" s="72" customFormat="1" ht="14.25" x14ac:dyDescent="0.2">
      <c r="A65" s="63"/>
      <c r="B65" s="242"/>
      <c r="C65" s="64"/>
      <c r="D65" s="75"/>
      <c r="E65" s="134"/>
      <c r="F65" s="134"/>
      <c r="G65" s="134"/>
      <c r="H65" s="135"/>
      <c r="I65" s="152"/>
      <c r="J65" s="135"/>
      <c r="K65" s="136"/>
      <c r="L65" s="135"/>
      <c r="M65" s="137"/>
      <c r="N65" s="144"/>
      <c r="O65" s="130"/>
      <c r="P65" s="159"/>
      <c r="Q65" s="159"/>
    </row>
    <row r="66" spans="1:20" s="72" customFormat="1" ht="14.25" x14ac:dyDescent="0.2">
      <c r="A66" s="63"/>
      <c r="B66" s="143" t="s">
        <v>954</v>
      </c>
      <c r="C66" s="64">
        <v>13</v>
      </c>
      <c r="D66" s="75" t="s">
        <v>148</v>
      </c>
      <c r="E66" s="134">
        <v>2.5</v>
      </c>
      <c r="F66" s="134">
        <f>C66*E66</f>
        <v>32.5</v>
      </c>
      <c r="G66" s="134">
        <f>$H$11*E66</f>
        <v>125</v>
      </c>
      <c r="H66" s="135">
        <f>F66*$H$11</f>
        <v>1625</v>
      </c>
      <c r="I66" s="152">
        <v>175</v>
      </c>
      <c r="J66" s="135">
        <f>C66*I66</f>
        <v>2275</v>
      </c>
      <c r="K66" s="136">
        <f>SUM(H66,J66)</f>
        <v>3900</v>
      </c>
      <c r="L66" s="135">
        <f>K66/C66</f>
        <v>300</v>
      </c>
      <c r="M66" s="137">
        <f>C66*L66</f>
        <v>3900</v>
      </c>
      <c r="N66" s="144">
        <v>0</v>
      </c>
      <c r="O66" s="130">
        <f>M66*N66</f>
        <v>0</v>
      </c>
      <c r="P66" s="159"/>
      <c r="Q66" s="159"/>
      <c r="T66" s="306"/>
    </row>
    <row r="67" spans="1:20" s="72" customFormat="1" ht="14.25" x14ac:dyDescent="0.2">
      <c r="A67" s="63"/>
      <c r="B67" s="175"/>
      <c r="C67" s="64"/>
      <c r="D67" s="75"/>
      <c r="E67" s="134"/>
      <c r="F67" s="134"/>
      <c r="G67" s="134"/>
      <c r="H67" s="135"/>
      <c r="I67" s="152"/>
      <c r="J67" s="135"/>
      <c r="K67" s="136"/>
      <c r="L67" s="135"/>
      <c r="M67" s="137"/>
      <c r="N67" s="144"/>
      <c r="O67" s="130"/>
      <c r="P67" s="159"/>
      <c r="Q67" s="159"/>
    </row>
    <row r="68" spans="1:20" s="72" customFormat="1" ht="14.25" x14ac:dyDescent="0.2">
      <c r="A68" s="63"/>
      <c r="B68" s="143"/>
      <c r="C68" s="64"/>
      <c r="D68" s="75"/>
      <c r="E68" s="134"/>
      <c r="F68" s="134"/>
      <c r="G68" s="134"/>
      <c r="H68" s="135"/>
      <c r="I68" s="152"/>
      <c r="J68" s="135"/>
      <c r="K68" s="136"/>
      <c r="L68" s="135"/>
      <c r="M68" s="137"/>
      <c r="N68" s="144"/>
      <c r="O68" s="130"/>
      <c r="P68" s="159"/>
      <c r="Q68" s="159"/>
    </row>
    <row r="69" spans="1:20" s="72" customFormat="1" ht="15" x14ac:dyDescent="0.2">
      <c r="A69" s="63"/>
      <c r="B69" s="176" t="s">
        <v>59</v>
      </c>
      <c r="C69" s="64"/>
      <c r="D69" s="75"/>
      <c r="E69" s="128"/>
      <c r="F69" s="129"/>
      <c r="G69" s="129"/>
      <c r="H69" s="129"/>
      <c r="I69" s="153"/>
      <c r="J69" s="128"/>
      <c r="K69" s="128"/>
      <c r="L69" s="128"/>
      <c r="M69" s="120"/>
      <c r="N69" s="126"/>
      <c r="O69" s="127"/>
      <c r="P69" s="159"/>
      <c r="Q69" s="159"/>
    </row>
    <row r="70" spans="1:20" s="72" customFormat="1" ht="15" x14ac:dyDescent="0.2">
      <c r="A70" s="63"/>
      <c r="B70" s="176"/>
      <c r="C70" s="64"/>
      <c r="D70" s="75"/>
      <c r="E70" s="128"/>
      <c r="F70" s="129"/>
      <c r="G70" s="129"/>
      <c r="H70" s="129"/>
      <c r="I70" s="153"/>
      <c r="J70" s="128"/>
      <c r="K70" s="128"/>
      <c r="L70" s="128"/>
      <c r="M70" s="120"/>
      <c r="N70" s="126"/>
      <c r="O70" s="127"/>
      <c r="P70" s="159"/>
      <c r="Q70" s="159"/>
    </row>
    <row r="71" spans="1:20" s="72" customFormat="1" ht="14.25" x14ac:dyDescent="0.2">
      <c r="A71" s="63"/>
      <c r="B71" s="143" t="s">
        <v>299</v>
      </c>
      <c r="C71" s="192" t="s">
        <v>262</v>
      </c>
      <c r="D71" s="75"/>
      <c r="E71" s="128"/>
      <c r="F71" s="129"/>
      <c r="G71" s="129"/>
      <c r="H71" s="129"/>
      <c r="I71" s="153"/>
      <c r="J71" s="128"/>
      <c r="K71" s="128"/>
      <c r="L71" s="128"/>
      <c r="M71" s="120"/>
      <c r="N71" s="126"/>
      <c r="O71" s="127"/>
      <c r="P71" s="159"/>
      <c r="Q71" s="159"/>
    </row>
    <row r="72" spans="1:20" s="72" customFormat="1" ht="14.25" x14ac:dyDescent="0.2">
      <c r="A72" s="63"/>
      <c r="B72" s="143" t="s">
        <v>300</v>
      </c>
      <c r="C72" s="195">
        <v>14</v>
      </c>
      <c r="D72" s="75" t="s">
        <v>116</v>
      </c>
      <c r="E72" s="134">
        <f>'WORKINGS_Partitions SPEC Rates'!G41</f>
        <v>1.9770000000000001</v>
      </c>
      <c r="F72" s="134">
        <f>C72*E72</f>
        <v>27.678000000000001</v>
      </c>
      <c r="G72" s="134">
        <f>$H$11*E72</f>
        <v>98.850000000000009</v>
      </c>
      <c r="H72" s="135">
        <f>F72*$H$11</f>
        <v>1383.9</v>
      </c>
      <c r="I72" s="152">
        <f>'WORKINGS_Partitions SPEC Rates'!K41</f>
        <v>68.917518333333334</v>
      </c>
      <c r="J72" s="135">
        <f>C72*I72</f>
        <v>964.84525666666673</v>
      </c>
      <c r="K72" s="136">
        <f>SUM(H72,J72)</f>
        <v>2348.745256666667</v>
      </c>
      <c r="L72" s="135">
        <f>K72/C72</f>
        <v>167.76751833333336</v>
      </c>
      <c r="M72" s="137">
        <f>C72*L72</f>
        <v>2348.745256666667</v>
      </c>
      <c r="N72" s="144">
        <v>0</v>
      </c>
      <c r="O72" s="130">
        <f>M72*N72</f>
        <v>0</v>
      </c>
      <c r="P72" s="159"/>
      <c r="Q72" s="159"/>
    </row>
    <row r="73" spans="1:20" s="72" customFormat="1" ht="14.25" x14ac:dyDescent="0.2">
      <c r="A73" s="63"/>
      <c r="B73" s="143" t="s">
        <v>257</v>
      </c>
      <c r="C73" s="607">
        <v>14</v>
      </c>
      <c r="D73" s="75" t="s">
        <v>116</v>
      </c>
      <c r="E73" s="134">
        <v>0.15</v>
      </c>
      <c r="F73" s="134">
        <f>C73*E73</f>
        <v>2.1</v>
      </c>
      <c r="G73" s="134">
        <f>$H$11*E73</f>
        <v>7.5</v>
      </c>
      <c r="H73" s="135">
        <f>F73*$H$11</f>
        <v>105</v>
      </c>
      <c r="I73" s="152">
        <v>3.5</v>
      </c>
      <c r="J73" s="135">
        <f>C73*I73</f>
        <v>49</v>
      </c>
      <c r="K73" s="136">
        <f>SUM(H73,J73)</f>
        <v>154</v>
      </c>
      <c r="L73" s="135">
        <f>K73/C73</f>
        <v>11</v>
      </c>
      <c r="M73" s="137">
        <f>C73*L73</f>
        <v>154</v>
      </c>
      <c r="N73" s="144">
        <v>0</v>
      </c>
      <c r="O73" s="130">
        <f>M73*N73</f>
        <v>0</v>
      </c>
      <c r="P73" s="159"/>
      <c r="Q73" s="159"/>
    </row>
    <row r="74" spans="1:20" s="72" customFormat="1" ht="14.25" x14ac:dyDescent="0.2">
      <c r="A74" s="63"/>
      <c r="B74" s="143"/>
      <c r="C74" s="607"/>
      <c r="D74" s="75"/>
      <c r="E74" s="134"/>
      <c r="F74" s="134"/>
      <c r="G74" s="134"/>
      <c r="H74" s="135"/>
      <c r="I74" s="152"/>
      <c r="J74" s="135"/>
      <c r="K74" s="136"/>
      <c r="L74" s="135"/>
      <c r="M74" s="137"/>
      <c r="N74" s="144"/>
      <c r="O74" s="130"/>
      <c r="P74" s="159"/>
      <c r="Q74" s="159"/>
    </row>
    <row r="75" spans="1:20" s="72" customFormat="1" ht="14.25" x14ac:dyDescent="0.2">
      <c r="A75" s="63"/>
      <c r="B75" s="143" t="s">
        <v>261</v>
      </c>
      <c r="C75" s="192" t="s">
        <v>262</v>
      </c>
      <c r="D75" s="75"/>
      <c r="E75" s="134"/>
      <c r="F75" s="134"/>
      <c r="G75" s="134"/>
      <c r="H75" s="135"/>
      <c r="I75" s="152"/>
      <c r="J75" s="135"/>
      <c r="K75" s="136"/>
      <c r="L75" s="135"/>
      <c r="M75" s="137"/>
      <c r="N75" s="144"/>
      <c r="O75" s="130"/>
      <c r="P75" s="159"/>
      <c r="Q75" s="159"/>
    </row>
    <row r="76" spans="1:20" s="72" customFormat="1" ht="14.25" x14ac:dyDescent="0.2">
      <c r="A76" s="63"/>
      <c r="B76" s="143" t="s">
        <v>285</v>
      </c>
      <c r="C76" s="195">
        <v>11</v>
      </c>
      <c r="D76" s="75" t="s">
        <v>116</v>
      </c>
      <c r="E76" s="134">
        <f>'WORKINGS_Partitions SPEC Rates'!G41</f>
        <v>1.9770000000000001</v>
      </c>
      <c r="F76" s="134">
        <f>C76*E76</f>
        <v>21.747</v>
      </c>
      <c r="G76" s="134">
        <f>$H$11*E76</f>
        <v>98.850000000000009</v>
      </c>
      <c r="H76" s="135">
        <f>F76*$H$11</f>
        <v>1087.3499999999999</v>
      </c>
      <c r="I76" s="152">
        <f>'WORKINGS_Partitions SPEC Rates'!K41</f>
        <v>68.917518333333334</v>
      </c>
      <c r="J76" s="135">
        <f>C76*I76</f>
        <v>758.0927016666667</v>
      </c>
      <c r="K76" s="136">
        <f>SUM(H76,J76)</f>
        <v>1845.4427016666666</v>
      </c>
      <c r="L76" s="135">
        <f>K76/C76</f>
        <v>167.76751833333333</v>
      </c>
      <c r="M76" s="137">
        <f>C76*L76</f>
        <v>1845.4427016666666</v>
      </c>
      <c r="N76" s="144">
        <v>0</v>
      </c>
      <c r="O76" s="130">
        <f>M76*N76</f>
        <v>0</v>
      </c>
      <c r="P76" s="159"/>
      <c r="Q76" s="159"/>
    </row>
    <row r="77" spans="1:20" s="72" customFormat="1" ht="14.25" x14ac:dyDescent="0.2">
      <c r="A77" s="63"/>
      <c r="B77" s="143" t="s">
        <v>263</v>
      </c>
      <c r="C77" s="192" t="s">
        <v>447</v>
      </c>
      <c r="D77" s="75"/>
      <c r="E77" s="134"/>
      <c r="F77" s="134"/>
      <c r="G77" s="134"/>
      <c r="H77" s="135"/>
      <c r="I77" s="152"/>
      <c r="J77" s="135"/>
      <c r="K77" s="136"/>
      <c r="L77" s="135"/>
      <c r="M77" s="137"/>
      <c r="N77" s="144"/>
      <c r="O77" s="130"/>
      <c r="P77" s="159"/>
      <c r="Q77" s="159"/>
    </row>
    <row r="78" spans="1:20" s="72" customFormat="1" ht="14.25" x14ac:dyDescent="0.2">
      <c r="A78" s="63"/>
      <c r="B78" s="143" t="s">
        <v>257</v>
      </c>
      <c r="C78" s="607">
        <v>11</v>
      </c>
      <c r="D78" s="75" t="s">
        <v>116</v>
      </c>
      <c r="E78" s="134">
        <v>0.15</v>
      </c>
      <c r="F78" s="134">
        <f>C78*E78</f>
        <v>1.65</v>
      </c>
      <c r="G78" s="134">
        <f>$H$11*E78</f>
        <v>7.5</v>
      </c>
      <c r="H78" s="135">
        <f>F78*$H$11</f>
        <v>82.5</v>
      </c>
      <c r="I78" s="152">
        <v>3.5</v>
      </c>
      <c r="J78" s="135">
        <f>C78*I78</f>
        <v>38.5</v>
      </c>
      <c r="K78" s="136">
        <f>SUM(H78,J78)</f>
        <v>121</v>
      </c>
      <c r="L78" s="135">
        <f>K78/C78</f>
        <v>11</v>
      </c>
      <c r="M78" s="137">
        <f>C78*L78</f>
        <v>121</v>
      </c>
      <c r="N78" s="144">
        <v>0</v>
      </c>
      <c r="O78" s="130">
        <f>M78*N78</f>
        <v>0</v>
      </c>
      <c r="P78" s="159"/>
      <c r="Q78" s="159"/>
    </row>
    <row r="79" spans="1:20" s="72" customFormat="1" ht="14.25" x14ac:dyDescent="0.2">
      <c r="A79" s="63"/>
      <c r="B79" s="143"/>
      <c r="C79" s="195"/>
      <c r="D79" s="75"/>
      <c r="E79" s="134"/>
      <c r="F79" s="134"/>
      <c r="G79" s="134"/>
      <c r="H79" s="135"/>
      <c r="I79" s="152"/>
      <c r="J79" s="135"/>
      <c r="K79" s="136"/>
      <c r="L79" s="135"/>
      <c r="M79" s="137"/>
      <c r="N79" s="144"/>
      <c r="O79" s="130"/>
      <c r="P79" s="159"/>
      <c r="Q79" s="159"/>
    </row>
    <row r="80" spans="1:20" s="72" customFormat="1" ht="25.5" x14ac:dyDescent="0.2">
      <c r="A80" s="63"/>
      <c r="B80" s="175" t="s">
        <v>327</v>
      </c>
      <c r="C80" s="195">
        <v>114</v>
      </c>
      <c r="D80" s="75" t="s">
        <v>151</v>
      </c>
      <c r="E80" s="134">
        <v>0.4</v>
      </c>
      <c r="F80" s="134">
        <f>C80*E80</f>
        <v>45.6</v>
      </c>
      <c r="G80" s="134">
        <f>$H$11*E80</f>
        <v>20</v>
      </c>
      <c r="H80" s="135">
        <f>F80*$H$11</f>
        <v>2280</v>
      </c>
      <c r="I80" s="152">
        <v>17.329999999999998</v>
      </c>
      <c r="J80" s="135">
        <f>C80*I80</f>
        <v>1975.62</v>
      </c>
      <c r="K80" s="136">
        <f>SUM(H80,J80)</f>
        <v>4255.62</v>
      </c>
      <c r="L80" s="135">
        <f>K80/C80</f>
        <v>37.33</v>
      </c>
      <c r="M80" s="137">
        <f>C80*L80</f>
        <v>4255.62</v>
      </c>
      <c r="N80" s="144">
        <v>0</v>
      </c>
      <c r="O80" s="130">
        <f>M80*N80</f>
        <v>0</v>
      </c>
      <c r="P80" s="159">
        <v>29</v>
      </c>
      <c r="Q80" s="307">
        <v>3.9</v>
      </c>
      <c r="R80" s="306">
        <f>(P80/0.4)*Q80</f>
        <v>282.75</v>
      </c>
    </row>
    <row r="81" spans="1:18" s="72" customFormat="1" ht="14.25" x14ac:dyDescent="0.2">
      <c r="A81" s="63"/>
      <c r="B81" s="143"/>
      <c r="C81" s="195"/>
      <c r="D81" s="75"/>
      <c r="E81" s="134"/>
      <c r="F81" s="134"/>
      <c r="G81" s="134"/>
      <c r="H81" s="135"/>
      <c r="I81" s="152"/>
      <c r="J81" s="135"/>
      <c r="K81" s="136"/>
      <c r="L81" s="135"/>
      <c r="M81" s="137"/>
      <c r="N81" s="144"/>
      <c r="O81" s="130"/>
      <c r="P81" s="159"/>
      <c r="Q81" s="159"/>
    </row>
    <row r="82" spans="1:18" s="72" customFormat="1" ht="14.25" x14ac:dyDescent="0.2">
      <c r="A82" s="63"/>
      <c r="B82" s="143" t="s">
        <v>294</v>
      </c>
      <c r="C82" s="195">
        <v>18</v>
      </c>
      <c r="D82" s="75" t="s">
        <v>116</v>
      </c>
      <c r="E82" s="134">
        <f>'WORKINGS_Partitions SPEC Rates'!G76</f>
        <v>0.72041666666666659</v>
      </c>
      <c r="F82" s="134">
        <f>C82*E82</f>
        <v>12.967499999999999</v>
      </c>
      <c r="G82" s="134">
        <f>$H$11*E82</f>
        <v>36.020833333333329</v>
      </c>
      <c r="H82" s="135">
        <f>F82*$H$11</f>
        <v>648.375</v>
      </c>
      <c r="I82" s="152">
        <f>'WORKINGS_Partitions SPEC Rates'!K76</f>
        <v>23.380602083333336</v>
      </c>
      <c r="J82" s="135">
        <f>C82*I82</f>
        <v>420.85083750000007</v>
      </c>
      <c r="K82" s="136">
        <f>SUM(H82,J82)</f>
        <v>1069.2258375000001</v>
      </c>
      <c r="L82" s="135">
        <f>K82/C82</f>
        <v>59.401435416666672</v>
      </c>
      <c r="M82" s="137">
        <f>C82*L82</f>
        <v>1069.2258375000001</v>
      </c>
      <c r="N82" s="144">
        <v>0</v>
      </c>
      <c r="O82" s="130">
        <f>M82*N82</f>
        <v>0</v>
      </c>
      <c r="P82" s="159"/>
      <c r="Q82" s="159"/>
    </row>
    <row r="83" spans="1:18" s="72" customFormat="1" ht="25.5" x14ac:dyDescent="0.2">
      <c r="A83" s="63"/>
      <c r="B83" s="175" t="s">
        <v>295</v>
      </c>
      <c r="C83" s="195">
        <v>72</v>
      </c>
      <c r="D83" s="75" t="s">
        <v>151</v>
      </c>
      <c r="E83" s="134">
        <v>0.4</v>
      </c>
      <c r="F83" s="134">
        <f>C83*E83</f>
        <v>28.8</v>
      </c>
      <c r="G83" s="134">
        <f>$H$11*E83</f>
        <v>20</v>
      </c>
      <c r="H83" s="135">
        <f>F83*$H$11</f>
        <v>1440</v>
      </c>
      <c r="I83" s="152">
        <v>17.440000000000001</v>
      </c>
      <c r="J83" s="135">
        <f>C83*I83</f>
        <v>1255.68</v>
      </c>
      <c r="K83" s="136">
        <f>SUM(H83,J83)</f>
        <v>2695.6800000000003</v>
      </c>
      <c r="L83" s="135">
        <f>K83/C83</f>
        <v>37.440000000000005</v>
      </c>
      <c r="M83" s="137">
        <f>C83*L83</f>
        <v>2695.6800000000003</v>
      </c>
      <c r="N83" s="144">
        <v>0</v>
      </c>
      <c r="O83" s="130">
        <f>M83*N83</f>
        <v>0</v>
      </c>
      <c r="P83" s="159">
        <v>18</v>
      </c>
      <c r="Q83" s="159">
        <v>3.9</v>
      </c>
      <c r="R83" s="306">
        <f>(P83/0.4)*Q83</f>
        <v>175.5</v>
      </c>
    </row>
    <row r="84" spans="1:18" s="72" customFormat="1" ht="14.25" x14ac:dyDescent="0.2">
      <c r="A84" s="63"/>
      <c r="B84" s="175"/>
      <c r="C84" s="195"/>
      <c r="D84" s="75"/>
      <c r="E84" s="134"/>
      <c r="F84" s="134"/>
      <c r="G84" s="134"/>
      <c r="H84" s="135"/>
      <c r="I84" s="152"/>
      <c r="J84" s="135"/>
      <c r="K84" s="136"/>
      <c r="L84" s="135"/>
      <c r="M84" s="137"/>
      <c r="N84" s="144"/>
      <c r="O84" s="130"/>
      <c r="P84" s="159"/>
      <c r="Q84" s="159"/>
      <c r="R84" s="306"/>
    </row>
    <row r="85" spans="1:18" s="72" customFormat="1" ht="25.5" x14ac:dyDescent="0.2">
      <c r="A85" s="63"/>
      <c r="B85" s="175" t="s">
        <v>254</v>
      </c>
      <c r="C85" s="64">
        <v>84</v>
      </c>
      <c r="D85" s="75" t="s">
        <v>151</v>
      </c>
      <c r="E85" s="134">
        <v>0.43</v>
      </c>
      <c r="F85" s="134">
        <f>C85*E85</f>
        <v>36.119999999999997</v>
      </c>
      <c r="G85" s="134">
        <f>$H$11*E85</f>
        <v>21.5</v>
      </c>
      <c r="H85" s="135">
        <f>F85*$H$11</f>
        <v>1805.9999999999998</v>
      </c>
      <c r="I85" s="152">
        <v>24.68</v>
      </c>
      <c r="J85" s="135">
        <f>C85*I85</f>
        <v>2073.12</v>
      </c>
      <c r="K85" s="136">
        <f>SUM(H85,J85)</f>
        <v>3879.12</v>
      </c>
      <c r="L85" s="135">
        <f>K85/C85</f>
        <v>46.18</v>
      </c>
      <c r="M85" s="137">
        <f>C85*L85</f>
        <v>3879.12</v>
      </c>
      <c r="N85" s="144">
        <v>0</v>
      </c>
      <c r="O85" s="130">
        <f>M85*N85</f>
        <v>0</v>
      </c>
      <c r="P85" s="159">
        <v>29</v>
      </c>
      <c r="Q85" s="159">
        <v>2.95</v>
      </c>
      <c r="R85" s="306">
        <f>(P85/0.4)*Q85</f>
        <v>213.875</v>
      </c>
    </row>
    <row r="86" spans="1:18" s="72" customFormat="1" ht="14.25" x14ac:dyDescent="0.2">
      <c r="A86" s="63"/>
      <c r="B86" s="175"/>
      <c r="C86" s="64"/>
      <c r="D86" s="75"/>
      <c r="E86" s="134"/>
      <c r="F86" s="134"/>
      <c r="G86" s="134"/>
      <c r="H86" s="135"/>
      <c r="I86" s="152"/>
      <c r="J86" s="135"/>
      <c r="K86" s="136"/>
      <c r="L86" s="135"/>
      <c r="M86" s="137"/>
      <c r="N86" s="144"/>
      <c r="O86" s="130"/>
      <c r="P86" s="159"/>
      <c r="Q86" s="159"/>
    </row>
    <row r="87" spans="1:18" s="72" customFormat="1" ht="25.5" x14ac:dyDescent="0.2">
      <c r="A87" s="63"/>
      <c r="B87" s="202" t="s">
        <v>256</v>
      </c>
      <c r="C87" s="64">
        <v>16</v>
      </c>
      <c r="D87" s="75" t="s">
        <v>151</v>
      </c>
      <c r="E87" s="134">
        <v>0.45</v>
      </c>
      <c r="F87" s="134">
        <f>C87*E87</f>
        <v>7.2</v>
      </c>
      <c r="G87" s="134">
        <f>$H$11*E87</f>
        <v>22.5</v>
      </c>
      <c r="H87" s="135">
        <f>F87*$H$11</f>
        <v>360</v>
      </c>
      <c r="I87" s="152">
        <v>25.99</v>
      </c>
      <c r="J87" s="135">
        <f>C87*I87</f>
        <v>415.84</v>
      </c>
      <c r="K87" s="136">
        <f>SUM(H87,J87)</f>
        <v>775.83999999999992</v>
      </c>
      <c r="L87" s="135">
        <f>K87/C87</f>
        <v>48.489999999999995</v>
      </c>
      <c r="M87" s="137">
        <f>C87*L87</f>
        <v>775.83999999999992</v>
      </c>
      <c r="N87" s="144">
        <v>0</v>
      </c>
      <c r="O87" s="130">
        <f>M87*N87</f>
        <v>0</v>
      </c>
      <c r="P87" s="159">
        <v>5</v>
      </c>
      <c r="Q87" s="159">
        <v>2.9</v>
      </c>
      <c r="R87" s="306">
        <f>(P87/0.4)*Q87</f>
        <v>36.25</v>
      </c>
    </row>
    <row r="88" spans="1:18" s="72" customFormat="1" ht="14.25" x14ac:dyDescent="0.2">
      <c r="A88" s="63"/>
      <c r="B88" s="143" t="s">
        <v>258</v>
      </c>
      <c r="C88" s="64">
        <v>5</v>
      </c>
      <c r="D88" s="75" t="s">
        <v>116</v>
      </c>
      <c r="E88" s="134">
        <v>0.25</v>
      </c>
      <c r="F88" s="134">
        <f>C88*E88</f>
        <v>1.25</v>
      </c>
      <c r="G88" s="134">
        <f>$H$11*E88</f>
        <v>12.5</v>
      </c>
      <c r="H88" s="135">
        <f>F88*$H$11</f>
        <v>62.5</v>
      </c>
      <c r="I88" s="152">
        <v>23.84</v>
      </c>
      <c r="J88" s="135">
        <f>C88*I88</f>
        <v>119.2</v>
      </c>
      <c r="K88" s="136">
        <f>SUM(H88,J88)</f>
        <v>181.7</v>
      </c>
      <c r="L88" s="135">
        <f>K88/C88</f>
        <v>36.339999999999996</v>
      </c>
      <c r="M88" s="137">
        <f>C88*L88</f>
        <v>181.7</v>
      </c>
      <c r="N88" s="144">
        <v>0</v>
      </c>
      <c r="O88" s="130">
        <f>M88*N88</f>
        <v>0</v>
      </c>
      <c r="P88" s="159"/>
      <c r="Q88" s="159"/>
    </row>
    <row r="89" spans="1:18" s="72" customFormat="1" ht="14.25" x14ac:dyDescent="0.2">
      <c r="A89" s="63"/>
      <c r="B89" s="143" t="s">
        <v>257</v>
      </c>
      <c r="C89" s="243">
        <v>5</v>
      </c>
      <c r="D89" s="75" t="s">
        <v>116</v>
      </c>
      <c r="E89" s="134">
        <v>0.15</v>
      </c>
      <c r="F89" s="134">
        <f>C89*E89</f>
        <v>0.75</v>
      </c>
      <c r="G89" s="134">
        <f>$H$11*E89</f>
        <v>7.5</v>
      </c>
      <c r="H89" s="135">
        <f>F89*$H$11</f>
        <v>37.5</v>
      </c>
      <c r="I89" s="152">
        <v>3.5</v>
      </c>
      <c r="J89" s="135">
        <f>C89*I89</f>
        <v>17.5</v>
      </c>
      <c r="K89" s="136">
        <f>SUM(H89,J89)</f>
        <v>55</v>
      </c>
      <c r="L89" s="135">
        <f>K89/C89</f>
        <v>11</v>
      </c>
      <c r="M89" s="137">
        <f>C89*L89</f>
        <v>55</v>
      </c>
      <c r="N89" s="144">
        <v>0</v>
      </c>
      <c r="O89" s="130">
        <f>M89*N89</f>
        <v>0</v>
      </c>
      <c r="P89" s="159"/>
      <c r="Q89" s="159"/>
    </row>
    <row r="90" spans="1:18" s="72" customFormat="1" ht="14.25" x14ac:dyDescent="0.2">
      <c r="A90" s="63"/>
      <c r="B90" s="143"/>
      <c r="C90" s="64"/>
      <c r="D90" s="75"/>
      <c r="E90" s="134"/>
      <c r="F90" s="134"/>
      <c r="G90" s="134"/>
      <c r="H90" s="135"/>
      <c r="I90" s="152"/>
      <c r="J90" s="135"/>
      <c r="K90" s="136"/>
      <c r="L90" s="135"/>
      <c r="M90" s="137"/>
      <c r="N90" s="144"/>
      <c r="O90" s="130"/>
      <c r="P90" s="159"/>
      <c r="Q90" s="159"/>
    </row>
    <row r="91" spans="1:18" s="72" customFormat="1" ht="25.5" x14ac:dyDescent="0.2">
      <c r="A91" s="63"/>
      <c r="B91" s="175" t="s">
        <v>286</v>
      </c>
      <c r="C91" s="64">
        <v>15</v>
      </c>
      <c r="D91" s="75" t="s">
        <v>151</v>
      </c>
      <c r="E91" s="134">
        <v>0.44</v>
      </c>
      <c r="F91" s="134">
        <f>C91*E91</f>
        <v>6.6</v>
      </c>
      <c r="G91" s="134">
        <f>$H$11*E91</f>
        <v>22</v>
      </c>
      <c r="H91" s="135">
        <f>F91*$H$11</f>
        <v>330</v>
      </c>
      <c r="I91" s="152">
        <v>19.86</v>
      </c>
      <c r="J91" s="135">
        <f>C91*I91</f>
        <v>297.89999999999998</v>
      </c>
      <c r="K91" s="136">
        <f>SUM(H91,J91)</f>
        <v>627.9</v>
      </c>
      <c r="L91" s="135">
        <f>K91/C91</f>
        <v>41.86</v>
      </c>
      <c r="M91" s="137">
        <f>C91*L91</f>
        <v>627.9</v>
      </c>
      <c r="N91" s="144">
        <v>0</v>
      </c>
      <c r="O91" s="130">
        <f>M91*N91</f>
        <v>0</v>
      </c>
      <c r="P91" s="159">
        <v>5</v>
      </c>
      <c r="Q91" s="159">
        <v>2.95</v>
      </c>
      <c r="R91" s="306">
        <f>(P91/0.4)*Q91</f>
        <v>36.875</v>
      </c>
    </row>
    <row r="92" spans="1:18" s="72" customFormat="1" ht="14.25" x14ac:dyDescent="0.2">
      <c r="A92" s="63"/>
      <c r="B92" s="175"/>
      <c r="C92" s="64"/>
      <c r="D92" s="75"/>
      <c r="E92" s="134"/>
      <c r="F92" s="134"/>
      <c r="G92" s="134"/>
      <c r="H92" s="135"/>
      <c r="I92" s="152"/>
      <c r="J92" s="135"/>
      <c r="K92" s="136"/>
      <c r="L92" s="135"/>
      <c r="M92" s="137"/>
      <c r="N92" s="144"/>
      <c r="O92" s="130"/>
      <c r="P92" s="159"/>
      <c r="Q92" s="159"/>
      <c r="R92" s="306"/>
    </row>
    <row r="93" spans="1:18" s="72" customFormat="1" ht="25.5" x14ac:dyDescent="0.2">
      <c r="A93" s="63"/>
      <c r="B93" s="175" t="s">
        <v>260</v>
      </c>
      <c r="C93" s="64">
        <v>52</v>
      </c>
      <c r="D93" s="75" t="s">
        <v>151</v>
      </c>
      <c r="E93" s="134">
        <v>0.45</v>
      </c>
      <c r="F93" s="134">
        <f>C93*E93</f>
        <v>23.400000000000002</v>
      </c>
      <c r="G93" s="134">
        <f>$H$11*E93</f>
        <v>22.5</v>
      </c>
      <c r="H93" s="135">
        <f>F93*$H$11</f>
        <v>1170</v>
      </c>
      <c r="I93" s="152">
        <v>19.47</v>
      </c>
      <c r="J93" s="135">
        <f>C93*I93</f>
        <v>1012.4399999999999</v>
      </c>
      <c r="K93" s="136">
        <f>SUM(H93,J93)</f>
        <v>2182.44</v>
      </c>
      <c r="L93" s="135">
        <f>K93/C93</f>
        <v>41.97</v>
      </c>
      <c r="M93" s="137">
        <f>C93*L93</f>
        <v>2182.44</v>
      </c>
      <c r="N93" s="144">
        <v>0</v>
      </c>
      <c r="O93" s="130">
        <f>M93*N93</f>
        <v>0</v>
      </c>
      <c r="P93" s="159">
        <v>18</v>
      </c>
      <c r="Q93" s="159">
        <v>2.9</v>
      </c>
      <c r="R93" s="306">
        <f>(P93/0.4)*Q93</f>
        <v>130.5</v>
      </c>
    </row>
    <row r="94" spans="1:18" s="72" customFormat="1" ht="14.25" x14ac:dyDescent="0.2">
      <c r="A94" s="63"/>
      <c r="B94" s="143" t="s">
        <v>259</v>
      </c>
      <c r="C94" s="64">
        <v>18</v>
      </c>
      <c r="D94" s="75" t="s">
        <v>116</v>
      </c>
      <c r="E94" s="134">
        <v>0.25</v>
      </c>
      <c r="F94" s="134">
        <f>C94*E94</f>
        <v>4.5</v>
      </c>
      <c r="G94" s="134">
        <f>$H$11*E94</f>
        <v>12.5</v>
      </c>
      <c r="H94" s="135">
        <f>F94*$H$11</f>
        <v>225</v>
      </c>
      <c r="I94" s="152">
        <v>23.84</v>
      </c>
      <c r="J94" s="135">
        <f>C94*I94</f>
        <v>429.12</v>
      </c>
      <c r="K94" s="136">
        <f>SUM(H94,J94)</f>
        <v>654.12</v>
      </c>
      <c r="L94" s="135">
        <f>K94/C94</f>
        <v>36.340000000000003</v>
      </c>
      <c r="M94" s="137">
        <f>C94*L94</f>
        <v>654.12000000000012</v>
      </c>
      <c r="N94" s="144">
        <v>0</v>
      </c>
      <c r="O94" s="130">
        <f>M94*N94</f>
        <v>0</v>
      </c>
      <c r="P94" s="159"/>
      <c r="Q94" s="159"/>
    </row>
    <row r="95" spans="1:18" s="72" customFormat="1" ht="14.25" x14ac:dyDescent="0.2">
      <c r="A95" s="63"/>
      <c r="B95" s="143" t="s">
        <v>257</v>
      </c>
      <c r="C95" s="243">
        <v>18</v>
      </c>
      <c r="D95" s="75" t="s">
        <v>116</v>
      </c>
      <c r="E95" s="134">
        <v>0.15</v>
      </c>
      <c r="F95" s="134">
        <f>C95*E95</f>
        <v>2.6999999999999997</v>
      </c>
      <c r="G95" s="134">
        <f>$H$11*E95</f>
        <v>7.5</v>
      </c>
      <c r="H95" s="135">
        <f>F95*$H$11</f>
        <v>135</v>
      </c>
      <c r="I95" s="152">
        <v>3.5</v>
      </c>
      <c r="J95" s="135">
        <f>C95*I95</f>
        <v>63</v>
      </c>
      <c r="K95" s="136">
        <f>SUM(H95,J95)</f>
        <v>198</v>
      </c>
      <c r="L95" s="135">
        <f>K95/C95</f>
        <v>11</v>
      </c>
      <c r="M95" s="137">
        <f>C95*L95</f>
        <v>198</v>
      </c>
      <c r="N95" s="144">
        <v>0</v>
      </c>
      <c r="O95" s="130">
        <f>M95*N95</f>
        <v>0</v>
      </c>
      <c r="P95" s="159"/>
      <c r="Q95" s="159"/>
    </row>
    <row r="96" spans="1:18" s="72" customFormat="1" ht="14.25" x14ac:dyDescent="0.2">
      <c r="A96" s="63"/>
      <c r="B96" s="143"/>
      <c r="C96" s="243"/>
      <c r="D96" s="75"/>
      <c r="E96" s="134"/>
      <c r="F96" s="134"/>
      <c r="G96" s="134"/>
      <c r="H96" s="135"/>
      <c r="I96" s="152"/>
      <c r="J96" s="135"/>
      <c r="K96" s="136"/>
      <c r="L96" s="135"/>
      <c r="M96" s="137"/>
      <c r="N96" s="144"/>
      <c r="O96" s="130"/>
      <c r="P96" s="159"/>
      <c r="Q96" s="159"/>
    </row>
    <row r="97" spans="1:20" s="72" customFormat="1" ht="14.25" x14ac:dyDescent="0.2">
      <c r="A97" s="63"/>
      <c r="B97" s="316" t="s">
        <v>290</v>
      </c>
      <c r="C97" s="195">
        <v>5</v>
      </c>
      <c r="D97" s="75" t="s">
        <v>116</v>
      </c>
      <c r="E97" s="134">
        <f>'WORKINGS_Partitions SPEC Rates'!G89</f>
        <v>1.0050000000000001</v>
      </c>
      <c r="F97" s="134">
        <f>C97*E97</f>
        <v>5.0250000000000004</v>
      </c>
      <c r="G97" s="134">
        <f>$H$11*E97</f>
        <v>50.250000000000007</v>
      </c>
      <c r="H97" s="135">
        <f>F97*$H$11</f>
        <v>251.25000000000003</v>
      </c>
      <c r="I97" s="152">
        <f>'WORKINGS_Partitions SPEC Rates'!K89</f>
        <v>26.385191666666671</v>
      </c>
      <c r="J97" s="135">
        <f>C97*I97</f>
        <v>131.92595833333337</v>
      </c>
      <c r="K97" s="136">
        <f>SUM(H97,J97)</f>
        <v>383.17595833333337</v>
      </c>
      <c r="L97" s="135">
        <f>K97/C97</f>
        <v>76.635191666666671</v>
      </c>
      <c r="M97" s="137">
        <f>C97*L97</f>
        <v>383.17595833333337</v>
      </c>
      <c r="N97" s="144">
        <v>0</v>
      </c>
      <c r="O97" s="130">
        <f>M97*N97</f>
        <v>0</v>
      </c>
      <c r="P97" s="159"/>
      <c r="Q97" s="159"/>
    </row>
    <row r="98" spans="1:20" s="72" customFormat="1" ht="25.5" x14ac:dyDescent="0.2">
      <c r="A98" s="63"/>
      <c r="B98" s="175" t="s">
        <v>291</v>
      </c>
      <c r="C98" s="195">
        <v>14</v>
      </c>
      <c r="D98" s="75" t="s">
        <v>151</v>
      </c>
      <c r="E98" s="134">
        <v>0.43</v>
      </c>
      <c r="F98" s="134">
        <f>C98*E98</f>
        <v>6.02</v>
      </c>
      <c r="G98" s="134">
        <f>$H$11*E98</f>
        <v>21.5</v>
      </c>
      <c r="H98" s="135">
        <f>F98*$H$11</f>
        <v>301</v>
      </c>
      <c r="I98" s="152">
        <v>20.3</v>
      </c>
      <c r="J98" s="135">
        <f>C98*I98</f>
        <v>284.2</v>
      </c>
      <c r="K98" s="136">
        <f>SUM(H98,J98)</f>
        <v>585.20000000000005</v>
      </c>
      <c r="L98" s="135">
        <f>K98/C98</f>
        <v>41.800000000000004</v>
      </c>
      <c r="M98" s="137">
        <f>C98*L98</f>
        <v>585.20000000000005</v>
      </c>
      <c r="N98" s="144">
        <v>0</v>
      </c>
      <c r="O98" s="130">
        <f>M98*N98</f>
        <v>0</v>
      </c>
      <c r="P98" s="159">
        <v>5</v>
      </c>
      <c r="Q98" s="159">
        <v>2.9</v>
      </c>
      <c r="R98" s="306">
        <f>(P98/0.4)*Q98</f>
        <v>36.25</v>
      </c>
    </row>
    <row r="99" spans="1:20" s="72" customFormat="1" ht="14.25" x14ac:dyDescent="0.2">
      <c r="A99" s="63"/>
      <c r="B99" s="143" t="s">
        <v>259</v>
      </c>
      <c r="C99" s="64">
        <v>5</v>
      </c>
      <c r="D99" s="75" t="s">
        <v>116</v>
      </c>
      <c r="E99" s="134">
        <v>0.25</v>
      </c>
      <c r="F99" s="134">
        <f>C99*E99</f>
        <v>1.25</v>
      </c>
      <c r="G99" s="134">
        <f>$H$11*E99</f>
        <v>12.5</v>
      </c>
      <c r="H99" s="135">
        <f>F99*$H$11</f>
        <v>62.5</v>
      </c>
      <c r="I99" s="152">
        <v>23.84</v>
      </c>
      <c r="J99" s="135">
        <f>C99*I99</f>
        <v>119.2</v>
      </c>
      <c r="K99" s="136">
        <f>SUM(H99,J99)</f>
        <v>181.7</v>
      </c>
      <c r="L99" s="135">
        <f>K99/C99</f>
        <v>36.339999999999996</v>
      </c>
      <c r="M99" s="137">
        <f>C99*L99</f>
        <v>181.7</v>
      </c>
      <c r="N99" s="144">
        <v>0</v>
      </c>
      <c r="O99" s="130">
        <f>M99*N99</f>
        <v>0</v>
      </c>
      <c r="P99" s="159"/>
      <c r="Q99" s="159"/>
    </row>
    <row r="100" spans="1:20" s="72" customFormat="1" ht="14.25" x14ac:dyDescent="0.2">
      <c r="A100" s="63"/>
      <c r="B100" s="143" t="s">
        <v>257</v>
      </c>
      <c r="C100" s="243">
        <v>5</v>
      </c>
      <c r="D100" s="75" t="s">
        <v>116</v>
      </c>
      <c r="E100" s="134">
        <v>0.15</v>
      </c>
      <c r="F100" s="134">
        <f>C100*E100</f>
        <v>0.75</v>
      </c>
      <c r="G100" s="134">
        <f>$H$11*E100</f>
        <v>7.5</v>
      </c>
      <c r="H100" s="135">
        <f>F100*$H$11</f>
        <v>37.5</v>
      </c>
      <c r="I100" s="152">
        <v>3.5</v>
      </c>
      <c r="J100" s="135">
        <f>C100*I100</f>
        <v>17.5</v>
      </c>
      <c r="K100" s="136">
        <f>SUM(H100,J100)</f>
        <v>55</v>
      </c>
      <c r="L100" s="135">
        <f>K100/C100</f>
        <v>11</v>
      </c>
      <c r="M100" s="137">
        <f>C100*L100</f>
        <v>55</v>
      </c>
      <c r="N100" s="144">
        <v>0</v>
      </c>
      <c r="O100" s="130">
        <f>M100*N100</f>
        <v>0</v>
      </c>
      <c r="P100" s="159"/>
      <c r="Q100" s="159"/>
    </row>
    <row r="101" spans="1:20" s="72" customFormat="1" ht="14.25" x14ac:dyDescent="0.2">
      <c r="A101" s="63"/>
      <c r="B101" s="143"/>
      <c r="C101" s="64"/>
      <c r="D101" s="75"/>
      <c r="E101" s="134"/>
      <c r="F101" s="134"/>
      <c r="G101" s="134"/>
      <c r="H101" s="135"/>
      <c r="I101" s="152"/>
      <c r="J101" s="135"/>
      <c r="K101" s="136"/>
      <c r="L101" s="135"/>
      <c r="M101" s="137"/>
      <c r="N101" s="144"/>
      <c r="O101" s="130"/>
      <c r="P101" s="159"/>
      <c r="Q101" s="159"/>
    </row>
    <row r="102" spans="1:20" s="72" customFormat="1" ht="14.25" x14ac:dyDescent="0.2">
      <c r="A102" s="63"/>
      <c r="B102" s="316" t="s">
        <v>378</v>
      </c>
      <c r="C102" s="64">
        <v>18</v>
      </c>
      <c r="D102" s="75" t="s">
        <v>148</v>
      </c>
      <c r="E102" s="134">
        <v>0.75</v>
      </c>
      <c r="F102" s="134">
        <f>C102*E102</f>
        <v>13.5</v>
      </c>
      <c r="G102" s="134">
        <f>$H$11*E102</f>
        <v>37.5</v>
      </c>
      <c r="H102" s="135">
        <f>F102*$H$11</f>
        <v>675</v>
      </c>
      <c r="I102" s="152">
        <v>82.5</v>
      </c>
      <c r="J102" s="135">
        <f>C102*I102</f>
        <v>1485</v>
      </c>
      <c r="K102" s="136">
        <f>SUM(H102,J102)</f>
        <v>2160</v>
      </c>
      <c r="L102" s="135">
        <f>K102/C102</f>
        <v>120</v>
      </c>
      <c r="M102" s="137">
        <f>C102*L102</f>
        <v>2160</v>
      </c>
      <c r="N102" s="144">
        <v>0</v>
      </c>
      <c r="O102" s="130">
        <f>M102*N102</f>
        <v>0</v>
      </c>
      <c r="P102" s="159"/>
      <c r="Q102" s="159"/>
    </row>
    <row r="103" spans="1:20" s="72" customFormat="1" ht="14.25" x14ac:dyDescent="0.2">
      <c r="A103" s="63"/>
      <c r="B103" s="143"/>
      <c r="C103" s="64"/>
      <c r="D103" s="75"/>
      <c r="E103" s="134"/>
      <c r="F103" s="134"/>
      <c r="G103" s="134"/>
      <c r="H103" s="135"/>
      <c r="I103" s="152"/>
      <c r="J103" s="135"/>
      <c r="K103" s="136"/>
      <c r="L103" s="135"/>
      <c r="M103" s="137"/>
      <c r="N103" s="144"/>
      <c r="O103" s="130"/>
      <c r="P103" s="159"/>
      <c r="Q103" s="159"/>
      <c r="R103" s="306">
        <f>SUM(R28:R102)</f>
        <v>2005.125</v>
      </c>
    </row>
    <row r="104" spans="1:20" s="72" customFormat="1" ht="14.25" x14ac:dyDescent="0.2">
      <c r="A104" s="63"/>
      <c r="B104" s="143" t="s">
        <v>379</v>
      </c>
      <c r="C104" s="192" t="s">
        <v>938</v>
      </c>
      <c r="D104" s="75"/>
      <c r="E104" s="134"/>
      <c r="F104" s="134"/>
      <c r="G104" s="134"/>
      <c r="H104" s="135"/>
      <c r="I104" s="152"/>
      <c r="J104" s="135"/>
      <c r="K104" s="136"/>
      <c r="L104" s="135"/>
      <c r="M104" s="137"/>
      <c r="N104" s="144"/>
      <c r="O104" s="130"/>
      <c r="P104" s="159"/>
      <c r="Q104" s="159"/>
    </row>
    <row r="105" spans="1:20" s="72" customFormat="1" ht="14.25" x14ac:dyDescent="0.2">
      <c r="A105" s="63"/>
      <c r="B105" s="143"/>
      <c r="C105" s="64"/>
      <c r="D105" s="75"/>
      <c r="E105" s="134"/>
      <c r="F105" s="134"/>
      <c r="G105" s="134"/>
      <c r="H105" s="135"/>
      <c r="I105" s="152"/>
      <c r="J105" s="135"/>
      <c r="K105" s="136"/>
      <c r="L105" s="135"/>
      <c r="M105" s="137"/>
      <c r="N105" s="144"/>
      <c r="O105" s="130"/>
      <c r="P105" s="159"/>
      <c r="Q105" s="159"/>
    </row>
    <row r="106" spans="1:20" s="72" customFormat="1" ht="14.25" x14ac:dyDescent="0.2">
      <c r="A106" s="63"/>
      <c r="B106" s="242" t="s">
        <v>297</v>
      </c>
      <c r="C106" s="243">
        <f>SUM(P80,P83)</f>
        <v>47</v>
      </c>
      <c r="D106" s="75" t="s">
        <v>116</v>
      </c>
      <c r="E106" s="134">
        <v>0.25</v>
      </c>
      <c r="F106" s="134">
        <f>C106*E106</f>
        <v>11.75</v>
      </c>
      <c r="G106" s="134">
        <f>$H$11*E106</f>
        <v>12.5</v>
      </c>
      <c r="H106" s="135">
        <f>F106*$H$11</f>
        <v>587.5</v>
      </c>
      <c r="I106" s="152">
        <v>15</v>
      </c>
      <c r="J106" s="135">
        <f>C106*I106</f>
        <v>705</v>
      </c>
      <c r="K106" s="136">
        <f>SUM(H106,J106)</f>
        <v>1292.5</v>
      </c>
      <c r="L106" s="135">
        <f>K106/C106</f>
        <v>27.5</v>
      </c>
      <c r="M106" s="137">
        <f>C106*L106</f>
        <v>1292.5</v>
      </c>
      <c r="N106" s="144">
        <v>0</v>
      </c>
      <c r="O106" s="130">
        <f>M106*N106</f>
        <v>0</v>
      </c>
      <c r="P106" s="159"/>
      <c r="Q106" s="159"/>
    </row>
    <row r="107" spans="1:20" s="72" customFormat="1" ht="14.25" x14ac:dyDescent="0.2">
      <c r="A107" s="63"/>
      <c r="B107" s="316" t="s">
        <v>336</v>
      </c>
      <c r="C107" s="64">
        <v>285</v>
      </c>
      <c r="D107" s="75" t="s">
        <v>116</v>
      </c>
      <c r="E107" s="134">
        <v>0.09</v>
      </c>
      <c r="F107" s="134">
        <f>C107*E107</f>
        <v>25.65</v>
      </c>
      <c r="G107" s="134">
        <f>$H$11*E107</f>
        <v>4.5</v>
      </c>
      <c r="H107" s="135">
        <f>F107*$H$11</f>
        <v>1282.5</v>
      </c>
      <c r="I107" s="152">
        <v>5.61</v>
      </c>
      <c r="J107" s="135">
        <f>C107*I107</f>
        <v>1598.8500000000001</v>
      </c>
      <c r="K107" s="136">
        <f>SUM(H107,J107)</f>
        <v>2881.3500000000004</v>
      </c>
      <c r="L107" s="135">
        <f>K107/C107</f>
        <v>10.110000000000001</v>
      </c>
      <c r="M107" s="137">
        <f>C107*L107</f>
        <v>2881.3500000000004</v>
      </c>
      <c r="N107" s="144">
        <v>0</v>
      </c>
      <c r="O107" s="130">
        <f>M107*N107</f>
        <v>0</v>
      </c>
      <c r="P107" s="159"/>
      <c r="Q107" s="159"/>
    </row>
    <row r="108" spans="1:20" s="72" customFormat="1" ht="14.25" x14ac:dyDescent="0.2">
      <c r="A108" s="63"/>
      <c r="B108" s="242" t="s">
        <v>755</v>
      </c>
      <c r="C108" s="64">
        <v>6</v>
      </c>
      <c r="D108" s="75" t="s">
        <v>75</v>
      </c>
      <c r="E108" s="134">
        <v>1.5</v>
      </c>
      <c r="F108" s="134">
        <f>C108*E108</f>
        <v>9</v>
      </c>
      <c r="G108" s="134">
        <f>$H$11*E108</f>
        <v>75</v>
      </c>
      <c r="H108" s="135">
        <f>F108*$H$11</f>
        <v>450</v>
      </c>
      <c r="I108" s="152">
        <v>139</v>
      </c>
      <c r="J108" s="135">
        <f>C108*I108</f>
        <v>834</v>
      </c>
      <c r="K108" s="136">
        <f>SUM(H108,J108)</f>
        <v>1284</v>
      </c>
      <c r="L108" s="135">
        <f>K108/C108</f>
        <v>214</v>
      </c>
      <c r="M108" s="137">
        <f>C108*L108</f>
        <v>1284</v>
      </c>
      <c r="N108" s="144">
        <v>0</v>
      </c>
      <c r="O108" s="130">
        <f>M108*N108</f>
        <v>0</v>
      </c>
      <c r="P108" s="159"/>
      <c r="Q108" s="159"/>
    </row>
    <row r="109" spans="1:20" s="72" customFormat="1" ht="14.25" x14ac:dyDescent="0.2">
      <c r="A109" s="63"/>
      <c r="B109" s="242" t="s">
        <v>756</v>
      </c>
      <c r="C109" s="64">
        <v>3</v>
      </c>
      <c r="D109" s="75" t="s">
        <v>75</v>
      </c>
      <c r="E109" s="134">
        <v>1</v>
      </c>
      <c r="F109" s="134">
        <f>C109*E109</f>
        <v>3</v>
      </c>
      <c r="G109" s="134">
        <f>$H$11*E109</f>
        <v>50</v>
      </c>
      <c r="H109" s="135">
        <f>F109*$H$11</f>
        <v>150</v>
      </c>
      <c r="I109" s="152">
        <v>70</v>
      </c>
      <c r="J109" s="135">
        <f>C109*I109</f>
        <v>210</v>
      </c>
      <c r="K109" s="136">
        <f>SUM(H109,J109)</f>
        <v>360</v>
      </c>
      <c r="L109" s="135">
        <f>K109/C109</f>
        <v>120</v>
      </c>
      <c r="M109" s="137">
        <f>C109*L109</f>
        <v>360</v>
      </c>
      <c r="N109" s="144">
        <v>0</v>
      </c>
      <c r="O109" s="130">
        <f>M109*N109</f>
        <v>0</v>
      </c>
      <c r="P109" s="159"/>
      <c r="Q109" s="159"/>
      <c r="T109" s="306"/>
    </row>
    <row r="110" spans="1:20" s="72" customFormat="1" ht="14.25" x14ac:dyDescent="0.2">
      <c r="A110" s="63"/>
      <c r="B110" s="242" t="s">
        <v>937</v>
      </c>
      <c r="C110" s="64">
        <v>92</v>
      </c>
      <c r="D110" s="75" t="s">
        <v>116</v>
      </c>
      <c r="E110" s="134">
        <v>0.1</v>
      </c>
      <c r="F110" s="134">
        <f>C110*E110</f>
        <v>9.2000000000000011</v>
      </c>
      <c r="G110" s="134">
        <f>$H$11*E110</f>
        <v>5</v>
      </c>
      <c r="H110" s="135">
        <f>F110*$H$11</f>
        <v>460.00000000000006</v>
      </c>
      <c r="I110" s="152">
        <v>10.1</v>
      </c>
      <c r="J110" s="135">
        <f>C110*I110</f>
        <v>929.19999999999993</v>
      </c>
      <c r="K110" s="136">
        <f>SUM(H110,J110)</f>
        <v>1389.2</v>
      </c>
      <c r="L110" s="135">
        <f>K110/C110</f>
        <v>15.1</v>
      </c>
      <c r="M110" s="137">
        <f>C110*L110</f>
        <v>1389.2</v>
      </c>
      <c r="N110" s="144">
        <v>0</v>
      </c>
      <c r="O110" s="130">
        <f>M110*N110</f>
        <v>0</v>
      </c>
      <c r="P110" s="159"/>
      <c r="Q110" s="159"/>
      <c r="T110" s="306"/>
    </row>
    <row r="111" spans="1:20" s="72" customFormat="1" ht="14.25" x14ac:dyDescent="0.2">
      <c r="A111" s="63"/>
      <c r="B111" s="242"/>
      <c r="C111" s="64"/>
      <c r="D111" s="75"/>
      <c r="E111" s="134"/>
      <c r="F111" s="134"/>
      <c r="G111" s="134"/>
      <c r="H111" s="135"/>
      <c r="I111" s="152"/>
      <c r="J111" s="135"/>
      <c r="K111" s="136"/>
      <c r="L111" s="135"/>
      <c r="M111" s="137"/>
      <c r="N111" s="144"/>
      <c r="O111" s="130"/>
      <c r="P111" s="159"/>
      <c r="Q111" s="159"/>
      <c r="T111" s="306"/>
    </row>
    <row r="112" spans="1:20" s="72" customFormat="1" ht="14.25" x14ac:dyDescent="0.2">
      <c r="A112" s="63"/>
      <c r="B112" s="143" t="s">
        <v>954</v>
      </c>
      <c r="C112" s="64">
        <v>19</v>
      </c>
      <c r="D112" s="75" t="s">
        <v>148</v>
      </c>
      <c r="E112" s="134">
        <v>2.5</v>
      </c>
      <c r="F112" s="134">
        <f>C112*E112</f>
        <v>47.5</v>
      </c>
      <c r="G112" s="134">
        <f>$H$11*E112</f>
        <v>125</v>
      </c>
      <c r="H112" s="135">
        <f>F112*$H$11</f>
        <v>2375</v>
      </c>
      <c r="I112" s="152">
        <v>175</v>
      </c>
      <c r="J112" s="135">
        <f>C112*I112</f>
        <v>3325</v>
      </c>
      <c r="K112" s="136">
        <f>SUM(H112,J112)</f>
        <v>5700</v>
      </c>
      <c r="L112" s="135">
        <f>K112/C112</f>
        <v>300</v>
      </c>
      <c r="M112" s="137">
        <f>C112*L112</f>
        <v>5700</v>
      </c>
      <c r="N112" s="144">
        <v>0</v>
      </c>
      <c r="O112" s="130">
        <f>M112*N112</f>
        <v>0</v>
      </c>
      <c r="P112" s="159"/>
      <c r="Q112" s="159"/>
      <c r="T112" s="306"/>
    </row>
    <row r="113" spans="1:18" s="72" customFormat="1" ht="14.25" x14ac:dyDescent="0.2">
      <c r="A113" s="63"/>
      <c r="B113" s="175"/>
      <c r="C113" s="64"/>
      <c r="D113" s="75"/>
      <c r="E113" s="134"/>
      <c r="F113" s="134"/>
      <c r="G113" s="134"/>
      <c r="H113" s="135"/>
      <c r="I113" s="152"/>
      <c r="J113" s="135"/>
      <c r="K113" s="136"/>
      <c r="L113" s="135"/>
      <c r="M113" s="137"/>
      <c r="N113" s="144"/>
      <c r="O113" s="130"/>
      <c r="P113" s="159"/>
      <c r="Q113" s="159"/>
    </row>
    <row r="114" spans="1:18" s="72" customFormat="1" ht="14.25" x14ac:dyDescent="0.2">
      <c r="A114" s="63"/>
      <c r="B114" s="143"/>
      <c r="C114" s="64"/>
      <c r="D114" s="75"/>
      <c r="E114" s="134"/>
      <c r="F114" s="134"/>
      <c r="G114" s="134"/>
      <c r="H114" s="135"/>
      <c r="I114" s="152"/>
      <c r="J114" s="135"/>
      <c r="K114" s="136"/>
      <c r="L114" s="135"/>
      <c r="M114" s="137"/>
      <c r="N114" s="144"/>
      <c r="O114" s="130"/>
      <c r="P114" s="159"/>
      <c r="Q114" s="159"/>
    </row>
    <row r="115" spans="1:18" s="72" customFormat="1" ht="15" x14ac:dyDescent="0.2">
      <c r="A115" s="63"/>
      <c r="B115" s="176" t="s">
        <v>60</v>
      </c>
      <c r="C115" s="64"/>
      <c r="D115" s="75"/>
      <c r="E115" s="128"/>
      <c r="F115" s="129"/>
      <c r="G115" s="129"/>
      <c r="H115" s="129"/>
      <c r="I115" s="153"/>
      <c r="J115" s="128"/>
      <c r="K115" s="128"/>
      <c r="L115" s="128"/>
      <c r="M115" s="120"/>
      <c r="N115" s="126"/>
      <c r="O115" s="127"/>
      <c r="P115" s="159"/>
      <c r="Q115" s="159"/>
    </row>
    <row r="116" spans="1:18" s="72" customFormat="1" ht="14.25" x14ac:dyDescent="0.2">
      <c r="A116" s="63"/>
      <c r="B116" s="143"/>
      <c r="C116" s="64"/>
      <c r="D116" s="75"/>
      <c r="E116" s="134"/>
      <c r="F116" s="134"/>
      <c r="G116" s="134"/>
      <c r="H116" s="135"/>
      <c r="I116" s="152"/>
      <c r="J116" s="135"/>
      <c r="K116" s="136"/>
      <c r="L116" s="135"/>
      <c r="M116" s="137"/>
      <c r="N116" s="144"/>
      <c r="O116" s="130"/>
      <c r="P116" s="159"/>
      <c r="Q116" s="159"/>
    </row>
    <row r="117" spans="1:18" s="72" customFormat="1" ht="14.25" x14ac:dyDescent="0.2">
      <c r="A117" s="63"/>
      <c r="B117" s="143" t="s">
        <v>299</v>
      </c>
      <c r="C117" s="192" t="s">
        <v>262</v>
      </c>
      <c r="D117" s="75"/>
      <c r="E117" s="128"/>
      <c r="F117" s="129"/>
      <c r="G117" s="129"/>
      <c r="H117" s="129"/>
      <c r="I117" s="153"/>
      <c r="J117" s="128"/>
      <c r="K117" s="128"/>
      <c r="L117" s="128"/>
      <c r="M117" s="120"/>
      <c r="N117" s="126"/>
      <c r="O117" s="127"/>
      <c r="P117" s="159"/>
      <c r="Q117" s="159"/>
    </row>
    <row r="118" spans="1:18" s="72" customFormat="1" ht="14.25" x14ac:dyDescent="0.2">
      <c r="A118" s="63"/>
      <c r="B118" s="143" t="s">
        <v>300</v>
      </c>
      <c r="C118" s="195">
        <v>48</v>
      </c>
      <c r="D118" s="75" t="s">
        <v>116</v>
      </c>
      <c r="E118" s="134">
        <v>2.14</v>
      </c>
      <c r="F118" s="134">
        <f>C118*E118</f>
        <v>102.72</v>
      </c>
      <c r="G118" s="134">
        <f>$H$11*E118</f>
        <v>107</v>
      </c>
      <c r="H118" s="135">
        <f>F118*$H$11</f>
        <v>5136</v>
      </c>
      <c r="I118" s="152">
        <v>75.39</v>
      </c>
      <c r="J118" s="135">
        <f>C118*I118</f>
        <v>3618.7200000000003</v>
      </c>
      <c r="K118" s="136">
        <f>SUM(H118,J118)</f>
        <v>8754.7200000000012</v>
      </c>
      <c r="L118" s="135">
        <f>K118/C118</f>
        <v>182.39000000000001</v>
      </c>
      <c r="M118" s="137">
        <f>C118*L118</f>
        <v>8754.7200000000012</v>
      </c>
      <c r="N118" s="144">
        <v>0</v>
      </c>
      <c r="O118" s="130">
        <f>M118*N118</f>
        <v>0</v>
      </c>
      <c r="P118" s="159"/>
      <c r="Q118" s="159"/>
    </row>
    <row r="119" spans="1:18" s="72" customFormat="1" ht="14.25" x14ac:dyDescent="0.2">
      <c r="A119" s="63"/>
      <c r="B119" s="143" t="s">
        <v>257</v>
      </c>
      <c r="C119" s="607">
        <v>48</v>
      </c>
      <c r="D119" s="75" t="s">
        <v>116</v>
      </c>
      <c r="E119" s="134">
        <v>0.15</v>
      </c>
      <c r="F119" s="134">
        <f>C119*E119</f>
        <v>7.1999999999999993</v>
      </c>
      <c r="G119" s="134">
        <f>$H$11*E119</f>
        <v>7.5</v>
      </c>
      <c r="H119" s="135">
        <f>F119*$H$11</f>
        <v>359.99999999999994</v>
      </c>
      <c r="I119" s="152">
        <v>3.5</v>
      </c>
      <c r="J119" s="135">
        <f>C119*I119</f>
        <v>168</v>
      </c>
      <c r="K119" s="136">
        <f>SUM(H119,J119)</f>
        <v>528</v>
      </c>
      <c r="L119" s="135">
        <f>K119/C119</f>
        <v>11</v>
      </c>
      <c r="M119" s="137">
        <f>C119*L119</f>
        <v>528</v>
      </c>
      <c r="N119" s="144">
        <v>0</v>
      </c>
      <c r="O119" s="130">
        <f>M119*N119</f>
        <v>0</v>
      </c>
      <c r="P119" s="159"/>
      <c r="Q119" s="159"/>
    </row>
    <row r="120" spans="1:18" s="72" customFormat="1" ht="14.25" x14ac:dyDescent="0.2">
      <c r="A120" s="63"/>
      <c r="B120" s="143"/>
      <c r="C120" s="607"/>
      <c r="D120" s="75"/>
      <c r="E120" s="134"/>
      <c r="F120" s="134"/>
      <c r="G120" s="134"/>
      <c r="H120" s="135"/>
      <c r="I120" s="152"/>
      <c r="J120" s="135"/>
      <c r="K120" s="136"/>
      <c r="L120" s="135"/>
      <c r="M120" s="137"/>
      <c r="N120" s="144"/>
      <c r="O120" s="130"/>
      <c r="P120" s="159"/>
      <c r="Q120" s="159"/>
    </row>
    <row r="121" spans="1:18" s="72" customFormat="1" ht="25.5" x14ac:dyDescent="0.2">
      <c r="A121" s="63"/>
      <c r="B121" s="655" t="s">
        <v>986</v>
      </c>
      <c r="C121" s="195">
        <v>-14</v>
      </c>
      <c r="D121" s="75" t="s">
        <v>116</v>
      </c>
      <c r="E121" s="134">
        <v>0.62</v>
      </c>
      <c r="F121" s="134">
        <f>C121*E121</f>
        <v>-8.68</v>
      </c>
      <c r="G121" s="134">
        <f>$H$11*E121</f>
        <v>31</v>
      </c>
      <c r="H121" s="135">
        <f>F121*$H$11</f>
        <v>-434</v>
      </c>
      <c r="I121" s="152">
        <v>17.43</v>
      </c>
      <c r="J121" s="135">
        <f>C121*I121</f>
        <v>-244.01999999999998</v>
      </c>
      <c r="K121" s="136">
        <f>SUM(H121,J121)</f>
        <v>-678.02</v>
      </c>
      <c r="L121" s="135">
        <f>K121/C121</f>
        <v>48.43</v>
      </c>
      <c r="M121" s="137">
        <f>C121*L121</f>
        <v>-678.02</v>
      </c>
      <c r="N121" s="144">
        <v>0</v>
      </c>
      <c r="O121" s="130">
        <f>M121*N121</f>
        <v>0</v>
      </c>
      <c r="P121" s="159"/>
      <c r="Q121" s="159"/>
    </row>
    <row r="122" spans="1:18" s="72" customFormat="1" ht="14.25" x14ac:dyDescent="0.2">
      <c r="A122" s="63"/>
      <c r="B122" s="143"/>
      <c r="C122" s="195"/>
      <c r="D122" s="75"/>
      <c r="E122" s="134"/>
      <c r="F122" s="134"/>
      <c r="G122" s="134"/>
      <c r="H122" s="135"/>
      <c r="I122" s="152"/>
      <c r="J122" s="135"/>
      <c r="K122" s="136"/>
      <c r="L122" s="135"/>
      <c r="M122" s="137"/>
      <c r="N122" s="144"/>
      <c r="O122" s="130"/>
      <c r="P122" s="159"/>
      <c r="Q122" s="159"/>
    </row>
    <row r="123" spans="1:18" s="72" customFormat="1" ht="14.25" x14ac:dyDescent="0.2">
      <c r="A123" s="63"/>
      <c r="B123" s="143" t="s">
        <v>344</v>
      </c>
      <c r="C123" s="195">
        <v>10</v>
      </c>
      <c r="D123" s="75" t="s">
        <v>116</v>
      </c>
      <c r="E123" s="134">
        <v>1.35</v>
      </c>
      <c r="F123" s="134">
        <f>C123*E123</f>
        <v>13.5</v>
      </c>
      <c r="G123" s="134">
        <f>$H$11*E123</f>
        <v>67.5</v>
      </c>
      <c r="H123" s="135">
        <f>F123*$H$11</f>
        <v>675</v>
      </c>
      <c r="I123" s="152">
        <v>55.48</v>
      </c>
      <c r="J123" s="135">
        <f>C123*I123</f>
        <v>554.79999999999995</v>
      </c>
      <c r="K123" s="136">
        <f>SUM(H123,J123)</f>
        <v>1229.8</v>
      </c>
      <c r="L123" s="135">
        <f>K123/C123</f>
        <v>122.97999999999999</v>
      </c>
      <c r="M123" s="137">
        <f>C123*L123</f>
        <v>1229.8</v>
      </c>
      <c r="N123" s="144">
        <v>0</v>
      </c>
      <c r="O123" s="130">
        <f>M123*N123</f>
        <v>0</v>
      </c>
      <c r="P123" s="159"/>
      <c r="Q123" s="159"/>
    </row>
    <row r="124" spans="1:18" s="72" customFormat="1" ht="14.25" x14ac:dyDescent="0.2">
      <c r="A124" s="63"/>
      <c r="B124" s="143"/>
      <c r="C124" s="195"/>
      <c r="D124" s="75"/>
      <c r="E124" s="134"/>
      <c r="F124" s="134"/>
      <c r="G124" s="134"/>
      <c r="H124" s="135"/>
      <c r="I124" s="152"/>
      <c r="J124" s="135"/>
      <c r="K124" s="136"/>
      <c r="L124" s="135"/>
      <c r="M124" s="137"/>
      <c r="N124" s="144"/>
      <c r="O124" s="130"/>
      <c r="P124" s="159"/>
      <c r="Q124" s="159"/>
    </row>
    <row r="125" spans="1:18" s="72" customFormat="1" ht="14.25" x14ac:dyDescent="0.2">
      <c r="A125" s="63"/>
      <c r="B125" s="143" t="s">
        <v>340</v>
      </c>
      <c r="C125" s="199" t="s">
        <v>341</v>
      </c>
      <c r="D125" s="75"/>
      <c r="E125" s="134"/>
      <c r="F125" s="134"/>
      <c r="G125" s="134"/>
      <c r="H125" s="135"/>
      <c r="I125" s="152"/>
      <c r="J125" s="135"/>
      <c r="K125" s="136"/>
      <c r="L125" s="135"/>
      <c r="M125" s="137"/>
      <c r="N125" s="144"/>
      <c r="O125" s="130"/>
      <c r="P125" s="159"/>
      <c r="Q125" s="159"/>
    </row>
    <row r="126" spans="1:18" s="72" customFormat="1" ht="14.25" x14ac:dyDescent="0.2">
      <c r="A126" s="63"/>
      <c r="B126" s="143"/>
      <c r="C126" s="64"/>
      <c r="D126" s="75"/>
      <c r="E126" s="134"/>
      <c r="F126" s="134"/>
      <c r="G126" s="134"/>
      <c r="H126" s="135"/>
      <c r="I126" s="152"/>
      <c r="J126" s="135"/>
      <c r="K126" s="136"/>
      <c r="L126" s="135"/>
      <c r="M126" s="137"/>
      <c r="N126" s="144"/>
      <c r="O126" s="130"/>
      <c r="P126" s="159"/>
      <c r="Q126" s="159"/>
    </row>
    <row r="127" spans="1:18" s="72" customFormat="1" ht="25.5" x14ac:dyDescent="0.2">
      <c r="A127" s="63"/>
      <c r="B127" s="175" t="s">
        <v>327</v>
      </c>
      <c r="C127" s="195">
        <v>239</v>
      </c>
      <c r="D127" s="75" t="s">
        <v>151</v>
      </c>
      <c r="E127" s="134">
        <v>0.4</v>
      </c>
      <c r="F127" s="134">
        <f>C127*E127</f>
        <v>95.600000000000009</v>
      </c>
      <c r="G127" s="134">
        <f>$H$11*E127</f>
        <v>20</v>
      </c>
      <c r="H127" s="135">
        <f>F127*$H$11</f>
        <v>4780</v>
      </c>
      <c r="I127" s="152">
        <v>16.559999999999999</v>
      </c>
      <c r="J127" s="135">
        <f>C127*I127</f>
        <v>3957.8399999999997</v>
      </c>
      <c r="K127" s="136">
        <f>SUM(H127,J127)</f>
        <v>8737.84</v>
      </c>
      <c r="L127" s="135">
        <f>K127/C127</f>
        <v>36.56</v>
      </c>
      <c r="M127" s="137">
        <f>C127*L127</f>
        <v>8737.84</v>
      </c>
      <c r="N127" s="144">
        <v>0</v>
      </c>
      <c r="O127" s="130">
        <f>M127*N127</f>
        <v>0</v>
      </c>
      <c r="P127" s="159">
        <v>64</v>
      </c>
      <c r="Q127" s="159">
        <v>4.4000000000000004</v>
      </c>
      <c r="R127" s="306">
        <f>(P127/0.4)*Q127</f>
        <v>704</v>
      </c>
    </row>
    <row r="128" spans="1:18" s="72" customFormat="1" ht="14.25" x14ac:dyDescent="0.2">
      <c r="A128" s="63"/>
      <c r="B128" s="143"/>
      <c r="C128" s="195"/>
      <c r="D128" s="75"/>
      <c r="E128" s="134"/>
      <c r="F128" s="134"/>
      <c r="G128" s="134"/>
      <c r="H128" s="135"/>
      <c r="I128" s="152"/>
      <c r="J128" s="135"/>
      <c r="K128" s="136"/>
      <c r="L128" s="135"/>
      <c r="M128" s="137"/>
      <c r="N128" s="144"/>
      <c r="O128" s="130"/>
      <c r="P128" s="159"/>
      <c r="Q128" s="159"/>
    </row>
    <row r="129" spans="1:18" s="72" customFormat="1" ht="14.25" x14ac:dyDescent="0.2">
      <c r="A129" s="63"/>
      <c r="B129" s="143" t="s">
        <v>294</v>
      </c>
      <c r="C129" s="195">
        <v>50</v>
      </c>
      <c r="D129" s="75" t="s">
        <v>116</v>
      </c>
      <c r="E129" s="134">
        <v>0.82</v>
      </c>
      <c r="F129" s="134">
        <f>C129*E129</f>
        <v>41</v>
      </c>
      <c r="G129" s="134">
        <f>$H$11*E129</f>
        <v>41</v>
      </c>
      <c r="H129" s="135">
        <f>F129*$H$11</f>
        <v>2050</v>
      </c>
      <c r="I129" s="152">
        <v>27</v>
      </c>
      <c r="J129" s="135">
        <f>C129*I129</f>
        <v>1350</v>
      </c>
      <c r="K129" s="136">
        <f>SUM(H129,J129)</f>
        <v>3400</v>
      </c>
      <c r="L129" s="135">
        <f>K129/C129</f>
        <v>68</v>
      </c>
      <c r="M129" s="137">
        <f>C129*L129</f>
        <v>3400</v>
      </c>
      <c r="N129" s="144">
        <v>0</v>
      </c>
      <c r="O129" s="130">
        <f>M129*N129</f>
        <v>0</v>
      </c>
      <c r="P129" s="159">
        <v>40</v>
      </c>
      <c r="Q129" s="159">
        <v>4.4000000000000004</v>
      </c>
      <c r="R129" s="306">
        <f>(P129/0.4)*Q129</f>
        <v>440.00000000000006</v>
      </c>
    </row>
    <row r="130" spans="1:18" s="72" customFormat="1" ht="25.5" x14ac:dyDescent="0.2">
      <c r="A130" s="63"/>
      <c r="B130" s="175" t="s">
        <v>295</v>
      </c>
      <c r="C130" s="195">
        <v>221</v>
      </c>
      <c r="D130" s="75" t="s">
        <v>151</v>
      </c>
      <c r="E130" s="134">
        <v>0.4</v>
      </c>
      <c r="F130" s="134">
        <f>C130*E130</f>
        <v>88.4</v>
      </c>
      <c r="G130" s="134">
        <f>$H$11*E130</f>
        <v>20</v>
      </c>
      <c r="H130" s="135">
        <f>F130*$H$11</f>
        <v>4420</v>
      </c>
      <c r="I130" s="152">
        <v>16.579999999999998</v>
      </c>
      <c r="J130" s="135">
        <f>C130*I130</f>
        <v>3664.18</v>
      </c>
      <c r="K130" s="136">
        <f>SUM(H130,J130)</f>
        <v>8084.18</v>
      </c>
      <c r="L130" s="135">
        <f>K130/C130</f>
        <v>36.58</v>
      </c>
      <c r="M130" s="137">
        <f>C130*L130</f>
        <v>8084.1799999999994</v>
      </c>
      <c r="N130" s="144">
        <v>0</v>
      </c>
      <c r="O130" s="130">
        <f>M130*N130</f>
        <v>0</v>
      </c>
      <c r="P130" s="159">
        <v>50</v>
      </c>
      <c r="Q130" s="159">
        <v>4.4000000000000004</v>
      </c>
      <c r="R130" s="306">
        <f>(P130/0.4)*Q130</f>
        <v>550</v>
      </c>
    </row>
    <row r="131" spans="1:18" s="72" customFormat="1" ht="14.25" x14ac:dyDescent="0.2">
      <c r="A131" s="63"/>
      <c r="B131" s="175"/>
      <c r="C131" s="195"/>
      <c r="D131" s="75"/>
      <c r="E131" s="134"/>
      <c r="F131" s="134"/>
      <c r="G131" s="134"/>
      <c r="H131" s="135"/>
      <c r="I131" s="152"/>
      <c r="J131" s="135"/>
      <c r="K131" s="136"/>
      <c r="L131" s="135"/>
      <c r="M131" s="137"/>
      <c r="N131" s="144"/>
      <c r="O131" s="130"/>
      <c r="P131" s="159"/>
      <c r="Q131" s="159"/>
      <c r="R131" s="306"/>
    </row>
    <row r="132" spans="1:18" s="72" customFormat="1" ht="25.5" x14ac:dyDescent="0.2">
      <c r="A132" s="63"/>
      <c r="B132" s="655" t="s">
        <v>987</v>
      </c>
      <c r="C132" s="195">
        <v>-30</v>
      </c>
      <c r="D132" s="75" t="s">
        <v>116</v>
      </c>
      <c r="E132" s="134">
        <v>0.82</v>
      </c>
      <c r="F132" s="134">
        <f>C132*E132</f>
        <v>-24.599999999999998</v>
      </c>
      <c r="G132" s="134">
        <f>$H$11*E132</f>
        <v>41</v>
      </c>
      <c r="H132" s="135">
        <f>F132*$H$11</f>
        <v>-1230</v>
      </c>
      <c r="I132" s="152">
        <v>27</v>
      </c>
      <c r="J132" s="135">
        <f>C132*I132</f>
        <v>-810</v>
      </c>
      <c r="K132" s="136">
        <f>SUM(H132,J132)</f>
        <v>-2040</v>
      </c>
      <c r="L132" s="135">
        <f>K132/C132</f>
        <v>68</v>
      </c>
      <c r="M132" s="137">
        <f>C132*L132</f>
        <v>-2040</v>
      </c>
      <c r="N132" s="144">
        <v>0</v>
      </c>
      <c r="O132" s="130">
        <f>M132*N132</f>
        <v>0</v>
      </c>
      <c r="P132" s="159"/>
      <c r="Q132" s="159"/>
      <c r="R132" s="306"/>
    </row>
    <row r="133" spans="1:18" s="72" customFormat="1" ht="14.25" x14ac:dyDescent="0.2">
      <c r="A133" s="63"/>
      <c r="B133" s="175"/>
      <c r="C133" s="195"/>
      <c r="D133" s="75"/>
      <c r="E133" s="134"/>
      <c r="F133" s="134"/>
      <c r="G133" s="134"/>
      <c r="H133" s="135"/>
      <c r="I133" s="152"/>
      <c r="J133" s="135"/>
      <c r="K133" s="136"/>
      <c r="L133" s="135"/>
      <c r="M133" s="137"/>
      <c r="N133" s="144"/>
      <c r="O133" s="130"/>
      <c r="P133" s="159"/>
      <c r="Q133" s="159"/>
    </row>
    <row r="134" spans="1:18" s="72" customFormat="1" ht="25.5" x14ac:dyDescent="0.2">
      <c r="A134" s="63"/>
      <c r="B134" s="655" t="s">
        <v>286</v>
      </c>
      <c r="C134" s="195">
        <v>59</v>
      </c>
      <c r="D134" s="75" t="s">
        <v>151</v>
      </c>
      <c r="E134" s="134">
        <v>0.45</v>
      </c>
      <c r="F134" s="134">
        <f>C134*E134</f>
        <v>26.55</v>
      </c>
      <c r="G134" s="134">
        <f>$H$11*E134</f>
        <v>22.5</v>
      </c>
      <c r="H134" s="135">
        <f>F134*$H$11</f>
        <v>1327.5</v>
      </c>
      <c r="I134" s="152">
        <v>18.760000000000002</v>
      </c>
      <c r="J134" s="135">
        <f>C134*I134</f>
        <v>1106.8400000000001</v>
      </c>
      <c r="K134" s="136">
        <f>SUM(H134,J134)</f>
        <v>2434.34</v>
      </c>
      <c r="L134" s="135">
        <f>K134/C134</f>
        <v>41.260000000000005</v>
      </c>
      <c r="M134" s="137">
        <f>C134*L134</f>
        <v>2434.34</v>
      </c>
      <c r="N134" s="144">
        <v>0</v>
      </c>
      <c r="O134" s="130">
        <f>M134*N134</f>
        <v>0</v>
      </c>
      <c r="P134" s="159">
        <v>19</v>
      </c>
      <c r="Q134" s="660">
        <v>3.1</v>
      </c>
      <c r="R134" s="306">
        <f>(P134/0.4)*Q134</f>
        <v>147.25</v>
      </c>
    </row>
    <row r="135" spans="1:18" s="72" customFormat="1" ht="14.25" x14ac:dyDescent="0.2">
      <c r="A135" s="63"/>
      <c r="B135" s="175"/>
      <c r="C135" s="195"/>
      <c r="D135" s="75"/>
      <c r="E135" s="134"/>
      <c r="F135" s="134"/>
      <c r="G135" s="134"/>
      <c r="H135" s="135"/>
      <c r="I135" s="152"/>
      <c r="J135" s="135"/>
      <c r="K135" s="136"/>
      <c r="L135" s="135"/>
      <c r="M135" s="137"/>
      <c r="N135" s="144"/>
      <c r="O135" s="130"/>
      <c r="P135" s="159"/>
      <c r="Q135" s="159"/>
      <c r="R135" s="306"/>
    </row>
    <row r="136" spans="1:18" s="72" customFormat="1" ht="25.5" x14ac:dyDescent="0.2">
      <c r="A136" s="63"/>
      <c r="B136" s="655" t="s">
        <v>260</v>
      </c>
      <c r="C136" s="195">
        <v>11</v>
      </c>
      <c r="D136" s="75" t="s">
        <v>151</v>
      </c>
      <c r="E136" s="134">
        <v>0.45</v>
      </c>
      <c r="F136" s="134">
        <f>C136*E136</f>
        <v>4.95</v>
      </c>
      <c r="G136" s="134">
        <f>$H$11*E136</f>
        <v>22.5</v>
      </c>
      <c r="H136" s="135">
        <f>F136*$H$11</f>
        <v>247.5</v>
      </c>
      <c r="I136" s="152">
        <v>20.8</v>
      </c>
      <c r="J136" s="135">
        <f>C136*I136</f>
        <v>228.8</v>
      </c>
      <c r="K136" s="136">
        <f>SUM(H136,J136)</f>
        <v>476.3</v>
      </c>
      <c r="L136" s="135">
        <f>K136/C136</f>
        <v>43.300000000000004</v>
      </c>
      <c r="M136" s="137">
        <f>C136*L136</f>
        <v>476.30000000000007</v>
      </c>
      <c r="N136" s="144">
        <v>0</v>
      </c>
      <c r="O136" s="130">
        <f>M136*N136</f>
        <v>0</v>
      </c>
      <c r="P136" s="159">
        <v>3</v>
      </c>
      <c r="Q136" s="660">
        <v>3.1</v>
      </c>
      <c r="R136" s="306">
        <f>(P136/0.4)*Q136</f>
        <v>23.25</v>
      </c>
    </row>
    <row r="137" spans="1:18" s="72" customFormat="1" ht="14.25" x14ac:dyDescent="0.2">
      <c r="A137" s="63"/>
      <c r="B137" s="143" t="s">
        <v>259</v>
      </c>
      <c r="C137" s="195">
        <v>3</v>
      </c>
      <c r="D137" s="75" t="s">
        <v>116</v>
      </c>
      <c r="E137" s="134">
        <v>0.25</v>
      </c>
      <c r="F137" s="134">
        <f>C137*E137</f>
        <v>0.75</v>
      </c>
      <c r="G137" s="134">
        <f>$H$11*E137</f>
        <v>12.5</v>
      </c>
      <c r="H137" s="135">
        <f>F137*$H$11</f>
        <v>37.5</v>
      </c>
      <c r="I137" s="152">
        <v>23.84</v>
      </c>
      <c r="J137" s="135">
        <f>C137*I137</f>
        <v>71.52</v>
      </c>
      <c r="K137" s="136">
        <f>SUM(H137,J137)</f>
        <v>109.02</v>
      </c>
      <c r="L137" s="135">
        <f>K137/C137</f>
        <v>36.339999999999996</v>
      </c>
      <c r="M137" s="137">
        <f>C137*L137</f>
        <v>109.01999999999998</v>
      </c>
      <c r="N137" s="144">
        <v>0</v>
      </c>
      <c r="O137" s="130">
        <f>M137*N137</f>
        <v>0</v>
      </c>
      <c r="P137" s="159"/>
      <c r="Q137" s="159"/>
    </row>
    <row r="138" spans="1:18" s="72" customFormat="1" ht="14.25" x14ac:dyDescent="0.2">
      <c r="A138" s="63"/>
      <c r="B138" s="143" t="s">
        <v>257</v>
      </c>
      <c r="C138" s="607">
        <v>3</v>
      </c>
      <c r="D138" s="75" t="s">
        <v>116</v>
      </c>
      <c r="E138" s="134">
        <v>0.15</v>
      </c>
      <c r="F138" s="134">
        <f>C138*E138</f>
        <v>0.44999999999999996</v>
      </c>
      <c r="G138" s="134">
        <f>$H$11*E138</f>
        <v>7.5</v>
      </c>
      <c r="H138" s="135">
        <f>F138*$H$11</f>
        <v>22.499999999999996</v>
      </c>
      <c r="I138" s="152">
        <v>3.5</v>
      </c>
      <c r="J138" s="135">
        <f>C138*I138</f>
        <v>10.5</v>
      </c>
      <c r="K138" s="136">
        <f>SUM(H138,J138)</f>
        <v>33</v>
      </c>
      <c r="L138" s="135">
        <f>K138/C138</f>
        <v>11</v>
      </c>
      <c r="M138" s="137">
        <f>C138*L138</f>
        <v>33</v>
      </c>
      <c r="N138" s="144">
        <v>0</v>
      </c>
      <c r="O138" s="130">
        <f>M138*N138</f>
        <v>0</v>
      </c>
      <c r="P138" s="159"/>
      <c r="Q138" s="159"/>
    </row>
    <row r="139" spans="1:18" s="72" customFormat="1" ht="14.25" x14ac:dyDescent="0.2">
      <c r="A139" s="63"/>
      <c r="B139" s="143"/>
      <c r="C139" s="607"/>
      <c r="D139" s="75"/>
      <c r="E139" s="134"/>
      <c r="F139" s="134"/>
      <c r="G139" s="134"/>
      <c r="H139" s="135"/>
      <c r="I139" s="152"/>
      <c r="J139" s="135"/>
      <c r="K139" s="136"/>
      <c r="L139" s="135"/>
      <c r="M139" s="137"/>
      <c r="N139" s="144"/>
      <c r="O139" s="130"/>
      <c r="P139" s="159"/>
      <c r="Q139" s="159"/>
    </row>
    <row r="140" spans="1:18" s="72" customFormat="1" ht="25.5" x14ac:dyDescent="0.2">
      <c r="A140" s="63"/>
      <c r="B140" s="655" t="s">
        <v>288</v>
      </c>
      <c r="C140" s="195">
        <v>14</v>
      </c>
      <c r="D140" s="75" t="s">
        <v>151</v>
      </c>
      <c r="E140" s="134">
        <v>0.4</v>
      </c>
      <c r="F140" s="134">
        <f>C140*E140</f>
        <v>5.6000000000000005</v>
      </c>
      <c r="G140" s="134">
        <f>$H$11*E140</f>
        <v>20</v>
      </c>
      <c r="H140" s="135">
        <f>F140*$H$11</f>
        <v>280</v>
      </c>
      <c r="I140" s="152">
        <v>19.89</v>
      </c>
      <c r="J140" s="135">
        <f>C140*I140</f>
        <v>278.46000000000004</v>
      </c>
      <c r="K140" s="136">
        <f>SUM(H140,J140)</f>
        <v>558.46</v>
      </c>
      <c r="L140" s="135">
        <f>K140/C140</f>
        <v>39.89</v>
      </c>
      <c r="M140" s="137">
        <f>C140*L140</f>
        <v>558.46</v>
      </c>
      <c r="N140" s="144">
        <v>0</v>
      </c>
      <c r="O140" s="130">
        <f>M140*N140</f>
        <v>0</v>
      </c>
      <c r="P140" s="159">
        <v>4</v>
      </c>
      <c r="Q140" s="159">
        <v>3.1</v>
      </c>
      <c r="R140" s="306">
        <f>(P140/0.4)*Q140</f>
        <v>31</v>
      </c>
    </row>
    <row r="141" spans="1:18" s="72" customFormat="1" ht="14.25" x14ac:dyDescent="0.2">
      <c r="A141" s="63"/>
      <c r="B141" s="175"/>
      <c r="C141" s="195"/>
      <c r="D141" s="75"/>
      <c r="E141" s="134"/>
      <c r="F141" s="134"/>
      <c r="G141" s="134"/>
      <c r="H141" s="135"/>
      <c r="I141" s="152"/>
      <c r="J141" s="135"/>
      <c r="K141" s="136"/>
      <c r="L141" s="135"/>
      <c r="M141" s="137"/>
      <c r="N141" s="144"/>
      <c r="O141" s="130"/>
      <c r="P141" s="159"/>
      <c r="Q141" s="159"/>
      <c r="R141" s="306"/>
    </row>
    <row r="142" spans="1:18" s="72" customFormat="1" ht="25.5" x14ac:dyDescent="0.2">
      <c r="A142" s="63"/>
      <c r="B142" s="655" t="s">
        <v>287</v>
      </c>
      <c r="C142" s="195">
        <v>8</v>
      </c>
      <c r="D142" s="75" t="s">
        <v>151</v>
      </c>
      <c r="E142" s="134">
        <v>0.45</v>
      </c>
      <c r="F142" s="134">
        <f>C142*E142</f>
        <v>3.6</v>
      </c>
      <c r="G142" s="134">
        <f>$H$11*E142</f>
        <v>22.5</v>
      </c>
      <c r="H142" s="135">
        <f>F142*$H$11</f>
        <v>180</v>
      </c>
      <c r="I142" s="152">
        <v>21.75</v>
      </c>
      <c r="J142" s="135">
        <f>C142*I142</f>
        <v>174</v>
      </c>
      <c r="K142" s="136">
        <f>SUM(H142,J142)</f>
        <v>354</v>
      </c>
      <c r="L142" s="135">
        <f>K142/C142</f>
        <v>44.25</v>
      </c>
      <c r="M142" s="137">
        <f>C142*L142</f>
        <v>354</v>
      </c>
      <c r="N142" s="144">
        <v>0</v>
      </c>
      <c r="O142" s="130">
        <f>M142*N142</f>
        <v>0</v>
      </c>
      <c r="P142" s="159">
        <v>2</v>
      </c>
      <c r="Q142" s="159">
        <v>3.1</v>
      </c>
      <c r="R142" s="306">
        <f>(P142/0.4)*Q142</f>
        <v>15.5</v>
      </c>
    </row>
    <row r="143" spans="1:18" s="72" customFormat="1" ht="14.25" x14ac:dyDescent="0.2">
      <c r="A143" s="63"/>
      <c r="B143" s="143" t="s">
        <v>259</v>
      </c>
      <c r="C143" s="195">
        <v>2</v>
      </c>
      <c r="D143" s="75" t="s">
        <v>116</v>
      </c>
      <c r="E143" s="134">
        <v>0.25</v>
      </c>
      <c r="F143" s="134">
        <f>C143*E143</f>
        <v>0.5</v>
      </c>
      <c r="G143" s="134">
        <f>$H$11*E143</f>
        <v>12.5</v>
      </c>
      <c r="H143" s="135">
        <f>F143*$H$11</f>
        <v>25</v>
      </c>
      <c r="I143" s="152">
        <v>23.84</v>
      </c>
      <c r="J143" s="135">
        <f>C143*I143</f>
        <v>47.68</v>
      </c>
      <c r="K143" s="136">
        <f>SUM(H143,J143)</f>
        <v>72.680000000000007</v>
      </c>
      <c r="L143" s="135">
        <f>K143/C143</f>
        <v>36.340000000000003</v>
      </c>
      <c r="M143" s="137">
        <f>C143*L143</f>
        <v>72.680000000000007</v>
      </c>
      <c r="N143" s="144">
        <v>0</v>
      </c>
      <c r="O143" s="130">
        <f>M143*N143</f>
        <v>0</v>
      </c>
      <c r="P143" s="159"/>
      <c r="Q143" s="159"/>
    </row>
    <row r="144" spans="1:18" s="72" customFormat="1" ht="14.25" x14ac:dyDescent="0.2">
      <c r="A144" s="63"/>
      <c r="B144" s="143" t="s">
        <v>257</v>
      </c>
      <c r="C144" s="607">
        <v>2</v>
      </c>
      <c r="D144" s="75" t="s">
        <v>116</v>
      </c>
      <c r="E144" s="134">
        <v>0.15</v>
      </c>
      <c r="F144" s="134">
        <f>C144*E144</f>
        <v>0.3</v>
      </c>
      <c r="G144" s="134">
        <f>$H$11*E144</f>
        <v>7.5</v>
      </c>
      <c r="H144" s="135">
        <f>F144*$H$11</f>
        <v>15</v>
      </c>
      <c r="I144" s="152">
        <v>3.5</v>
      </c>
      <c r="J144" s="135">
        <f>C144*I144</f>
        <v>7</v>
      </c>
      <c r="K144" s="136">
        <f>SUM(H144,J144)</f>
        <v>22</v>
      </c>
      <c r="L144" s="135">
        <f>K144/C144</f>
        <v>11</v>
      </c>
      <c r="M144" s="137">
        <f>C144*L144</f>
        <v>22</v>
      </c>
      <c r="N144" s="144">
        <v>0</v>
      </c>
      <c r="O144" s="130">
        <f>M144*N144</f>
        <v>0</v>
      </c>
      <c r="P144" s="159"/>
      <c r="Q144" s="159"/>
    </row>
    <row r="145" spans="1:17" s="72" customFormat="1" ht="14.25" x14ac:dyDescent="0.2">
      <c r="A145" s="63"/>
      <c r="B145" s="143"/>
      <c r="C145" s="607"/>
      <c r="D145" s="75"/>
      <c r="E145" s="134"/>
      <c r="F145" s="134"/>
      <c r="G145" s="134"/>
      <c r="H145" s="135"/>
      <c r="I145" s="152"/>
      <c r="J145" s="135"/>
      <c r="K145" s="136"/>
      <c r="L145" s="135"/>
      <c r="M145" s="137"/>
      <c r="N145" s="144"/>
      <c r="O145" s="130"/>
      <c r="P145" s="159"/>
      <c r="Q145" s="159"/>
    </row>
    <row r="146" spans="1:17" s="72" customFormat="1" ht="25.5" x14ac:dyDescent="0.2">
      <c r="A146" s="63"/>
      <c r="B146" s="655" t="s">
        <v>996</v>
      </c>
      <c r="C146" s="607">
        <v>-2</v>
      </c>
      <c r="D146" s="75" t="s">
        <v>116</v>
      </c>
      <c r="E146" s="134">
        <v>0.25</v>
      </c>
      <c r="F146" s="134">
        <f>C146*E146</f>
        <v>-0.5</v>
      </c>
      <c r="G146" s="134">
        <f>$H$11*E146</f>
        <v>12.5</v>
      </c>
      <c r="H146" s="135">
        <f>F146*$H$11</f>
        <v>-25</v>
      </c>
      <c r="I146" s="152">
        <v>23.84</v>
      </c>
      <c r="J146" s="135">
        <f>C146*I146</f>
        <v>-47.68</v>
      </c>
      <c r="K146" s="136">
        <f>SUM(H146,J146)</f>
        <v>-72.680000000000007</v>
      </c>
      <c r="L146" s="135">
        <f>K146/C146</f>
        <v>36.340000000000003</v>
      </c>
      <c r="M146" s="137">
        <f>C146*L146</f>
        <v>-72.680000000000007</v>
      </c>
      <c r="N146" s="144">
        <v>0</v>
      </c>
      <c r="O146" s="130">
        <f>M146*N146</f>
        <v>0</v>
      </c>
      <c r="P146" s="159"/>
      <c r="Q146" s="159"/>
    </row>
    <row r="147" spans="1:17" s="72" customFormat="1" ht="25.5" x14ac:dyDescent="0.2">
      <c r="A147" s="63"/>
      <c r="B147" s="655" t="s">
        <v>997</v>
      </c>
      <c r="C147" s="607">
        <v>-2</v>
      </c>
      <c r="D147" s="75" t="s">
        <v>116</v>
      </c>
      <c r="E147" s="134">
        <v>0.15</v>
      </c>
      <c r="F147" s="134">
        <f>C147*E147</f>
        <v>-0.3</v>
      </c>
      <c r="G147" s="134">
        <f>$H$11*E147</f>
        <v>7.5</v>
      </c>
      <c r="H147" s="135">
        <f>F147*$H$11</f>
        <v>-15</v>
      </c>
      <c r="I147" s="152">
        <v>3.5</v>
      </c>
      <c r="J147" s="135">
        <f>C147*I147</f>
        <v>-7</v>
      </c>
      <c r="K147" s="136">
        <f>SUM(H147,J147)</f>
        <v>-22</v>
      </c>
      <c r="L147" s="135">
        <f>K147/C147</f>
        <v>11</v>
      </c>
      <c r="M147" s="137">
        <f>C147*L147</f>
        <v>-22</v>
      </c>
      <c r="N147" s="144">
        <v>0</v>
      </c>
      <c r="O147" s="130">
        <f>M147*N147</f>
        <v>0</v>
      </c>
      <c r="P147" s="159"/>
      <c r="Q147" s="159"/>
    </row>
    <row r="148" spans="1:17" s="72" customFormat="1" ht="14.25" x14ac:dyDescent="0.2">
      <c r="A148" s="63"/>
      <c r="B148" s="175"/>
      <c r="C148" s="195"/>
      <c r="D148" s="75"/>
      <c r="E148" s="134"/>
      <c r="F148" s="134"/>
      <c r="G148" s="134"/>
      <c r="H148" s="135"/>
      <c r="I148" s="152"/>
      <c r="J148" s="135"/>
      <c r="K148" s="136"/>
      <c r="L148" s="135"/>
      <c r="M148" s="137"/>
      <c r="N148" s="144"/>
      <c r="O148" s="130"/>
      <c r="P148" s="159"/>
      <c r="Q148" s="159"/>
    </row>
    <row r="149" spans="1:17" s="72" customFormat="1" ht="28.5" customHeight="1" x14ac:dyDescent="0.2">
      <c r="A149" s="63"/>
      <c r="B149" s="175" t="s">
        <v>343</v>
      </c>
      <c r="C149" s="195">
        <v>31</v>
      </c>
      <c r="D149" s="75" t="s">
        <v>151</v>
      </c>
      <c r="E149" s="134">
        <v>0.7</v>
      </c>
      <c r="F149" s="134">
        <f>C149*E149</f>
        <v>21.7</v>
      </c>
      <c r="G149" s="134">
        <f>$H$11*E149</f>
        <v>35</v>
      </c>
      <c r="H149" s="135">
        <f>F149*$H$11</f>
        <v>1085</v>
      </c>
      <c r="I149" s="152">
        <v>32.6</v>
      </c>
      <c r="J149" s="135">
        <f>C149*I149</f>
        <v>1010.6</v>
      </c>
      <c r="K149" s="136">
        <f>SUM(H149,J149)</f>
        <v>2095.6</v>
      </c>
      <c r="L149" s="135">
        <f>K149/C149</f>
        <v>67.599999999999994</v>
      </c>
      <c r="M149" s="137">
        <f>C149*L149</f>
        <v>2095.6</v>
      </c>
      <c r="N149" s="144">
        <v>0</v>
      </c>
      <c r="O149" s="130">
        <f>M149*N149</f>
        <v>0</v>
      </c>
      <c r="P149" s="159"/>
      <c r="Q149" s="159"/>
    </row>
    <row r="150" spans="1:17" s="72" customFormat="1" ht="14.25" x14ac:dyDescent="0.2">
      <c r="A150" s="63"/>
      <c r="B150" s="143"/>
      <c r="C150" s="64"/>
      <c r="D150" s="75"/>
      <c r="E150" s="134"/>
      <c r="F150" s="134"/>
      <c r="G150" s="134"/>
      <c r="H150" s="135"/>
      <c r="I150" s="152"/>
      <c r="J150" s="135"/>
      <c r="K150" s="136"/>
      <c r="L150" s="135"/>
      <c r="M150" s="137"/>
      <c r="N150" s="144"/>
      <c r="O150" s="130"/>
      <c r="P150" s="159"/>
      <c r="Q150" s="159"/>
    </row>
    <row r="151" spans="1:17" s="72" customFormat="1" ht="14.25" x14ac:dyDescent="0.2">
      <c r="A151" s="63"/>
      <c r="B151" s="316" t="s">
        <v>378</v>
      </c>
      <c r="C151" s="64">
        <v>6</v>
      </c>
      <c r="D151" s="75" t="s">
        <v>148</v>
      </c>
      <c r="E151" s="134">
        <v>1</v>
      </c>
      <c r="F151" s="134">
        <f>C151*E151</f>
        <v>6</v>
      </c>
      <c r="G151" s="134">
        <f>$H$11*E151</f>
        <v>50</v>
      </c>
      <c r="H151" s="135">
        <f>F151*$H$11</f>
        <v>300</v>
      </c>
      <c r="I151" s="152">
        <v>87.07</v>
      </c>
      <c r="J151" s="135">
        <f>C151*I151</f>
        <v>522.41999999999996</v>
      </c>
      <c r="K151" s="136">
        <f>SUM(H151,J151)</f>
        <v>822.42</v>
      </c>
      <c r="L151" s="135">
        <f>K151/C151</f>
        <v>137.07</v>
      </c>
      <c r="M151" s="137">
        <f>C151*L151</f>
        <v>822.42</v>
      </c>
      <c r="N151" s="144">
        <v>0</v>
      </c>
      <c r="O151" s="130">
        <f>M151*N151</f>
        <v>0</v>
      </c>
      <c r="P151" s="159"/>
      <c r="Q151" s="159"/>
    </row>
    <row r="152" spans="1:17" s="72" customFormat="1" ht="14.25" x14ac:dyDescent="0.2">
      <c r="A152" s="63"/>
      <c r="B152" s="143"/>
      <c r="C152" s="64"/>
      <c r="D152" s="75"/>
      <c r="E152" s="134"/>
      <c r="F152" s="134"/>
      <c r="G152" s="134"/>
      <c r="H152" s="135"/>
      <c r="I152" s="152"/>
      <c r="J152" s="135"/>
      <c r="K152" s="136"/>
      <c r="L152" s="135"/>
      <c r="M152" s="137"/>
      <c r="N152" s="144"/>
      <c r="O152" s="130"/>
      <c r="P152" s="159"/>
      <c r="Q152" s="159"/>
    </row>
    <row r="153" spans="1:17" s="72" customFormat="1" ht="14.25" x14ac:dyDescent="0.2">
      <c r="A153" s="63"/>
      <c r="B153" s="316" t="s">
        <v>336</v>
      </c>
      <c r="C153" s="64">
        <v>448</v>
      </c>
      <c r="D153" s="75" t="s">
        <v>116</v>
      </c>
      <c r="E153" s="134">
        <v>0.09</v>
      </c>
      <c r="F153" s="134">
        <f>C153*E153</f>
        <v>40.32</v>
      </c>
      <c r="G153" s="134">
        <f>$H$11*E153</f>
        <v>4.5</v>
      </c>
      <c r="H153" s="135">
        <f>F153*$H$11</f>
        <v>2016</v>
      </c>
      <c r="I153" s="152">
        <v>5.61</v>
      </c>
      <c r="J153" s="135">
        <f>C153*I153</f>
        <v>2513.2800000000002</v>
      </c>
      <c r="K153" s="136">
        <f>SUM(H153,J153)</f>
        <v>4529.2800000000007</v>
      </c>
      <c r="L153" s="135">
        <f>K153/C153</f>
        <v>10.110000000000001</v>
      </c>
      <c r="M153" s="137">
        <f>C153*L153</f>
        <v>4529.2800000000007</v>
      </c>
      <c r="N153" s="144">
        <v>0</v>
      </c>
      <c r="O153" s="130">
        <f>M153*N153</f>
        <v>0</v>
      </c>
      <c r="P153" s="159"/>
      <c r="Q153" s="159"/>
    </row>
    <row r="154" spans="1:17" s="72" customFormat="1" ht="14.25" x14ac:dyDescent="0.2">
      <c r="A154" s="63"/>
      <c r="B154" s="242" t="s">
        <v>755</v>
      </c>
      <c r="C154" s="64">
        <v>10</v>
      </c>
      <c r="D154" s="75" t="s">
        <v>75</v>
      </c>
      <c r="E154" s="134">
        <v>1.5</v>
      </c>
      <c r="F154" s="134">
        <f>C154*E154</f>
        <v>15</v>
      </c>
      <c r="G154" s="134">
        <f>$H$11*E154</f>
        <v>75</v>
      </c>
      <c r="H154" s="135">
        <f>F154*$H$11</f>
        <v>750</v>
      </c>
      <c r="I154" s="152">
        <v>139</v>
      </c>
      <c r="J154" s="135">
        <f>C154*I154</f>
        <v>1390</v>
      </c>
      <c r="K154" s="136">
        <f>SUM(H154,J154)</f>
        <v>2140</v>
      </c>
      <c r="L154" s="135">
        <f>K154/C154</f>
        <v>214</v>
      </c>
      <c r="M154" s="137">
        <f>C154*L154</f>
        <v>2140</v>
      </c>
      <c r="N154" s="144">
        <v>0</v>
      </c>
      <c r="O154" s="130">
        <f>M154*N154</f>
        <v>0</v>
      </c>
      <c r="P154" s="159"/>
      <c r="Q154" s="159"/>
    </row>
    <row r="155" spans="1:17" s="72" customFormat="1" ht="14.25" x14ac:dyDescent="0.2">
      <c r="A155" s="63"/>
      <c r="B155" s="242" t="s">
        <v>756</v>
      </c>
      <c r="C155" s="192" t="s">
        <v>149</v>
      </c>
      <c r="D155" s="75"/>
      <c r="E155" s="134"/>
      <c r="F155" s="134"/>
      <c r="G155" s="134"/>
      <c r="H155" s="135"/>
      <c r="I155" s="152"/>
      <c r="J155" s="135"/>
      <c r="K155" s="136"/>
      <c r="L155" s="135"/>
      <c r="M155" s="137"/>
      <c r="N155" s="144"/>
      <c r="O155" s="130"/>
      <c r="P155" s="159"/>
      <c r="Q155" s="159"/>
    </row>
    <row r="156" spans="1:17" s="72" customFormat="1" ht="14.25" x14ac:dyDescent="0.2">
      <c r="A156" s="63"/>
      <c r="B156" s="242" t="s">
        <v>937</v>
      </c>
      <c r="C156" s="195">
        <v>120</v>
      </c>
      <c r="D156" s="75" t="s">
        <v>116</v>
      </c>
      <c r="E156" s="134">
        <v>0.1</v>
      </c>
      <c r="F156" s="134">
        <f>C156*E156</f>
        <v>12</v>
      </c>
      <c r="G156" s="134">
        <f>$H$11*E156</f>
        <v>5</v>
      </c>
      <c r="H156" s="135">
        <f>F156*$H$11</f>
        <v>600</v>
      </c>
      <c r="I156" s="152">
        <v>10.1</v>
      </c>
      <c r="J156" s="135">
        <f>C156*I156</f>
        <v>1212</v>
      </c>
      <c r="K156" s="136">
        <f>SUM(H156,J156)</f>
        <v>1812</v>
      </c>
      <c r="L156" s="135">
        <f>K156/C156</f>
        <v>15.1</v>
      </c>
      <c r="M156" s="137">
        <f>C156*L156</f>
        <v>1812</v>
      </c>
      <c r="N156" s="144">
        <v>0</v>
      </c>
      <c r="O156" s="130">
        <f>M156*N156</f>
        <v>0</v>
      </c>
      <c r="P156" s="159"/>
      <c r="Q156" s="159"/>
    </row>
    <row r="157" spans="1:17" s="72" customFormat="1" ht="14.25" x14ac:dyDescent="0.2">
      <c r="A157" s="63"/>
      <c r="B157" s="242"/>
      <c r="C157" s="192"/>
      <c r="D157" s="75"/>
      <c r="E157" s="134"/>
      <c r="F157" s="134"/>
      <c r="G157" s="134"/>
      <c r="H157" s="135"/>
      <c r="I157" s="152"/>
      <c r="J157" s="135"/>
      <c r="K157" s="136"/>
      <c r="L157" s="135"/>
      <c r="M157" s="137"/>
      <c r="N157" s="144"/>
      <c r="O157" s="130"/>
      <c r="P157" s="159"/>
      <c r="Q157" s="159"/>
    </row>
    <row r="158" spans="1:17" s="72" customFormat="1" ht="14.25" x14ac:dyDescent="0.2">
      <c r="A158" s="63"/>
      <c r="B158" s="143" t="s">
        <v>954</v>
      </c>
      <c r="C158" s="64">
        <v>15</v>
      </c>
      <c r="D158" s="75" t="s">
        <v>148</v>
      </c>
      <c r="E158" s="134">
        <v>2.5</v>
      </c>
      <c r="F158" s="134">
        <f>C158*E158</f>
        <v>37.5</v>
      </c>
      <c r="G158" s="134">
        <f>$H$11*E158</f>
        <v>125</v>
      </c>
      <c r="H158" s="135">
        <f>F158*$H$11</f>
        <v>1875</v>
      </c>
      <c r="I158" s="152">
        <v>175</v>
      </c>
      <c r="J158" s="135">
        <f>C158*I158</f>
        <v>2625</v>
      </c>
      <c r="K158" s="136">
        <f>SUM(H158,J158)</f>
        <v>4500</v>
      </c>
      <c r="L158" s="135">
        <f>K158/C158</f>
        <v>300</v>
      </c>
      <c r="M158" s="137">
        <f>C158*L158</f>
        <v>4500</v>
      </c>
      <c r="N158" s="144">
        <v>0</v>
      </c>
      <c r="O158" s="130">
        <f>M158*N158</f>
        <v>0</v>
      </c>
      <c r="P158" s="159"/>
      <c r="Q158" s="159"/>
    </row>
    <row r="159" spans="1:17" s="72" customFormat="1" ht="14.25" x14ac:dyDescent="0.2">
      <c r="A159" s="63"/>
      <c r="B159" s="143" t="s">
        <v>953</v>
      </c>
      <c r="C159" s="64">
        <v>2</v>
      </c>
      <c r="D159" s="75" t="s">
        <v>148</v>
      </c>
      <c r="E159" s="134">
        <v>2.5</v>
      </c>
      <c r="F159" s="134">
        <f>C159*E159</f>
        <v>5</v>
      </c>
      <c r="G159" s="134">
        <f>$H$11*E159</f>
        <v>125</v>
      </c>
      <c r="H159" s="135">
        <f>F159*$H$11</f>
        <v>250</v>
      </c>
      <c r="I159" s="152">
        <v>1500</v>
      </c>
      <c r="J159" s="135">
        <f>C159*I159</f>
        <v>3000</v>
      </c>
      <c r="K159" s="136">
        <f>SUM(H159,J159)</f>
        <v>3250</v>
      </c>
      <c r="L159" s="135">
        <f>K159/C159</f>
        <v>1625</v>
      </c>
      <c r="M159" s="137">
        <f>C159*L159</f>
        <v>3250</v>
      </c>
      <c r="N159" s="144">
        <v>0</v>
      </c>
      <c r="O159" s="130">
        <f>M159*N159</f>
        <v>0</v>
      </c>
      <c r="P159" s="159"/>
      <c r="Q159" s="159"/>
    </row>
    <row r="160" spans="1:17" ht="23.25" customHeight="1" x14ac:dyDescent="0.2">
      <c r="A160" s="63"/>
      <c r="B160" s="132"/>
      <c r="C160" s="138"/>
      <c r="D160" s="142"/>
      <c r="E160" s="133"/>
      <c r="F160" s="134"/>
      <c r="G160" s="134"/>
      <c r="H160" s="135"/>
      <c r="I160" s="135"/>
      <c r="J160" s="135"/>
      <c r="K160" s="136"/>
      <c r="L160" s="135"/>
      <c r="M160" s="137"/>
      <c r="N160" s="131"/>
      <c r="O160" s="130"/>
      <c r="P160" s="60"/>
      <c r="Q160" s="59"/>
    </row>
    <row r="161" spans="1:17" ht="24" customHeight="1" x14ac:dyDescent="0.2">
      <c r="A161" s="30"/>
      <c r="B161" s="31"/>
      <c r="C161" s="32"/>
      <c r="D161" s="33"/>
      <c r="E161" s="33"/>
      <c r="F161" s="33">
        <f>SUM(F13:F160)</f>
        <v>1271.9552500000002</v>
      </c>
      <c r="G161" s="33"/>
      <c r="H161" s="86">
        <f>SUM(H13:H160)</f>
        <v>63597.762499999997</v>
      </c>
      <c r="I161" s="33"/>
      <c r="J161" s="78">
        <f>SUM(J13:J160)</f>
        <v>69529.21027625</v>
      </c>
      <c r="K161" s="33"/>
      <c r="L161" s="33"/>
      <c r="M161" s="68"/>
      <c r="N161" s="94"/>
      <c r="O161" s="104"/>
      <c r="P161" s="60"/>
      <c r="Q161" s="59"/>
    </row>
    <row r="162" spans="1:17" ht="15" customHeight="1" x14ac:dyDescent="0.2">
      <c r="A162" s="15"/>
      <c r="B162" s="28" t="s">
        <v>16</v>
      </c>
      <c r="C162" s="24"/>
      <c r="D162" s="25"/>
      <c r="E162" s="25"/>
      <c r="F162" s="25"/>
      <c r="G162" s="25"/>
      <c r="H162" s="25"/>
      <c r="I162" s="25"/>
      <c r="J162" s="25"/>
      <c r="K162" s="25"/>
      <c r="L162" s="25"/>
      <c r="M162" s="26">
        <f>SUM(M13:M160)</f>
        <v>133126.97277625001</v>
      </c>
      <c r="N162" s="100"/>
      <c r="O162" s="103">
        <f>SUM(O13:O160)</f>
        <v>0</v>
      </c>
      <c r="P162" s="60"/>
      <c r="Q162" s="65"/>
    </row>
    <row r="163" spans="1:17" x14ac:dyDescent="0.2">
      <c r="A163" s="13"/>
      <c r="B163" s="35" t="s">
        <v>12</v>
      </c>
      <c r="C163" s="24"/>
      <c r="D163" s="36"/>
      <c r="E163" s="36"/>
      <c r="F163" s="36"/>
      <c r="G163" s="36"/>
      <c r="H163" s="36"/>
      <c r="I163" s="36"/>
      <c r="J163" s="36"/>
      <c r="K163" s="36"/>
      <c r="L163" s="36"/>
      <c r="M163" s="26"/>
      <c r="N163" s="100"/>
      <c r="O163" s="103"/>
      <c r="P163" s="60"/>
      <c r="Q163" s="65"/>
    </row>
    <row r="164" spans="1:17" ht="24" customHeight="1" x14ac:dyDescent="0.2">
      <c r="A164" s="13"/>
      <c r="B164" s="37"/>
      <c r="C164" s="24"/>
      <c r="D164" s="36"/>
      <c r="E164" s="36"/>
      <c r="F164" s="36"/>
      <c r="G164" s="36"/>
      <c r="H164" s="36"/>
      <c r="I164" s="36"/>
      <c r="J164" s="36"/>
      <c r="K164" s="36"/>
      <c r="L164" s="36"/>
      <c r="M164" s="26"/>
      <c r="N164" s="100"/>
      <c r="O164" s="103"/>
      <c r="P164" s="60"/>
      <c r="Q164" s="59"/>
    </row>
    <row r="165" spans="1:17" ht="18.75" customHeight="1" x14ac:dyDescent="0.2">
      <c r="A165" s="15"/>
      <c r="B165" s="13" t="s">
        <v>8</v>
      </c>
      <c r="C165" s="24"/>
      <c r="D165" s="36" t="s">
        <v>5</v>
      </c>
      <c r="E165" s="36"/>
      <c r="F165" s="36"/>
      <c r="G165" s="36"/>
      <c r="H165" s="36"/>
      <c r="I165" s="36"/>
      <c r="J165" s="36"/>
      <c r="K165" s="36"/>
      <c r="L165" s="609">
        <v>2.1000000000000001E-2</v>
      </c>
      <c r="M165" s="84">
        <f>M162*L165</f>
        <v>2795.6664283012506</v>
      </c>
      <c r="N165" s="100"/>
      <c r="O165" s="103">
        <f>(O162/M162)*M165</f>
        <v>0</v>
      </c>
    </row>
    <row r="166" spans="1:17" ht="18.75" customHeight="1" x14ac:dyDescent="0.2">
      <c r="A166" s="38"/>
      <c r="B166" s="13"/>
      <c r="C166" s="24"/>
      <c r="D166" s="36"/>
      <c r="E166" s="36"/>
      <c r="F166" s="36"/>
      <c r="G166" s="36"/>
      <c r="H166" s="36"/>
      <c r="I166" s="36"/>
      <c r="J166" s="36"/>
      <c r="K166" s="36"/>
      <c r="L166" s="36"/>
      <c r="M166" s="26"/>
      <c r="N166" s="100"/>
      <c r="O166" s="103"/>
    </row>
    <row r="167" spans="1:17" s="42" customFormat="1" x14ac:dyDescent="0.2">
      <c r="A167" s="15"/>
      <c r="B167" s="39" t="s">
        <v>9</v>
      </c>
      <c r="C167" s="40"/>
      <c r="D167" s="41" t="s">
        <v>5</v>
      </c>
      <c r="E167" s="41"/>
      <c r="F167" s="41"/>
      <c r="G167" s="41"/>
      <c r="H167" s="41"/>
      <c r="I167" s="41"/>
      <c r="J167" s="41"/>
      <c r="K167" s="41"/>
      <c r="L167" s="79">
        <v>0.01</v>
      </c>
      <c r="M167" s="34">
        <f>M162*L167</f>
        <v>1331.2697277625002</v>
      </c>
      <c r="N167" s="100"/>
      <c r="O167" s="103">
        <f>(O162/M162)*M167</f>
        <v>0</v>
      </c>
    </row>
    <row r="168" spans="1:17" s="42" customFormat="1" x14ac:dyDescent="0.2">
      <c r="A168" s="15"/>
      <c r="B168" s="39"/>
      <c r="C168" s="40"/>
      <c r="D168" s="41"/>
      <c r="E168" s="41"/>
      <c r="F168" s="41"/>
      <c r="G168" s="41"/>
      <c r="H168" s="41"/>
      <c r="I168" s="41"/>
      <c r="J168" s="41"/>
      <c r="K168" s="41"/>
      <c r="L168" s="41"/>
      <c r="M168" s="34"/>
      <c r="N168" s="100"/>
      <c r="O168" s="103"/>
    </row>
    <row r="169" spans="1:17" s="42" customFormat="1" x14ac:dyDescent="0.2">
      <c r="A169" s="15"/>
      <c r="B169" s="39" t="s">
        <v>10</v>
      </c>
      <c r="C169" s="40"/>
      <c r="D169" s="41" t="s">
        <v>5</v>
      </c>
      <c r="E169" s="41"/>
      <c r="F169" s="41"/>
      <c r="G169" s="41"/>
      <c r="H169" s="41"/>
      <c r="I169" s="41"/>
      <c r="J169" s="41"/>
      <c r="K169" s="41"/>
      <c r="L169" s="79">
        <v>2.5000000000000001E-3</v>
      </c>
      <c r="M169" s="34">
        <f>M162*L169</f>
        <v>332.81743194062506</v>
      </c>
      <c r="N169" s="100"/>
      <c r="O169" s="103">
        <f>(O162/M162)*M169</f>
        <v>0</v>
      </c>
    </row>
    <row r="170" spans="1:17" s="42" customFormat="1" ht="20.25" customHeight="1" x14ac:dyDescent="0.2">
      <c r="A170" s="15"/>
      <c r="B170" s="80"/>
      <c r="C170" s="81"/>
      <c r="D170" s="82"/>
      <c r="E170" s="82"/>
      <c r="F170" s="82"/>
      <c r="G170" s="82"/>
      <c r="H170" s="82"/>
      <c r="I170" s="82"/>
      <c r="J170" s="82"/>
      <c r="K170" s="82"/>
      <c r="L170" s="82"/>
      <c r="M170" s="85"/>
      <c r="N170" s="100"/>
      <c r="O170" s="103"/>
    </row>
    <row r="171" spans="1:17" s="42" customFormat="1" ht="21.75" customHeight="1" x14ac:dyDescent="0.2">
      <c r="A171" s="29"/>
      <c r="B171" s="141" t="s">
        <v>42</v>
      </c>
      <c r="C171" s="81"/>
      <c r="D171" s="82" t="s">
        <v>5</v>
      </c>
      <c r="E171" s="82"/>
      <c r="F171" s="82"/>
      <c r="G171" s="82"/>
      <c r="H171" s="82"/>
      <c r="I171" s="82"/>
      <c r="J171" s="82"/>
      <c r="K171" s="82"/>
      <c r="L171" s="83">
        <f>M171/M162</f>
        <v>2.1497516640073155E-2</v>
      </c>
      <c r="M171" s="85">
        <f>I184</f>
        <v>2861.8993125000006</v>
      </c>
      <c r="N171" s="100"/>
      <c r="O171" s="103"/>
      <c r="P171" s="172"/>
    </row>
    <row r="172" spans="1:17" s="42" customFormat="1" ht="18" customHeight="1" x14ac:dyDescent="0.2">
      <c r="A172" s="29"/>
      <c r="B172" s="80"/>
      <c r="C172" s="81"/>
      <c r="D172" s="82"/>
      <c r="E172" s="82"/>
      <c r="F172" s="82"/>
      <c r="G172" s="82"/>
      <c r="H172" s="82"/>
      <c r="I172" s="82"/>
      <c r="J172" s="82"/>
      <c r="K172" s="82"/>
      <c r="L172" s="82"/>
      <c r="M172" s="85"/>
      <c r="N172" s="100"/>
      <c r="O172" s="103"/>
    </row>
    <row r="173" spans="1:17" s="42" customFormat="1" x14ac:dyDescent="0.2">
      <c r="A173" s="29"/>
      <c r="B173" s="80" t="s">
        <v>44</v>
      </c>
      <c r="C173" s="81"/>
      <c r="D173" s="82" t="s">
        <v>5</v>
      </c>
      <c r="E173" s="82"/>
      <c r="F173" s="82"/>
      <c r="G173" s="82"/>
      <c r="H173" s="82"/>
      <c r="I173" s="82"/>
      <c r="J173" s="82"/>
      <c r="K173" s="82"/>
      <c r="L173" s="83"/>
      <c r="M173" s="85"/>
      <c r="N173" s="100"/>
      <c r="O173" s="103">
        <f>M173*N173</f>
        <v>0</v>
      </c>
    </row>
    <row r="174" spans="1:17" s="42" customFormat="1" x14ac:dyDescent="0.2">
      <c r="A174" s="15"/>
      <c r="B174" s="80"/>
      <c r="C174" s="81"/>
      <c r="D174" s="82"/>
      <c r="E174" s="82"/>
      <c r="F174" s="82"/>
      <c r="G174" s="82"/>
      <c r="H174" s="82"/>
      <c r="I174" s="82"/>
      <c r="J174" s="82"/>
      <c r="K174" s="82"/>
      <c r="L174" s="82"/>
      <c r="M174" s="34"/>
      <c r="N174" s="100"/>
      <c r="O174" s="105"/>
    </row>
    <row r="175" spans="1:17" ht="18.75" customHeight="1" x14ac:dyDescent="0.2">
      <c r="A175" s="43"/>
      <c r="B175" s="44" t="s">
        <v>17</v>
      </c>
      <c r="C175" s="45"/>
      <c r="D175" s="46"/>
      <c r="E175" s="46"/>
      <c r="F175" s="46"/>
      <c r="G175" s="46"/>
      <c r="H175" s="46"/>
      <c r="I175" s="46"/>
      <c r="J175" s="46"/>
      <c r="K175" s="46"/>
      <c r="L175" s="46"/>
      <c r="M175" s="69">
        <f>SUM(M162:M174)</f>
        <v>140448.6256767544</v>
      </c>
      <c r="N175" s="101"/>
      <c r="O175" s="106">
        <f>SUM(O162:O174)</f>
        <v>0</v>
      </c>
      <c r="P175" s="42"/>
      <c r="Q175" s="42"/>
    </row>
    <row r="176" spans="1:17" ht="16.5" customHeight="1" x14ac:dyDescent="0.2">
      <c r="A176" s="15"/>
      <c r="B176" s="19"/>
      <c r="C176" s="24"/>
      <c r="D176" s="36"/>
      <c r="E176" s="36"/>
      <c r="F176" s="36"/>
      <c r="G176" s="36"/>
      <c r="H176" s="36"/>
      <c r="I176" s="36"/>
      <c r="J176" s="36"/>
      <c r="K176" s="36"/>
      <c r="L176" s="36"/>
      <c r="M176" s="26"/>
      <c r="N176" s="95"/>
      <c r="O176" s="107"/>
      <c r="P176" s="42"/>
      <c r="Q176" s="42"/>
    </row>
    <row r="177" spans="1:17" x14ac:dyDescent="0.2">
      <c r="A177" s="15"/>
      <c r="B177" s="19" t="s">
        <v>11</v>
      </c>
      <c r="C177" s="24"/>
      <c r="D177" s="36"/>
      <c r="E177" s="36"/>
      <c r="F177" s="36"/>
      <c r="G177" s="36"/>
      <c r="H177" s="36"/>
      <c r="I177" s="36"/>
      <c r="J177" s="36"/>
      <c r="K177" s="36"/>
      <c r="L177" s="79">
        <v>0.05</v>
      </c>
      <c r="M177" s="26">
        <f>M175*L177</f>
        <v>7022.43128383772</v>
      </c>
      <c r="N177" s="95"/>
      <c r="O177" s="107">
        <f>O175/M175*M177</f>
        <v>0</v>
      </c>
      <c r="P177" s="42"/>
      <c r="Q177" s="42"/>
    </row>
    <row r="178" spans="1:17" x14ac:dyDescent="0.2">
      <c r="A178" s="47"/>
      <c r="B178" s="48"/>
      <c r="C178" s="49"/>
      <c r="D178" s="49"/>
      <c r="E178" s="49"/>
      <c r="F178" s="49"/>
      <c r="G178" s="49"/>
      <c r="H178" s="49"/>
      <c r="I178" s="49"/>
      <c r="J178" s="49"/>
      <c r="K178" s="49"/>
      <c r="L178" s="174"/>
      <c r="M178" s="70"/>
      <c r="N178" s="95"/>
      <c r="O178" s="107"/>
      <c r="P178" s="42"/>
      <c r="Q178" s="42"/>
    </row>
    <row r="179" spans="1:17" ht="27.75" customHeight="1" x14ac:dyDescent="0.2">
      <c r="A179" s="50"/>
      <c r="B179" s="56" t="s">
        <v>240</v>
      </c>
      <c r="C179" s="51"/>
      <c r="D179" s="52"/>
      <c r="E179" s="52"/>
      <c r="F179" s="52"/>
      <c r="G179" s="52"/>
      <c r="H179" s="52"/>
      <c r="I179" s="52"/>
      <c r="J179" s="52"/>
      <c r="K179" s="52"/>
      <c r="L179" s="173"/>
      <c r="M179" s="71">
        <f>ROUNDUP(SUM(M175:M178),0)</f>
        <v>147472</v>
      </c>
      <c r="N179" s="151">
        <f>O179/M179</f>
        <v>0</v>
      </c>
      <c r="O179" s="109">
        <f>SUM(O175:O178)</f>
        <v>0</v>
      </c>
      <c r="P179" s="42"/>
      <c r="Q179" s="42"/>
    </row>
    <row r="180" spans="1:17" ht="13.5" customHeight="1" x14ac:dyDescent="0.2">
      <c r="A180" s="161"/>
      <c r="B180" s="162"/>
      <c r="C180" s="163"/>
      <c r="D180" s="164"/>
      <c r="E180" s="164"/>
      <c r="F180" s="164"/>
      <c r="G180" s="72"/>
      <c r="H180" s="72"/>
      <c r="I180" s="72"/>
      <c r="J180" s="72"/>
      <c r="K180" s="164"/>
      <c r="L180" s="164"/>
      <c r="M180" s="165"/>
      <c r="N180" s="166">
        <f>SUM(L164:L174)</f>
        <v>5.4997516640073157E-2</v>
      </c>
      <c r="O180" s="240"/>
      <c r="P180" s="166">
        <f>L177</f>
        <v>0.05</v>
      </c>
      <c r="Q180" s="42"/>
    </row>
    <row r="181" spans="1:17" ht="13.5" customHeight="1" x14ac:dyDescent="0.2">
      <c r="A181" s="161"/>
      <c r="B181" s="162"/>
      <c r="C181" s="163"/>
      <c r="D181" s="164"/>
      <c r="E181" s="164"/>
      <c r="F181" s="167"/>
      <c r="G181" s="410" t="s">
        <v>45</v>
      </c>
      <c r="H181" s="411"/>
      <c r="I181" s="411"/>
      <c r="J181" s="412"/>
      <c r="K181" s="633">
        <f>SUM(F14:F68)</f>
        <v>421.68774999999994</v>
      </c>
      <c r="L181" s="169" t="s">
        <v>328</v>
      </c>
      <c r="M181" s="165">
        <f>SUM(M14:M68)</f>
        <v>44680.073022083336</v>
      </c>
      <c r="N181" s="561">
        <f>M181*$N$180</f>
        <v>2457.2930595117118</v>
      </c>
      <c r="O181" s="156">
        <f>SUM(M181:N181)</f>
        <v>47137.36608159505</v>
      </c>
      <c r="P181" s="568">
        <f>O181*$P$180</f>
        <v>2356.8683040797528</v>
      </c>
      <c r="Q181" s="565">
        <f>SUM(O181:P181)</f>
        <v>49494.234385674805</v>
      </c>
    </row>
    <row r="182" spans="1:17" ht="13.5" customHeight="1" x14ac:dyDescent="0.2">
      <c r="A182" s="161"/>
      <c r="B182" s="162"/>
      <c r="C182" s="163"/>
      <c r="D182" s="164"/>
      <c r="E182" s="164"/>
      <c r="F182" s="164"/>
      <c r="G182" s="413"/>
      <c r="H182" s="414" t="s">
        <v>583</v>
      </c>
      <c r="I182" s="72"/>
      <c r="J182" s="415"/>
      <c r="K182" s="634"/>
      <c r="L182" s="169"/>
      <c r="M182" s="165"/>
      <c r="N182" s="561"/>
      <c r="O182" s="156"/>
      <c r="P182" s="568"/>
      <c r="Q182" s="566"/>
    </row>
    <row r="183" spans="1:17" x14ac:dyDescent="0.2">
      <c r="F183" s="168"/>
      <c r="G183" s="413">
        <f>F161/8</f>
        <v>158.99440625000003</v>
      </c>
      <c r="H183" s="416">
        <v>1</v>
      </c>
      <c r="I183" s="72"/>
      <c r="J183" s="415"/>
      <c r="K183" s="635">
        <f>SUM(F69:F114)</f>
        <v>355.70749999999998</v>
      </c>
      <c r="L183" s="169" t="s">
        <v>329</v>
      </c>
      <c r="M183" s="53">
        <f>SUM(M69:M114)</f>
        <v>37315.959754166674</v>
      </c>
      <c r="N183" s="561">
        <f>M183*$N$180</f>
        <v>2052.2851175200817</v>
      </c>
      <c r="O183" s="156">
        <f>SUM(M183:N183)</f>
        <v>39368.244871686758</v>
      </c>
      <c r="P183" s="568">
        <f>O183*$P$180</f>
        <v>1968.4122435843381</v>
      </c>
      <c r="Q183" s="219">
        <f>SUM(O183:P183)</f>
        <v>41336.657115271097</v>
      </c>
    </row>
    <row r="184" spans="1:17" x14ac:dyDescent="0.2">
      <c r="F184" s="168"/>
      <c r="G184" s="413">
        <f>G183/H183</f>
        <v>158.99440625000003</v>
      </c>
      <c r="H184" s="61">
        <v>18</v>
      </c>
      <c r="I184" s="61">
        <f>G184*H184</f>
        <v>2861.8993125000006</v>
      </c>
      <c r="J184" s="415"/>
      <c r="K184" s="636"/>
      <c r="L184" s="169"/>
      <c r="M184" s="53"/>
      <c r="N184" s="561"/>
      <c r="O184" s="156"/>
      <c r="P184" s="568"/>
      <c r="Q184" s="566"/>
    </row>
    <row r="185" spans="1:17" x14ac:dyDescent="0.2">
      <c r="F185" s="168"/>
      <c r="G185" s="413"/>
      <c r="H185" s="72"/>
      <c r="I185" s="72"/>
      <c r="J185" s="415"/>
      <c r="K185" s="635">
        <f>SUM(F115:F159)</f>
        <v>494.56</v>
      </c>
      <c r="L185" s="169" t="s">
        <v>330</v>
      </c>
      <c r="M185" s="53">
        <f>SUM(M115:M159)</f>
        <v>51130.939999999995</v>
      </c>
      <c r="N185" s="561">
        <f>M185*$N$180</f>
        <v>2812.0747234725818</v>
      </c>
      <c r="O185" s="156">
        <f>SUM(M185:N185)</f>
        <v>53943.014723472574</v>
      </c>
      <c r="P185" s="568">
        <f>O185*$P$180</f>
        <v>2697.150736173629</v>
      </c>
      <c r="Q185" s="567">
        <f>SUM(O185:P185)</f>
        <v>56640.165459646203</v>
      </c>
    </row>
    <row r="186" spans="1:17" x14ac:dyDescent="0.2">
      <c r="G186" s="417"/>
      <c r="H186" s="418"/>
      <c r="I186" s="418"/>
      <c r="J186" s="419"/>
      <c r="K186" s="637"/>
      <c r="L186" s="563"/>
      <c r="M186" s="557"/>
      <c r="N186" s="558"/>
      <c r="O186" s="564"/>
      <c r="P186" s="546"/>
      <c r="Q186" s="546"/>
    </row>
    <row r="187" spans="1:17" x14ac:dyDescent="0.2">
      <c r="K187" s="635">
        <f>SUM(K181:K186)</f>
        <v>1271.95525</v>
      </c>
      <c r="L187" s="53"/>
      <c r="M187" s="53">
        <f>SUM(M181:M186)</f>
        <v>133126.97277625001</v>
      </c>
      <c r="N187" s="96"/>
      <c r="O187" s="156"/>
      <c r="Q187" s="53">
        <f>SUM(Q181:Q186)</f>
        <v>147471.0569605921</v>
      </c>
    </row>
    <row r="188" spans="1:17" ht="15" x14ac:dyDescent="0.25">
      <c r="B188" s="113" t="s">
        <v>30</v>
      </c>
      <c r="C188" s="114"/>
      <c r="D188" s="114"/>
      <c r="E188" s="114"/>
      <c r="F188" s="114"/>
      <c r="I188" s="113" t="s">
        <v>30</v>
      </c>
      <c r="J188" s="114"/>
      <c r="K188" s="114"/>
      <c r="L188" s="114"/>
      <c r="M188" s="114"/>
      <c r="O188" s="108"/>
      <c r="P188" s="42"/>
      <c r="Q188" s="42"/>
    </row>
    <row r="189" spans="1:17" x14ac:dyDescent="0.2">
      <c r="B189" s="115" t="s">
        <v>43</v>
      </c>
      <c r="C189" s="116"/>
      <c r="D189" s="111"/>
      <c r="E189" s="111"/>
      <c r="F189" s="111"/>
      <c r="I189" s="115" t="s">
        <v>31</v>
      </c>
      <c r="J189" s="116"/>
      <c r="K189" s="111"/>
      <c r="L189" s="111"/>
      <c r="M189" s="111"/>
      <c r="O189" s="108"/>
      <c r="P189" s="42"/>
      <c r="Q189" s="42"/>
    </row>
    <row r="190" spans="1:17" ht="15" x14ac:dyDescent="0.25">
      <c r="B190" s="115" t="s">
        <v>32</v>
      </c>
      <c r="C190" s="116" t="s">
        <v>33</v>
      </c>
      <c r="D190" s="111" t="s">
        <v>34</v>
      </c>
      <c r="E190" s="111" t="s">
        <v>35</v>
      </c>
      <c r="F190" s="114"/>
      <c r="I190" s="115" t="s">
        <v>32</v>
      </c>
      <c r="J190" s="116" t="s">
        <v>33</v>
      </c>
      <c r="K190" s="111" t="s">
        <v>34</v>
      </c>
      <c r="L190" s="111" t="s">
        <v>35</v>
      </c>
      <c r="M190" s="114"/>
      <c r="O190" s="108"/>
      <c r="P190" s="42"/>
      <c r="Q190" s="42"/>
    </row>
    <row r="191" spans="1:17" x14ac:dyDescent="0.2">
      <c r="B191" s="117">
        <v>1</v>
      </c>
      <c r="C191" s="116">
        <v>55</v>
      </c>
      <c r="D191" s="111">
        <f>B191*C191</f>
        <v>55</v>
      </c>
      <c r="E191" s="111">
        <f>D191*F191</f>
        <v>110</v>
      </c>
      <c r="F191" s="118">
        <v>2</v>
      </c>
      <c r="I191" s="117">
        <v>4</v>
      </c>
      <c r="J191" s="116">
        <v>55</v>
      </c>
      <c r="K191" s="111">
        <f>I191*J191</f>
        <v>220</v>
      </c>
      <c r="L191" s="111">
        <f>K191*M191</f>
        <v>440</v>
      </c>
      <c r="M191" s="118">
        <v>2</v>
      </c>
      <c r="O191" s="108"/>
      <c r="P191" s="42"/>
      <c r="Q191" s="42"/>
    </row>
    <row r="192" spans="1:17" x14ac:dyDescent="0.2">
      <c r="B192" s="115" t="s">
        <v>36</v>
      </c>
      <c r="C192" s="116"/>
      <c r="D192" s="111"/>
      <c r="E192" s="111" t="s">
        <v>37</v>
      </c>
      <c r="F192" s="111"/>
      <c r="I192" s="115" t="s">
        <v>36</v>
      </c>
      <c r="J192" s="116"/>
      <c r="K192" s="111"/>
      <c r="L192" s="111" t="s">
        <v>37</v>
      </c>
      <c r="M192" s="111"/>
      <c r="O192" s="108"/>
      <c r="P192" s="42"/>
      <c r="Q192" s="42"/>
    </row>
    <row r="193" spans="2:20" ht="15" x14ac:dyDescent="0.25">
      <c r="B193" s="115">
        <v>0.7</v>
      </c>
      <c r="C193" s="119"/>
      <c r="D193" s="114"/>
      <c r="E193" s="111">
        <f>B193*C193</f>
        <v>0</v>
      </c>
      <c r="F193" s="111"/>
      <c r="I193" s="115">
        <v>0.7</v>
      </c>
      <c r="J193" s="119">
        <v>310</v>
      </c>
      <c r="K193" s="114"/>
      <c r="L193" s="111">
        <f>I193*J193</f>
        <v>217</v>
      </c>
      <c r="M193" s="111"/>
      <c r="O193" s="108"/>
      <c r="P193" s="42"/>
      <c r="Q193" s="42"/>
    </row>
    <row r="194" spans="2:20" x14ac:dyDescent="0.2">
      <c r="B194" s="115" t="s">
        <v>38</v>
      </c>
      <c r="C194" s="116"/>
      <c r="D194" s="111"/>
      <c r="E194" s="111">
        <f>SUM(E191:E193)</f>
        <v>110</v>
      </c>
      <c r="F194" s="111"/>
      <c r="I194" s="115" t="s">
        <v>38</v>
      </c>
      <c r="J194" s="116"/>
      <c r="K194" s="111"/>
      <c r="L194" s="111">
        <f>SUM(L191:L193)</f>
        <v>657</v>
      </c>
      <c r="M194" s="111"/>
      <c r="O194" s="108"/>
      <c r="P194" s="42"/>
      <c r="Q194" s="42"/>
    </row>
    <row r="195" spans="2:20" x14ac:dyDescent="0.2">
      <c r="B195" s="117">
        <v>2</v>
      </c>
      <c r="C195" s="116"/>
      <c r="D195" s="111"/>
      <c r="E195" s="111">
        <f>B195*E194</f>
        <v>220</v>
      </c>
      <c r="F195" s="111"/>
      <c r="I195" s="117">
        <v>1</v>
      </c>
      <c r="J195" s="116"/>
      <c r="K195" s="111"/>
      <c r="L195" s="111">
        <f>I195*L194</f>
        <v>657</v>
      </c>
      <c r="M195" s="111"/>
      <c r="O195" s="108"/>
      <c r="P195" s="42"/>
      <c r="Q195" s="42"/>
      <c r="R195" s="418" t="s">
        <v>879</v>
      </c>
      <c r="S195" s="418" t="s">
        <v>880</v>
      </c>
      <c r="T195" s="418" t="s">
        <v>881</v>
      </c>
    </row>
    <row r="196" spans="2:20" x14ac:dyDescent="0.2">
      <c r="B196" s="115" t="s">
        <v>39</v>
      </c>
      <c r="C196" s="116" t="s">
        <v>40</v>
      </c>
      <c r="D196" s="111"/>
      <c r="E196" s="111" t="s">
        <v>41</v>
      </c>
      <c r="F196" s="111"/>
      <c r="I196" s="115" t="s">
        <v>39</v>
      </c>
      <c r="J196" s="116" t="s">
        <v>40</v>
      </c>
      <c r="K196" s="111"/>
      <c r="L196" s="111" t="s">
        <v>41</v>
      </c>
      <c r="M196" s="111"/>
      <c r="Q196" s="54"/>
      <c r="R196" s="14">
        <v>34</v>
      </c>
      <c r="S196" s="14">
        <v>23</v>
      </c>
      <c r="T196" s="14">
        <v>30</v>
      </c>
    </row>
    <row r="197" spans="2:20" x14ac:dyDescent="0.2">
      <c r="B197" s="117"/>
      <c r="C197" s="119"/>
      <c r="D197" s="111">
        <f>B197*C197</f>
        <v>0</v>
      </c>
      <c r="E197" s="111">
        <f>D197*F191</f>
        <v>0</v>
      </c>
      <c r="F197" s="111"/>
      <c r="I197" s="117">
        <v>125</v>
      </c>
      <c r="J197" s="119">
        <v>4</v>
      </c>
      <c r="K197" s="111">
        <f>I197*J197</f>
        <v>500</v>
      </c>
      <c r="L197" s="111">
        <f>K197*M191</f>
        <v>1000</v>
      </c>
      <c r="M197" s="111"/>
    </row>
    <row r="198" spans="2:20" x14ac:dyDescent="0.2">
      <c r="B198" s="115"/>
      <c r="C198" s="116"/>
      <c r="D198" s="111"/>
      <c r="E198" s="112">
        <f>SUM(E195:E197)</f>
        <v>220</v>
      </c>
      <c r="F198" s="111"/>
      <c r="I198" s="115"/>
      <c r="J198" s="116"/>
      <c r="K198" s="111"/>
      <c r="L198" s="112">
        <f>SUM(L195:L197)</f>
        <v>1657</v>
      </c>
      <c r="M198" s="111"/>
    </row>
    <row r="202" spans="2:20" x14ac:dyDescent="0.2">
      <c r="D202" s="72" t="s">
        <v>45</v>
      </c>
      <c r="E202" s="14">
        <f>F161/8.5</f>
        <v>149.64179411764709</v>
      </c>
      <c r="F202" s="60">
        <f>E202*17.5</f>
        <v>2618.7313970588243</v>
      </c>
      <c r="G202" s="72" t="s">
        <v>48</v>
      </c>
    </row>
  </sheetData>
  <pageMargins left="0.70866141732283472" right="0.70866141732283472" top="0.74803149606299213" bottom="0.74803149606299213" header="0.31496062992125984" footer="0.31496062992125984"/>
  <pageSetup paperSize="9" scale="99" fitToHeight="2"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6D64-58F1-412A-A8B9-84A88717E668}">
  <dimension ref="B2:U356"/>
  <sheetViews>
    <sheetView topLeftCell="A96" workbookViewId="0">
      <selection activeCell="F102" sqref="F102"/>
    </sheetView>
  </sheetViews>
  <sheetFormatPr defaultRowHeight="12.75" x14ac:dyDescent="0.2"/>
  <cols>
    <col min="3" max="3" width="40.5703125" customWidth="1"/>
    <col min="4" max="4" width="25.42578125" customWidth="1"/>
    <col min="6" max="6" width="15.28515625" customWidth="1"/>
    <col min="7" max="7" width="10.42578125" customWidth="1"/>
    <col min="15" max="15" width="24.28515625" customWidth="1"/>
    <col min="16" max="16" width="21.7109375" customWidth="1"/>
    <col min="19" max="19" width="10.85546875" customWidth="1"/>
    <col min="21" max="21" width="10.28515625" customWidth="1"/>
  </cols>
  <sheetData>
    <row r="2" spans="3:21" x14ac:dyDescent="0.2">
      <c r="R2" s="255" t="s">
        <v>382</v>
      </c>
      <c r="S2" s="255"/>
      <c r="T2" s="205" t="s">
        <v>383</v>
      </c>
      <c r="U2" s="256"/>
    </row>
    <row r="3" spans="3:21" x14ac:dyDescent="0.2">
      <c r="R3" s="255" t="s">
        <v>384</v>
      </c>
      <c r="S3" s="255" t="s">
        <v>385</v>
      </c>
      <c r="T3" s="205" t="s">
        <v>384</v>
      </c>
      <c r="U3" s="205" t="s">
        <v>385</v>
      </c>
    </row>
    <row r="4" spans="3:21" x14ac:dyDescent="0.2">
      <c r="O4" s="72" t="s">
        <v>380</v>
      </c>
      <c r="P4" s="72"/>
      <c r="R4" s="203"/>
      <c r="S4" s="203"/>
      <c r="T4" s="203">
        <v>10.17</v>
      </c>
      <c r="U4" s="203"/>
    </row>
    <row r="5" spans="3:21" x14ac:dyDescent="0.2">
      <c r="C5" s="72" t="s">
        <v>749</v>
      </c>
      <c r="D5" s="72" t="s">
        <v>752</v>
      </c>
      <c r="E5">
        <v>1</v>
      </c>
      <c r="F5" s="72" t="s">
        <v>750</v>
      </c>
      <c r="G5" s="203">
        <v>75</v>
      </c>
      <c r="H5" s="203">
        <f>E5*G5</f>
        <v>75</v>
      </c>
      <c r="O5" s="72" t="s">
        <v>386</v>
      </c>
      <c r="P5" s="72" t="s">
        <v>527</v>
      </c>
      <c r="R5" s="203"/>
      <c r="S5" s="203"/>
      <c r="T5" s="203">
        <v>11.4</v>
      </c>
      <c r="U5" s="203">
        <v>6.45</v>
      </c>
    </row>
    <row r="6" spans="3:21" x14ac:dyDescent="0.2">
      <c r="D6" s="72" t="s">
        <v>753</v>
      </c>
      <c r="E6">
        <v>14</v>
      </c>
      <c r="F6" s="72" t="s">
        <v>751</v>
      </c>
      <c r="G6" s="203">
        <v>4.34</v>
      </c>
      <c r="H6" s="203">
        <f>E6*G6</f>
        <v>60.76</v>
      </c>
      <c r="O6" s="72" t="s">
        <v>451</v>
      </c>
      <c r="P6" s="72"/>
      <c r="R6" s="203"/>
      <c r="S6" s="203"/>
      <c r="T6" s="203">
        <v>6.13</v>
      </c>
      <c r="U6" s="203">
        <v>4.3099999999999996</v>
      </c>
    </row>
    <row r="7" spans="3:21" x14ac:dyDescent="0.2">
      <c r="C7" s="216"/>
      <c r="D7" s="418" t="s">
        <v>404</v>
      </c>
      <c r="E7" s="216">
        <v>1</v>
      </c>
      <c r="F7" s="418" t="s">
        <v>75</v>
      </c>
      <c r="G7" s="519">
        <v>2.5</v>
      </c>
      <c r="H7" s="519">
        <f>E7*G7</f>
        <v>2.5</v>
      </c>
      <c r="I7" s="216"/>
      <c r="O7" s="72" t="s">
        <v>381</v>
      </c>
      <c r="P7" s="72" t="s">
        <v>526</v>
      </c>
      <c r="R7" s="203"/>
      <c r="S7" s="203"/>
      <c r="T7" s="203">
        <v>5.23</v>
      </c>
      <c r="U7" s="203">
        <v>3.71</v>
      </c>
    </row>
    <row r="8" spans="3:21" x14ac:dyDescent="0.2">
      <c r="H8" s="203">
        <f>SUM(H5:H7)</f>
        <v>138.26</v>
      </c>
      <c r="O8" s="72" t="s">
        <v>446</v>
      </c>
      <c r="P8" s="72" t="s">
        <v>527</v>
      </c>
      <c r="R8" s="203"/>
      <c r="S8" s="203"/>
      <c r="T8" s="203">
        <v>5.23</v>
      </c>
      <c r="U8" s="203">
        <v>3.71</v>
      </c>
    </row>
    <row r="9" spans="3:21" x14ac:dyDescent="0.2">
      <c r="O9" s="72" t="s">
        <v>442</v>
      </c>
      <c r="R9" s="203"/>
      <c r="S9" s="203"/>
      <c r="T9" s="203">
        <v>8.48</v>
      </c>
      <c r="U9" s="203"/>
    </row>
    <row r="10" spans="3:21" x14ac:dyDescent="0.2">
      <c r="O10" s="72" t="s">
        <v>449</v>
      </c>
      <c r="R10" s="203"/>
      <c r="S10" s="203"/>
      <c r="T10" s="203">
        <v>5.67</v>
      </c>
      <c r="U10" s="203">
        <v>3.71</v>
      </c>
    </row>
    <row r="11" spans="3:21" x14ac:dyDescent="0.2">
      <c r="O11" s="72" t="s">
        <v>443</v>
      </c>
      <c r="R11" s="203"/>
      <c r="S11" s="203"/>
      <c r="T11" s="203">
        <v>6.5</v>
      </c>
      <c r="U11" s="203">
        <v>4.29</v>
      </c>
    </row>
    <row r="12" spans="3:21" x14ac:dyDescent="0.2">
      <c r="O12" s="72" t="s">
        <v>266</v>
      </c>
      <c r="R12" s="203"/>
      <c r="S12" s="203"/>
      <c r="T12" s="203">
        <v>2.89</v>
      </c>
      <c r="U12" s="203"/>
    </row>
    <row r="13" spans="3:21" x14ac:dyDescent="0.2">
      <c r="O13" s="72" t="s">
        <v>389</v>
      </c>
      <c r="R13" s="203"/>
      <c r="S13" s="203"/>
      <c r="T13" s="203">
        <v>4.71</v>
      </c>
      <c r="U13" s="203">
        <v>3.21</v>
      </c>
    </row>
    <row r="14" spans="3:21" x14ac:dyDescent="0.2">
      <c r="O14" s="72" t="s">
        <v>274</v>
      </c>
      <c r="R14" s="203"/>
      <c r="S14" s="203"/>
      <c r="T14" s="203">
        <v>4.8499999999999996</v>
      </c>
      <c r="U14" s="203">
        <v>4.8499999999999996</v>
      </c>
    </row>
    <row r="15" spans="3:21" x14ac:dyDescent="0.2">
      <c r="O15" s="72" t="s">
        <v>346</v>
      </c>
      <c r="R15" s="203"/>
      <c r="S15" s="203"/>
      <c r="T15" s="203">
        <v>4.8499999999999996</v>
      </c>
      <c r="U15" s="203">
        <v>4.8499999999999996</v>
      </c>
    </row>
    <row r="16" spans="3:21" x14ac:dyDescent="0.2">
      <c r="O16" s="72" t="s">
        <v>387</v>
      </c>
      <c r="Q16" s="203">
        <v>3.8</v>
      </c>
      <c r="R16" s="203"/>
      <c r="S16" s="203"/>
      <c r="T16" s="203"/>
      <c r="U16" s="203"/>
    </row>
    <row r="17" spans="3:21" x14ac:dyDescent="0.2">
      <c r="O17" s="72" t="s">
        <v>388</v>
      </c>
      <c r="Q17" s="203">
        <v>1.7</v>
      </c>
      <c r="R17" s="203"/>
      <c r="S17" s="203"/>
      <c r="T17" s="203"/>
      <c r="U17" s="203"/>
    </row>
    <row r="20" spans="3:21" x14ac:dyDescent="0.2">
      <c r="C20" s="209" t="s">
        <v>301</v>
      </c>
      <c r="D20" s="210">
        <v>1</v>
      </c>
      <c r="E20" s="211" t="s">
        <v>267</v>
      </c>
      <c r="F20" s="212">
        <v>1</v>
      </c>
      <c r="G20" s="213" t="s">
        <v>269</v>
      </c>
      <c r="H20" s="214">
        <f>Partitions!H11</f>
        <v>50</v>
      </c>
      <c r="I20" s="215"/>
      <c r="J20" s="215"/>
      <c r="K20" s="215"/>
      <c r="L20" s="215"/>
      <c r="M20" s="215"/>
      <c r="N20" s="215"/>
      <c r="P20" s="72"/>
      <c r="Q20" s="72"/>
      <c r="R20" s="72"/>
    </row>
    <row r="21" spans="3:21" x14ac:dyDescent="0.2">
      <c r="P21" s="72" t="s">
        <v>282</v>
      </c>
      <c r="Q21" s="72" t="s">
        <v>283</v>
      </c>
      <c r="R21" s="72"/>
      <c r="S21" s="72" t="s">
        <v>284</v>
      </c>
    </row>
    <row r="22" spans="3:21" x14ac:dyDescent="0.2">
      <c r="P22" s="72"/>
      <c r="Q22" s="72">
        <v>1.05</v>
      </c>
      <c r="R22" s="72"/>
      <c r="S22" s="72"/>
    </row>
    <row r="23" spans="3:21" x14ac:dyDescent="0.2">
      <c r="C23" s="72" t="s">
        <v>265</v>
      </c>
      <c r="D23" s="207">
        <f>D20</f>
        <v>1</v>
      </c>
      <c r="E23" s="195" t="s">
        <v>116</v>
      </c>
      <c r="F23" s="134">
        <v>0.15</v>
      </c>
      <c r="G23" s="134">
        <f>D23*F23</f>
        <v>0.15</v>
      </c>
      <c r="H23" s="134">
        <f>$H$20*F23</f>
        <v>7.5</v>
      </c>
      <c r="I23" s="135">
        <f>G23*$H$20</f>
        <v>7.5</v>
      </c>
      <c r="J23" s="152">
        <f>T23</f>
        <v>7.0225000000000009</v>
      </c>
      <c r="K23" s="135">
        <f>D23*J23</f>
        <v>7.0225000000000009</v>
      </c>
      <c r="L23" s="136">
        <f>SUM(I23,K23)</f>
        <v>14.522500000000001</v>
      </c>
      <c r="M23" s="135">
        <f>L23/D23</f>
        <v>14.522500000000001</v>
      </c>
      <c r="N23" s="137">
        <f>D23*M23</f>
        <v>14.522500000000001</v>
      </c>
      <c r="P23" s="54">
        <f>U5</f>
        <v>6.45</v>
      </c>
      <c r="Q23" s="203">
        <f>P23*$Q$22</f>
        <v>6.7725000000000009</v>
      </c>
      <c r="R23" s="203">
        <f>Q23</f>
        <v>6.7725000000000009</v>
      </c>
      <c r="S23" s="203">
        <v>0.25</v>
      </c>
      <c r="T23" s="203">
        <f>SUM(R23:S23)</f>
        <v>7.0225000000000009</v>
      </c>
    </row>
    <row r="24" spans="3:21" x14ac:dyDescent="0.2">
      <c r="C24" s="72" t="s">
        <v>268</v>
      </c>
      <c r="D24" s="207">
        <f>D23/0.6</f>
        <v>1.6666666666666667</v>
      </c>
      <c r="E24" s="195" t="s">
        <v>148</v>
      </c>
      <c r="F24" s="134">
        <v>0.1</v>
      </c>
      <c r="G24" s="134">
        <f>D24*F24</f>
        <v>0.16666666666666669</v>
      </c>
      <c r="H24" s="134">
        <f>$H$20*F24</f>
        <v>5</v>
      </c>
      <c r="I24" s="135">
        <f>G24*$H$20</f>
        <v>8.3333333333333339</v>
      </c>
      <c r="J24" s="152">
        <f>Q17</f>
        <v>1.7</v>
      </c>
      <c r="K24" s="135">
        <f>D24*J24</f>
        <v>2.8333333333333335</v>
      </c>
      <c r="L24" s="136">
        <f>SUM(I24,K24)</f>
        <v>11.166666666666668</v>
      </c>
      <c r="M24" s="135">
        <f>L24/D24</f>
        <v>6.7</v>
      </c>
      <c r="N24" s="137">
        <f>D24*M24</f>
        <v>11.166666666666668</v>
      </c>
      <c r="P24" s="203"/>
      <c r="Q24" s="203">
        <f>P24*$Q$22</f>
        <v>0</v>
      </c>
      <c r="R24" s="203">
        <f t="shared" ref="R24:R39" si="0">Q24</f>
        <v>0</v>
      </c>
      <c r="S24" s="203"/>
      <c r="T24" s="203">
        <f t="shared" ref="T24:T39" si="1">SUM(R24:S24)</f>
        <v>0</v>
      </c>
    </row>
    <row r="25" spans="3:21" x14ac:dyDescent="0.2">
      <c r="C25" s="204" t="s">
        <v>271</v>
      </c>
      <c r="D25" s="207">
        <f>(D20/0.6)*F20</f>
        <v>1.6666666666666667</v>
      </c>
      <c r="E25" s="195" t="s">
        <v>116</v>
      </c>
      <c r="F25" s="134">
        <v>0.1</v>
      </c>
      <c r="G25" s="134">
        <f>D25*F25</f>
        <v>0.16666666666666669</v>
      </c>
      <c r="H25" s="134">
        <f>$H$20*F25</f>
        <v>5</v>
      </c>
      <c r="I25" s="135">
        <f>G25*$H$20</f>
        <v>8.3333333333333339</v>
      </c>
      <c r="J25" s="152">
        <f>T25</f>
        <v>4.1455000000000002</v>
      </c>
      <c r="K25" s="135">
        <f>D25*J25</f>
        <v>6.9091666666666676</v>
      </c>
      <c r="L25" s="136">
        <f>SUM(I25,K25)</f>
        <v>15.242500000000001</v>
      </c>
      <c r="M25" s="135">
        <f>L25/D25</f>
        <v>9.1455000000000002</v>
      </c>
      <c r="N25" s="137">
        <f>D25*M25</f>
        <v>15.242500000000001</v>
      </c>
      <c r="P25" s="54">
        <f>U7</f>
        <v>3.71</v>
      </c>
      <c r="Q25" s="203">
        <f>P25*$Q$22</f>
        <v>3.8955000000000002</v>
      </c>
      <c r="R25" s="203">
        <f t="shared" si="0"/>
        <v>3.8955000000000002</v>
      </c>
      <c r="S25" s="203">
        <v>0.25</v>
      </c>
      <c r="T25" s="203">
        <f t="shared" si="1"/>
        <v>4.1455000000000002</v>
      </c>
    </row>
    <row r="26" spans="3:21" x14ac:dyDescent="0.2">
      <c r="C26" s="72"/>
      <c r="D26" s="207"/>
      <c r="E26" s="195"/>
      <c r="F26" s="134"/>
      <c r="G26" s="134"/>
      <c r="H26" s="134"/>
      <c r="I26" s="135"/>
      <c r="J26" s="152"/>
      <c r="K26" s="135"/>
      <c r="L26" s="136"/>
      <c r="M26" s="135"/>
      <c r="N26" s="137"/>
      <c r="P26" s="203"/>
      <c r="Q26" s="203"/>
      <c r="R26" s="203"/>
      <c r="S26" s="203"/>
      <c r="T26" s="203"/>
    </row>
    <row r="27" spans="3:21" x14ac:dyDescent="0.2">
      <c r="C27" s="72" t="s">
        <v>266</v>
      </c>
      <c r="D27" s="207">
        <f>D20</f>
        <v>1</v>
      </c>
      <c r="E27" s="195" t="s">
        <v>116</v>
      </c>
      <c r="F27" s="134">
        <v>0.15</v>
      </c>
      <c r="G27" s="134">
        <f>D27*F27</f>
        <v>0.15</v>
      </c>
      <c r="H27" s="134">
        <f>$H$20*F27</f>
        <v>7.5</v>
      </c>
      <c r="I27" s="135">
        <f>G27*$H$20</f>
        <v>7.5</v>
      </c>
      <c r="J27" s="152">
        <f>T27</f>
        <v>3.2845000000000004</v>
      </c>
      <c r="K27" s="135">
        <f>D27*J27</f>
        <v>3.2845000000000004</v>
      </c>
      <c r="L27" s="136">
        <f>SUM(I27,K27)</f>
        <v>10.784500000000001</v>
      </c>
      <c r="M27" s="135">
        <f>L27/D27</f>
        <v>10.784500000000001</v>
      </c>
      <c r="N27" s="137">
        <f>D27*M27</f>
        <v>10.784500000000001</v>
      </c>
      <c r="P27" s="203">
        <f>T12</f>
        <v>2.89</v>
      </c>
      <c r="Q27" s="203">
        <f>P27*$Q$22</f>
        <v>3.0345000000000004</v>
      </c>
      <c r="R27" s="203">
        <f t="shared" si="0"/>
        <v>3.0345000000000004</v>
      </c>
      <c r="S27" s="203">
        <v>0.25</v>
      </c>
      <c r="T27" s="203">
        <f t="shared" si="1"/>
        <v>3.2845000000000004</v>
      </c>
    </row>
    <row r="28" spans="3:21" x14ac:dyDescent="0.2">
      <c r="C28" s="72" t="s">
        <v>268</v>
      </c>
      <c r="D28" s="207">
        <f>D27/0.6</f>
        <v>1.6666666666666667</v>
      </c>
      <c r="E28" s="195" t="s">
        <v>148</v>
      </c>
      <c r="F28" s="134">
        <v>0.1</v>
      </c>
      <c r="G28" s="134">
        <f>D28*F28</f>
        <v>0.16666666666666669</v>
      </c>
      <c r="H28" s="134">
        <f>$H$20*F28</f>
        <v>5</v>
      </c>
      <c r="I28" s="135">
        <f>G28*$H$20</f>
        <v>8.3333333333333339</v>
      </c>
      <c r="J28" s="152">
        <f>Q17</f>
        <v>1.7</v>
      </c>
      <c r="K28" s="135">
        <f>D28*J28</f>
        <v>2.8333333333333335</v>
      </c>
      <c r="L28" s="136">
        <f>SUM(I28,K28)</f>
        <v>11.166666666666668</v>
      </c>
      <c r="M28" s="135">
        <f>L28/D28</f>
        <v>6.7</v>
      </c>
      <c r="N28" s="137">
        <f>D28*M28</f>
        <v>11.166666666666668</v>
      </c>
      <c r="P28" s="203"/>
      <c r="Q28" s="203">
        <f>P28*$Q$22</f>
        <v>0</v>
      </c>
      <c r="R28" s="203">
        <f t="shared" si="0"/>
        <v>0</v>
      </c>
      <c r="S28" s="203"/>
      <c r="T28" s="203">
        <f t="shared" si="1"/>
        <v>0</v>
      </c>
    </row>
    <row r="29" spans="3:21" x14ac:dyDescent="0.2">
      <c r="C29" s="204" t="s">
        <v>270</v>
      </c>
      <c r="D29" s="207">
        <f>(D20/0.6)*F20</f>
        <v>1.6666666666666667</v>
      </c>
      <c r="E29" s="195" t="s">
        <v>116</v>
      </c>
      <c r="F29" s="134">
        <v>0.1</v>
      </c>
      <c r="G29" s="134">
        <f>D29*F29</f>
        <v>0.16666666666666669</v>
      </c>
      <c r="H29" s="134">
        <f>$H$20*F29</f>
        <v>5</v>
      </c>
      <c r="I29" s="135">
        <f>G29*$H$20</f>
        <v>8.3333333333333339</v>
      </c>
      <c r="J29" s="152">
        <f>T29</f>
        <v>3.6205000000000003</v>
      </c>
      <c r="K29" s="135">
        <f>D29*J29</f>
        <v>6.0341666666666676</v>
      </c>
      <c r="L29" s="136">
        <f>SUM(I29,K29)</f>
        <v>14.367500000000001</v>
      </c>
      <c r="M29" s="135">
        <f>L29/D29</f>
        <v>8.6204999999999998</v>
      </c>
      <c r="N29" s="137">
        <f>D29*M29</f>
        <v>14.3675</v>
      </c>
      <c r="P29" s="54">
        <f>U13</f>
        <v>3.21</v>
      </c>
      <c r="Q29" s="203">
        <f>P29*$Q$22</f>
        <v>3.3705000000000003</v>
      </c>
      <c r="R29" s="203">
        <f t="shared" si="0"/>
        <v>3.3705000000000003</v>
      </c>
      <c r="S29" s="203">
        <v>0.25</v>
      </c>
      <c r="T29" s="203">
        <f t="shared" si="1"/>
        <v>3.6205000000000003</v>
      </c>
    </row>
    <row r="30" spans="3:21" x14ac:dyDescent="0.2">
      <c r="D30" s="208"/>
      <c r="E30" s="206"/>
      <c r="F30" s="260"/>
      <c r="G30" s="206"/>
      <c r="H30" s="134"/>
      <c r="I30" s="206"/>
      <c r="J30" s="206"/>
      <c r="K30" s="206"/>
      <c r="L30" s="206"/>
      <c r="M30" s="206"/>
      <c r="N30" s="206"/>
      <c r="P30" s="203"/>
      <c r="Q30" s="203"/>
      <c r="R30" s="203"/>
      <c r="S30" s="203"/>
      <c r="T30" s="203"/>
    </row>
    <row r="31" spans="3:21" x14ac:dyDescent="0.2">
      <c r="C31" s="72" t="s">
        <v>273</v>
      </c>
      <c r="D31" s="208">
        <f>(D20/0.6)*0.242</f>
        <v>0.40333333333333332</v>
      </c>
      <c r="E31" s="195" t="s">
        <v>116</v>
      </c>
      <c r="F31" s="134">
        <v>0.1</v>
      </c>
      <c r="G31" s="134">
        <f>D31*F31</f>
        <v>4.0333333333333332E-2</v>
      </c>
      <c r="H31" s="134">
        <f>$H$20*F31</f>
        <v>5</v>
      </c>
      <c r="I31" s="135">
        <f>G31*$H$20</f>
        <v>2.0166666666666666</v>
      </c>
      <c r="J31" s="152">
        <f>T31</f>
        <v>4.1455000000000002</v>
      </c>
      <c r="K31" s="135">
        <f>D31*J31</f>
        <v>1.6720183333333334</v>
      </c>
      <c r="L31" s="136">
        <f>SUM(I31,K31)</f>
        <v>3.688685</v>
      </c>
      <c r="M31" s="135">
        <f>L31/D31</f>
        <v>9.1455000000000002</v>
      </c>
      <c r="N31" s="137">
        <f>D31*M31</f>
        <v>3.688685</v>
      </c>
      <c r="P31" s="54">
        <f>U7</f>
        <v>3.71</v>
      </c>
      <c r="Q31" s="203">
        <f>P31*$Q$22</f>
        <v>3.8955000000000002</v>
      </c>
      <c r="R31" s="203">
        <f t="shared" si="0"/>
        <v>3.8955000000000002</v>
      </c>
      <c r="S31" s="203">
        <v>0.25</v>
      </c>
      <c r="T31" s="203">
        <f t="shared" si="1"/>
        <v>4.1455000000000002</v>
      </c>
    </row>
    <row r="32" spans="3:21" x14ac:dyDescent="0.2">
      <c r="C32" s="72" t="s">
        <v>274</v>
      </c>
      <c r="D32" s="208">
        <f>(D20/0.6)*2</f>
        <v>3.3333333333333335</v>
      </c>
      <c r="E32" s="195" t="s">
        <v>148</v>
      </c>
      <c r="F32" s="260">
        <v>0.15</v>
      </c>
      <c r="G32" s="134">
        <f>D32*F32</f>
        <v>0.5</v>
      </c>
      <c r="H32" s="134">
        <f>$H$20*F32</f>
        <v>7.5</v>
      </c>
      <c r="I32" s="135">
        <f>G32*$H$20</f>
        <v>25</v>
      </c>
      <c r="J32" s="152">
        <f>T32</f>
        <v>5.0925000000000002</v>
      </c>
      <c r="K32" s="135">
        <f>D32*J32</f>
        <v>16.975000000000001</v>
      </c>
      <c r="L32" s="136">
        <f>SUM(I32,K32)</f>
        <v>41.975000000000001</v>
      </c>
      <c r="M32" s="135">
        <f>L32/D32</f>
        <v>12.592499999999999</v>
      </c>
      <c r="N32" s="137">
        <f>D32*M32</f>
        <v>41.975000000000001</v>
      </c>
      <c r="P32" s="203">
        <f>T14</f>
        <v>4.8499999999999996</v>
      </c>
      <c r="Q32" s="203">
        <f>P32*$Q$22</f>
        <v>5.0925000000000002</v>
      </c>
      <c r="R32" s="203">
        <f t="shared" si="0"/>
        <v>5.0925000000000002</v>
      </c>
      <c r="S32" s="203"/>
      <c r="T32" s="203">
        <f t="shared" si="1"/>
        <v>5.0925000000000002</v>
      </c>
    </row>
    <row r="33" spans="3:21" x14ac:dyDescent="0.2">
      <c r="C33" s="72"/>
      <c r="D33" s="208"/>
      <c r="E33" s="195"/>
      <c r="F33" s="260"/>
      <c r="G33" s="134"/>
      <c r="H33" s="134"/>
      <c r="I33" s="135"/>
      <c r="J33" s="152"/>
      <c r="K33" s="135"/>
      <c r="L33" s="136"/>
      <c r="M33" s="135"/>
      <c r="N33" s="137"/>
      <c r="P33" s="203"/>
      <c r="Q33" s="203"/>
      <c r="R33" s="203"/>
      <c r="S33" s="203"/>
      <c r="T33" s="203"/>
    </row>
    <row r="34" spans="3:21" x14ac:dyDescent="0.2">
      <c r="C34" s="72" t="s">
        <v>275</v>
      </c>
      <c r="D34" s="208">
        <f>D20</f>
        <v>1</v>
      </c>
      <c r="E34" s="195" t="s">
        <v>116</v>
      </c>
      <c r="F34" s="260">
        <v>0.2</v>
      </c>
      <c r="G34" s="134">
        <f>D34*F34</f>
        <v>0.2</v>
      </c>
      <c r="H34" s="134">
        <f>$H$20*F34</f>
        <v>10</v>
      </c>
      <c r="I34" s="135">
        <f>G34*$H$20</f>
        <v>10</v>
      </c>
      <c r="J34" s="152">
        <f>T34*2</f>
        <v>8.7910000000000004</v>
      </c>
      <c r="K34" s="135">
        <f>D34*J34</f>
        <v>8.7910000000000004</v>
      </c>
      <c r="L34" s="136">
        <f>SUM(I34,K34)</f>
        <v>18.791</v>
      </c>
      <c r="M34" s="135">
        <f>L34/D34</f>
        <v>18.791</v>
      </c>
      <c r="N34" s="137">
        <f>D34*M34</f>
        <v>18.791</v>
      </c>
      <c r="O34" s="72" t="s">
        <v>276</v>
      </c>
      <c r="P34" s="54">
        <f>U7</f>
        <v>3.71</v>
      </c>
      <c r="Q34" s="203">
        <f>P34*$Q$22</f>
        <v>3.8955000000000002</v>
      </c>
      <c r="R34" s="203">
        <f t="shared" si="0"/>
        <v>3.8955000000000002</v>
      </c>
      <c r="S34" s="203">
        <v>0.5</v>
      </c>
      <c r="T34" s="203">
        <f t="shared" si="1"/>
        <v>4.3955000000000002</v>
      </c>
    </row>
    <row r="35" spans="3:21" x14ac:dyDescent="0.2">
      <c r="C35" s="72" t="s">
        <v>277</v>
      </c>
      <c r="D35" s="208">
        <f>D20</f>
        <v>1</v>
      </c>
      <c r="E35" s="195" t="s">
        <v>116</v>
      </c>
      <c r="F35" s="260">
        <v>0.1</v>
      </c>
      <c r="G35" s="134">
        <f>D35*F35</f>
        <v>0.1</v>
      </c>
      <c r="H35" s="134">
        <f>$H$20*F35</f>
        <v>5</v>
      </c>
      <c r="I35" s="135">
        <f>G35*$H$20</f>
        <v>5</v>
      </c>
      <c r="J35" s="152">
        <f>T35</f>
        <v>7.0225000000000009</v>
      </c>
      <c r="K35" s="135">
        <f>D35*J35</f>
        <v>7.0225000000000009</v>
      </c>
      <c r="L35" s="136">
        <f>SUM(I35,K35)</f>
        <v>12.022500000000001</v>
      </c>
      <c r="M35" s="135">
        <f>L35/D35</f>
        <v>12.022500000000001</v>
      </c>
      <c r="N35" s="137">
        <f>D35*M35</f>
        <v>12.022500000000001</v>
      </c>
      <c r="P35" s="54">
        <f>U5</f>
        <v>6.45</v>
      </c>
      <c r="Q35" s="203">
        <f>P35*$Q$22</f>
        <v>6.7725000000000009</v>
      </c>
      <c r="R35" s="203">
        <f t="shared" si="0"/>
        <v>6.7725000000000009</v>
      </c>
      <c r="S35" s="203">
        <v>0.25</v>
      </c>
      <c r="T35" s="203">
        <f t="shared" si="1"/>
        <v>7.0225000000000009</v>
      </c>
    </row>
    <row r="36" spans="3:21" x14ac:dyDescent="0.2">
      <c r="C36" s="72"/>
      <c r="D36" s="208"/>
      <c r="E36" s="195"/>
      <c r="F36" s="260"/>
      <c r="G36" s="134"/>
      <c r="H36" s="134"/>
      <c r="I36" s="135"/>
      <c r="J36" s="152"/>
      <c r="K36" s="135"/>
      <c r="L36" s="136"/>
      <c r="M36" s="135"/>
      <c r="N36" s="137"/>
      <c r="P36" s="203"/>
      <c r="Q36" s="203"/>
      <c r="R36" s="203"/>
      <c r="S36" s="203"/>
      <c r="T36" s="203"/>
    </row>
    <row r="37" spans="3:21" x14ac:dyDescent="0.2">
      <c r="C37" s="72" t="s">
        <v>281</v>
      </c>
      <c r="D37" s="208">
        <f>D20</f>
        <v>1</v>
      </c>
      <c r="E37" s="195" t="s">
        <v>116</v>
      </c>
      <c r="F37" s="260">
        <v>0.17</v>
      </c>
      <c r="G37" s="134">
        <f>D37*F37</f>
        <v>0.17</v>
      </c>
      <c r="H37" s="134">
        <f>$H$20*F37</f>
        <v>8.5</v>
      </c>
      <c r="I37" s="135">
        <f>G37*$H$20</f>
        <v>8.5</v>
      </c>
      <c r="J37" s="152">
        <f>T37</f>
        <v>4.24</v>
      </c>
      <c r="K37" s="135">
        <f>D37*J37</f>
        <v>4.24</v>
      </c>
      <c r="L37" s="136">
        <f>SUM(I37,K37)</f>
        <v>12.74</v>
      </c>
      <c r="M37" s="135">
        <f>L37/D37</f>
        <v>12.74</v>
      </c>
      <c r="N37" s="137">
        <f>D37*M37</f>
        <v>12.74</v>
      </c>
      <c r="P37" s="203">
        <f>Q16</f>
        <v>3.8</v>
      </c>
      <c r="Q37" s="203">
        <f>P37*$Q$22</f>
        <v>3.9899999999999998</v>
      </c>
      <c r="R37" s="203">
        <f t="shared" si="0"/>
        <v>3.9899999999999998</v>
      </c>
      <c r="S37" s="203">
        <v>0.25</v>
      </c>
      <c r="T37" s="203">
        <f t="shared" si="1"/>
        <v>4.24</v>
      </c>
    </row>
    <row r="38" spans="3:21" x14ac:dyDescent="0.2">
      <c r="D38" s="208"/>
      <c r="E38" s="206"/>
      <c r="F38" s="260"/>
      <c r="G38" s="206"/>
      <c r="H38" s="134"/>
      <c r="I38" s="206"/>
      <c r="J38" s="206"/>
      <c r="K38" s="206"/>
      <c r="L38" s="206"/>
      <c r="M38" s="206"/>
      <c r="N38" s="206"/>
      <c r="P38" s="203"/>
      <c r="Q38" s="203"/>
      <c r="R38" s="203"/>
      <c r="S38" s="203"/>
      <c r="T38" s="203"/>
    </row>
    <row r="39" spans="3:21" x14ac:dyDescent="0.2">
      <c r="C39" s="204" t="s">
        <v>272</v>
      </c>
      <c r="D39" s="207">
        <f>(D20/0.6)*30</f>
        <v>50</v>
      </c>
      <c r="E39" s="195" t="s">
        <v>148</v>
      </c>
      <c r="F39" s="134">
        <v>0</v>
      </c>
      <c r="G39" s="134">
        <f>D39*F39</f>
        <v>0</v>
      </c>
      <c r="H39" s="134">
        <f>$H$20*F39</f>
        <v>0</v>
      </c>
      <c r="I39" s="135">
        <f>G39*$H$20</f>
        <v>0</v>
      </c>
      <c r="J39" s="257">
        <v>2.5999999999999999E-2</v>
      </c>
      <c r="K39" s="135">
        <f>D39*J39</f>
        <v>1.3</v>
      </c>
      <c r="L39" s="136">
        <f>SUM(I39,K39)</f>
        <v>1.3</v>
      </c>
      <c r="M39" s="135">
        <f>L39/D39</f>
        <v>2.6000000000000002E-2</v>
      </c>
      <c r="N39" s="137">
        <f>D39*M39</f>
        <v>1.3</v>
      </c>
      <c r="P39" s="203"/>
      <c r="Q39" s="203">
        <f>P39*$Q$22</f>
        <v>0</v>
      </c>
      <c r="R39" s="203">
        <f t="shared" si="0"/>
        <v>0</v>
      </c>
      <c r="S39" s="203"/>
      <c r="T39" s="203">
        <f t="shared" si="1"/>
        <v>0</v>
      </c>
    </row>
    <row r="40" spans="3:21" x14ac:dyDescent="0.2">
      <c r="C40" s="216"/>
      <c r="D40" s="216"/>
      <c r="E40" s="216"/>
      <c r="F40" s="258"/>
      <c r="G40" s="216"/>
      <c r="H40" s="216"/>
      <c r="I40" s="216"/>
      <c r="J40" s="216"/>
      <c r="K40" s="216"/>
      <c r="L40" s="216"/>
      <c r="M40" s="216"/>
      <c r="N40" s="216"/>
      <c r="O40" s="216"/>
      <c r="P40" s="216"/>
      <c r="Q40" s="216"/>
      <c r="R40" s="216"/>
      <c r="S40" s="216"/>
      <c r="T40" s="216"/>
      <c r="U40" s="216"/>
    </row>
    <row r="41" spans="3:21" ht="13.5" thickBot="1" x14ac:dyDescent="0.25">
      <c r="C41" s="221"/>
      <c r="D41" s="221"/>
      <c r="E41" s="221"/>
      <c r="F41" s="221"/>
      <c r="G41" s="222">
        <f>SUM(G23:G40)</f>
        <v>1.9770000000000001</v>
      </c>
      <c r="H41" s="223"/>
      <c r="I41" s="224">
        <f>SUM(I23:I40)</f>
        <v>98.85</v>
      </c>
      <c r="J41" s="224"/>
      <c r="K41" s="224">
        <f>SUM(K23:K40)</f>
        <v>68.917518333333334</v>
      </c>
      <c r="L41" s="224"/>
      <c r="M41" s="224"/>
      <c r="N41" s="224">
        <f>SUM(N23:N40)</f>
        <v>167.76751833333338</v>
      </c>
      <c r="O41" s="221"/>
      <c r="P41" s="221"/>
      <c r="Q41" s="221"/>
      <c r="R41" s="221"/>
      <c r="S41" s="221"/>
      <c r="T41" s="221"/>
      <c r="U41" s="221"/>
    </row>
    <row r="42" spans="3:21" ht="13.5" thickTop="1" x14ac:dyDescent="0.2"/>
    <row r="43" spans="3:21" x14ac:dyDescent="0.2">
      <c r="C43" s="209" t="s">
        <v>345</v>
      </c>
      <c r="D43" s="210">
        <v>1</v>
      </c>
      <c r="E43" s="211" t="s">
        <v>267</v>
      </c>
      <c r="F43" s="212">
        <v>1</v>
      </c>
      <c r="G43" s="213" t="s">
        <v>269</v>
      </c>
      <c r="H43" s="214">
        <f>Partitions!H11</f>
        <v>50</v>
      </c>
      <c r="I43" s="215"/>
      <c r="J43" s="215"/>
      <c r="K43" s="215"/>
      <c r="L43" s="215"/>
      <c r="M43" s="215"/>
      <c r="N43" s="215"/>
      <c r="P43" s="72"/>
      <c r="Q43" s="72"/>
      <c r="R43" s="72"/>
    </row>
    <row r="44" spans="3:21" x14ac:dyDescent="0.2">
      <c r="P44" s="72" t="s">
        <v>282</v>
      </c>
      <c r="Q44" s="72" t="s">
        <v>283</v>
      </c>
      <c r="R44" s="72"/>
      <c r="S44" s="72" t="s">
        <v>284</v>
      </c>
    </row>
    <row r="45" spans="3:21" x14ac:dyDescent="0.2">
      <c r="F45" s="259"/>
      <c r="P45" s="72"/>
      <c r="Q45" s="72">
        <v>1.05</v>
      </c>
      <c r="R45" s="72"/>
      <c r="S45" s="72"/>
    </row>
    <row r="46" spans="3:21" x14ac:dyDescent="0.2">
      <c r="C46" s="72" t="s">
        <v>265</v>
      </c>
      <c r="D46" s="207">
        <f>D43</f>
        <v>1</v>
      </c>
      <c r="E46" s="195" t="s">
        <v>116</v>
      </c>
      <c r="F46" s="134">
        <v>0.15</v>
      </c>
      <c r="G46" s="134">
        <f>D46*F46</f>
        <v>0.15</v>
      </c>
      <c r="H46" s="134">
        <f>$H$43*F46</f>
        <v>7.5</v>
      </c>
      <c r="I46" s="135">
        <f>G46*$H$20</f>
        <v>7.5</v>
      </c>
      <c r="J46" s="152">
        <f>T46</f>
        <v>7.0225000000000009</v>
      </c>
      <c r="K46" s="135">
        <f>D46*J46</f>
        <v>7.0225000000000009</v>
      </c>
      <c r="L46" s="136">
        <f>SUM(I46,K46)</f>
        <v>14.522500000000001</v>
      </c>
      <c r="M46" s="135">
        <f>L46/D46</f>
        <v>14.522500000000001</v>
      </c>
      <c r="N46" s="137">
        <f>D46*M46</f>
        <v>14.522500000000001</v>
      </c>
      <c r="P46" s="54">
        <f>U5</f>
        <v>6.45</v>
      </c>
      <c r="Q46" s="203">
        <f>P46*$Q$22</f>
        <v>6.7725000000000009</v>
      </c>
      <c r="R46" s="203">
        <f>Q46</f>
        <v>6.7725000000000009</v>
      </c>
      <c r="S46" s="203">
        <v>0.25</v>
      </c>
      <c r="T46" s="203">
        <f>SUM(R46:S46)</f>
        <v>7.0225000000000009</v>
      </c>
    </row>
    <row r="47" spans="3:21" x14ac:dyDescent="0.2">
      <c r="C47" s="72" t="s">
        <v>268</v>
      </c>
      <c r="D47" s="207">
        <f>D43/0.6</f>
        <v>1.6666666666666667</v>
      </c>
      <c r="E47" s="195" t="s">
        <v>148</v>
      </c>
      <c r="F47" s="134">
        <v>0.1</v>
      </c>
      <c r="G47" s="134">
        <f>D47*F47</f>
        <v>0.16666666666666669</v>
      </c>
      <c r="H47" s="134">
        <f>$H$43*F47</f>
        <v>5</v>
      </c>
      <c r="I47" s="135">
        <f>G47*$H$20</f>
        <v>8.3333333333333339</v>
      </c>
      <c r="J47" s="152">
        <f>Q17</f>
        <v>1.7</v>
      </c>
      <c r="K47" s="135">
        <f>D47*J47</f>
        <v>2.8333333333333335</v>
      </c>
      <c r="L47" s="136">
        <f>SUM(I47,K47)</f>
        <v>11.166666666666668</v>
      </c>
      <c r="M47" s="135">
        <f>L47/D47</f>
        <v>6.7</v>
      </c>
      <c r="N47" s="137">
        <f>D47*M47</f>
        <v>11.166666666666668</v>
      </c>
      <c r="P47" s="203"/>
      <c r="Q47" s="203">
        <f>P47*$Q$22</f>
        <v>0</v>
      </c>
      <c r="R47" s="203">
        <f t="shared" ref="R47:R60" si="2">Q47</f>
        <v>0</v>
      </c>
      <c r="S47" s="203"/>
      <c r="T47" s="203">
        <f>SUM(R47:S47)</f>
        <v>0</v>
      </c>
    </row>
    <row r="48" spans="3:21" x14ac:dyDescent="0.2">
      <c r="C48" s="204" t="s">
        <v>271</v>
      </c>
      <c r="D48" s="207">
        <f>(D43/0.6)*F43</f>
        <v>1.6666666666666667</v>
      </c>
      <c r="E48" s="195" t="s">
        <v>116</v>
      </c>
      <c r="F48" s="134">
        <v>0.1</v>
      </c>
      <c r="G48" s="134">
        <f>D48*F48</f>
        <v>0.16666666666666669</v>
      </c>
      <c r="H48" s="134">
        <f>$H$43*F48</f>
        <v>5</v>
      </c>
      <c r="I48" s="135">
        <f>G48*$H$20</f>
        <v>8.3333333333333339</v>
      </c>
      <c r="J48" s="152">
        <f>T48</f>
        <v>4.1455000000000002</v>
      </c>
      <c r="K48" s="135">
        <f>D48*J48</f>
        <v>6.9091666666666676</v>
      </c>
      <c r="L48" s="136">
        <f>SUM(I48,K48)</f>
        <v>15.242500000000001</v>
      </c>
      <c r="M48" s="135">
        <f>L48/D48</f>
        <v>9.1455000000000002</v>
      </c>
      <c r="N48" s="137">
        <f>D48*M48</f>
        <v>15.242500000000001</v>
      </c>
      <c r="P48" s="54">
        <f>U7</f>
        <v>3.71</v>
      </c>
      <c r="Q48" s="203">
        <f>P48*$Q$22</f>
        <v>3.8955000000000002</v>
      </c>
      <c r="R48" s="203">
        <f t="shared" si="2"/>
        <v>3.8955000000000002</v>
      </c>
      <c r="S48" s="203">
        <v>0.25</v>
      </c>
      <c r="T48" s="203">
        <f>SUM(R48:S48)</f>
        <v>4.1455000000000002</v>
      </c>
    </row>
    <row r="49" spans="3:21" x14ac:dyDescent="0.2">
      <c r="C49" s="204"/>
      <c r="D49" s="207"/>
      <c r="E49" s="195"/>
      <c r="F49" s="134"/>
      <c r="G49" s="134"/>
      <c r="H49" s="134"/>
      <c r="I49" s="135"/>
      <c r="J49" s="152"/>
      <c r="K49" s="135"/>
      <c r="L49" s="136"/>
      <c r="M49" s="135"/>
      <c r="N49" s="137"/>
      <c r="P49" s="203"/>
      <c r="Q49" s="203"/>
      <c r="R49" s="203"/>
      <c r="S49" s="203"/>
      <c r="T49" s="203"/>
    </row>
    <row r="50" spans="3:21" x14ac:dyDescent="0.2">
      <c r="C50" s="72" t="s">
        <v>274</v>
      </c>
      <c r="D50" s="208">
        <f>D43/0.6</f>
        <v>1.6666666666666667</v>
      </c>
      <c r="E50" s="195" t="s">
        <v>148</v>
      </c>
      <c r="F50" s="260">
        <v>7.0000000000000007E-2</v>
      </c>
      <c r="G50" s="134">
        <f>D50*F50</f>
        <v>0.11666666666666668</v>
      </c>
      <c r="H50" s="134">
        <f>$H$43*F50</f>
        <v>3.5000000000000004</v>
      </c>
      <c r="I50" s="135">
        <f>G50*$H$20</f>
        <v>5.8333333333333339</v>
      </c>
      <c r="J50" s="152">
        <f>T50</f>
        <v>5.0925000000000002</v>
      </c>
      <c r="K50" s="135">
        <f>D50*J50</f>
        <v>8.4875000000000007</v>
      </c>
      <c r="L50" s="136">
        <f>SUM(I50,K50)</f>
        <v>14.320833333333335</v>
      </c>
      <c r="M50" s="135">
        <f>L50/D50</f>
        <v>8.5925000000000011</v>
      </c>
      <c r="N50" s="137">
        <f>D50*M50</f>
        <v>14.320833333333336</v>
      </c>
      <c r="P50" s="203">
        <f>T14</f>
        <v>4.8499999999999996</v>
      </c>
      <c r="Q50" s="203">
        <f>P50*$Q$22</f>
        <v>5.0925000000000002</v>
      </c>
      <c r="R50" s="203">
        <f t="shared" si="2"/>
        <v>5.0925000000000002</v>
      </c>
      <c r="S50" s="203"/>
      <c r="T50" s="203">
        <f>SUM(R50:S50)</f>
        <v>5.0925000000000002</v>
      </c>
    </row>
    <row r="51" spans="3:21" x14ac:dyDescent="0.2">
      <c r="D51" s="206"/>
      <c r="E51" s="195"/>
      <c r="F51" s="260"/>
      <c r="G51" s="206"/>
      <c r="H51" s="134"/>
      <c r="I51" s="206"/>
      <c r="J51" s="206"/>
      <c r="K51" s="206"/>
      <c r="L51" s="206"/>
      <c r="M51" s="206"/>
      <c r="N51" s="206"/>
      <c r="Q51" s="203"/>
      <c r="R51" s="203"/>
    </row>
    <row r="52" spans="3:21" x14ac:dyDescent="0.2">
      <c r="C52" s="72" t="s">
        <v>346</v>
      </c>
      <c r="D52" s="208">
        <f>(D43/1.8)*2</f>
        <v>1.1111111111111112</v>
      </c>
      <c r="E52" s="195" t="s">
        <v>148</v>
      </c>
      <c r="F52" s="260">
        <v>7.0000000000000007E-2</v>
      </c>
      <c r="G52" s="134">
        <f>D52*F52</f>
        <v>7.7777777777777793E-2</v>
      </c>
      <c r="H52" s="134">
        <f>$H$43*F52</f>
        <v>3.5000000000000004</v>
      </c>
      <c r="I52" s="135">
        <f>G52*$H$20</f>
        <v>3.8888888888888897</v>
      </c>
      <c r="J52" s="152">
        <f>T52</f>
        <v>5.0925000000000002</v>
      </c>
      <c r="K52" s="135">
        <f>D52*J52</f>
        <v>5.6583333333333341</v>
      </c>
      <c r="L52" s="136">
        <f>SUM(I52,K52)</f>
        <v>9.5472222222222243</v>
      </c>
      <c r="M52" s="135">
        <f>L52/D52</f>
        <v>8.5925000000000011</v>
      </c>
      <c r="N52" s="137">
        <f>D52*M52</f>
        <v>9.5472222222222243</v>
      </c>
      <c r="P52" s="203">
        <f>T15</f>
        <v>4.8499999999999996</v>
      </c>
      <c r="Q52" s="203">
        <f>P52*$Q$22</f>
        <v>5.0925000000000002</v>
      </c>
      <c r="R52" s="203">
        <f t="shared" si="2"/>
        <v>5.0925000000000002</v>
      </c>
      <c r="S52" s="203"/>
      <c r="T52" s="203">
        <f>SUM(R52:S52)</f>
        <v>5.0925000000000002</v>
      </c>
    </row>
    <row r="53" spans="3:21" x14ac:dyDescent="0.2">
      <c r="C53" s="72" t="s">
        <v>347</v>
      </c>
      <c r="D53" s="252">
        <f>(D43/1.8)*2.2</f>
        <v>1.2222222222222223</v>
      </c>
      <c r="E53" s="195" t="s">
        <v>116</v>
      </c>
      <c r="F53" s="260">
        <v>0.1</v>
      </c>
      <c r="G53" s="134">
        <f>D53*F53</f>
        <v>0.12222222222222223</v>
      </c>
      <c r="H53" s="134">
        <f>$H$43*F53</f>
        <v>5</v>
      </c>
      <c r="I53" s="135">
        <f>G53*$H$20</f>
        <v>6.1111111111111116</v>
      </c>
      <c r="J53" s="152">
        <f>T53</f>
        <v>4.1455000000000002</v>
      </c>
      <c r="K53" s="135">
        <f>D53*J53</f>
        <v>5.0667222222222232</v>
      </c>
      <c r="L53" s="136">
        <f>SUM(I53,K53)</f>
        <v>11.177833333333336</v>
      </c>
      <c r="M53" s="135">
        <f>L53/D53</f>
        <v>9.145500000000002</v>
      </c>
      <c r="N53" s="137">
        <f>D53*M53</f>
        <v>11.177833333333338</v>
      </c>
      <c r="P53" s="54">
        <f>U7</f>
        <v>3.71</v>
      </c>
      <c r="Q53" s="203">
        <f>P53*$Q$22</f>
        <v>3.8955000000000002</v>
      </c>
      <c r="R53" s="203">
        <f t="shared" si="2"/>
        <v>3.8955000000000002</v>
      </c>
      <c r="S53" s="203">
        <v>0.25</v>
      </c>
      <c r="T53" s="203">
        <f>SUM(R53:S53)</f>
        <v>4.1455000000000002</v>
      </c>
    </row>
    <row r="54" spans="3:21" x14ac:dyDescent="0.2">
      <c r="D54" s="206"/>
      <c r="E54" s="206"/>
      <c r="F54" s="260"/>
      <c r="G54" s="206"/>
      <c r="H54" s="134"/>
      <c r="I54" s="206"/>
      <c r="J54" s="206"/>
      <c r="K54" s="206"/>
      <c r="L54" s="206"/>
      <c r="M54" s="206"/>
      <c r="N54" s="206"/>
      <c r="Q54" s="203"/>
      <c r="R54" s="203"/>
    </row>
    <row r="55" spans="3:21" x14ac:dyDescent="0.2">
      <c r="C55" s="72" t="s">
        <v>275</v>
      </c>
      <c r="D55" s="208">
        <f>D43</f>
        <v>1</v>
      </c>
      <c r="E55" s="195" t="s">
        <v>116</v>
      </c>
      <c r="F55" s="260">
        <v>0.2</v>
      </c>
      <c r="G55" s="134">
        <f>D55*F55</f>
        <v>0.2</v>
      </c>
      <c r="H55" s="134">
        <f>$H$43*F55</f>
        <v>10</v>
      </c>
      <c r="I55" s="135">
        <f>G55*$H$20</f>
        <v>10</v>
      </c>
      <c r="J55" s="152">
        <f>T55</f>
        <v>4.3955000000000002</v>
      </c>
      <c r="K55" s="135">
        <f>D55*J55</f>
        <v>4.3955000000000002</v>
      </c>
      <c r="L55" s="136">
        <f>SUM(I55,K55)</f>
        <v>14.3955</v>
      </c>
      <c r="M55" s="135">
        <f>L55/D55</f>
        <v>14.3955</v>
      </c>
      <c r="N55" s="137">
        <f>D55*M55</f>
        <v>14.3955</v>
      </c>
      <c r="O55" s="72" t="s">
        <v>276</v>
      </c>
      <c r="P55" s="54">
        <f>U7</f>
        <v>3.71</v>
      </c>
      <c r="Q55" s="203">
        <f>P55*$Q$22</f>
        <v>3.8955000000000002</v>
      </c>
      <c r="R55" s="203">
        <f t="shared" si="2"/>
        <v>3.8955000000000002</v>
      </c>
      <c r="S55" s="203">
        <v>0.5</v>
      </c>
      <c r="T55" s="203">
        <f>SUM(R55:S55)</f>
        <v>4.3955000000000002</v>
      </c>
    </row>
    <row r="56" spans="3:21" x14ac:dyDescent="0.2">
      <c r="C56" s="72" t="s">
        <v>277</v>
      </c>
      <c r="D56" s="208">
        <f>D43</f>
        <v>1</v>
      </c>
      <c r="E56" s="195" t="s">
        <v>116</v>
      </c>
      <c r="F56" s="260">
        <v>0.1</v>
      </c>
      <c r="G56" s="134">
        <f>D56*F56</f>
        <v>0.1</v>
      </c>
      <c r="H56" s="134">
        <f>$H$43*F56</f>
        <v>5</v>
      </c>
      <c r="I56" s="135">
        <f>G56*$H$20</f>
        <v>5</v>
      </c>
      <c r="J56" s="152">
        <f>T56</f>
        <v>7.0225000000000009</v>
      </c>
      <c r="K56" s="135">
        <f>D56*J56</f>
        <v>7.0225000000000009</v>
      </c>
      <c r="L56" s="136">
        <f>SUM(I56,K56)</f>
        <v>12.022500000000001</v>
      </c>
      <c r="M56" s="135">
        <f>L56/D56</f>
        <v>12.022500000000001</v>
      </c>
      <c r="N56" s="137">
        <f>D56*M56</f>
        <v>12.022500000000001</v>
      </c>
      <c r="P56" s="54">
        <f>U5</f>
        <v>6.45</v>
      </c>
      <c r="Q56" s="203">
        <f>P56*$Q$22</f>
        <v>6.7725000000000009</v>
      </c>
      <c r="R56" s="203">
        <f t="shared" si="2"/>
        <v>6.7725000000000009</v>
      </c>
      <c r="S56" s="203">
        <v>0.25</v>
      </c>
      <c r="T56" s="203">
        <f>SUM(R56:S56)</f>
        <v>7.0225000000000009</v>
      </c>
    </row>
    <row r="57" spans="3:21" x14ac:dyDescent="0.2">
      <c r="D57" s="206"/>
      <c r="E57" s="206"/>
      <c r="F57" s="260"/>
      <c r="G57" s="206"/>
      <c r="H57" s="134"/>
      <c r="I57" s="206"/>
      <c r="J57" s="206"/>
      <c r="K57" s="206"/>
      <c r="L57" s="206"/>
      <c r="M57" s="206"/>
      <c r="N57" s="206"/>
      <c r="Q57" s="203"/>
      <c r="R57" s="203"/>
    </row>
    <row r="58" spans="3:21" x14ac:dyDescent="0.2">
      <c r="C58" s="72" t="s">
        <v>281</v>
      </c>
      <c r="D58" s="208">
        <f>D43</f>
        <v>1</v>
      </c>
      <c r="E58" s="195" t="s">
        <v>116</v>
      </c>
      <c r="F58" s="260">
        <v>0.17</v>
      </c>
      <c r="G58" s="134">
        <f>D58*F58</f>
        <v>0.17</v>
      </c>
      <c r="H58" s="134">
        <f>$H$43*F58</f>
        <v>8.5</v>
      </c>
      <c r="I58" s="135">
        <f>G58*$H$20</f>
        <v>8.5</v>
      </c>
      <c r="J58" s="152">
        <f>T58</f>
        <v>4.24</v>
      </c>
      <c r="K58" s="135">
        <f>D58*J58</f>
        <v>4.24</v>
      </c>
      <c r="L58" s="136">
        <f>SUM(I58,K58)</f>
        <v>12.74</v>
      </c>
      <c r="M58" s="135">
        <f>L58/D58</f>
        <v>12.74</v>
      </c>
      <c r="N58" s="137">
        <f>D58*M58</f>
        <v>12.74</v>
      </c>
      <c r="P58" s="203">
        <f>Q16</f>
        <v>3.8</v>
      </c>
      <c r="Q58" s="203">
        <f>P58*$Q$22</f>
        <v>3.9899999999999998</v>
      </c>
      <c r="R58" s="203">
        <f t="shared" si="2"/>
        <v>3.9899999999999998</v>
      </c>
      <c r="S58" s="203">
        <v>0.25</v>
      </c>
      <c r="T58" s="203">
        <f>SUM(R58:S58)</f>
        <v>4.24</v>
      </c>
    </row>
    <row r="59" spans="3:21" x14ac:dyDescent="0.2">
      <c r="D59" s="208"/>
      <c r="E59" s="206"/>
      <c r="F59" s="260"/>
      <c r="G59" s="206"/>
      <c r="H59" s="134"/>
      <c r="I59" s="206"/>
      <c r="J59" s="206"/>
      <c r="K59" s="206"/>
      <c r="L59" s="206"/>
      <c r="M59" s="206"/>
      <c r="N59" s="206"/>
      <c r="P59" s="203"/>
      <c r="Q59" s="203"/>
      <c r="R59" s="203"/>
      <c r="S59" s="203"/>
      <c r="T59" s="203"/>
    </row>
    <row r="60" spans="3:21" x14ac:dyDescent="0.2">
      <c r="C60" s="204" t="s">
        <v>272</v>
      </c>
      <c r="D60" s="207">
        <f>(D43/0.6)*25</f>
        <v>41.666666666666671</v>
      </c>
      <c r="E60" s="195" t="s">
        <v>148</v>
      </c>
      <c r="F60" s="134">
        <v>0</v>
      </c>
      <c r="G60" s="134">
        <f>D60*F60</f>
        <v>0</v>
      </c>
      <c r="H60" s="134">
        <f>$H$43*F60</f>
        <v>0</v>
      </c>
      <c r="I60" s="135">
        <f>G60*$H$20</f>
        <v>0</v>
      </c>
      <c r="J60" s="257">
        <v>2.5999999999999999E-2</v>
      </c>
      <c r="K60" s="135">
        <f>D60*J60</f>
        <v>1.0833333333333335</v>
      </c>
      <c r="L60" s="136">
        <f>SUM(I60,K60)</f>
        <v>1.0833333333333335</v>
      </c>
      <c r="M60" s="135">
        <f>L60/D60</f>
        <v>2.6000000000000002E-2</v>
      </c>
      <c r="N60" s="137">
        <f>D60*M60</f>
        <v>1.0833333333333335</v>
      </c>
      <c r="P60" s="203"/>
      <c r="Q60" s="203">
        <f>P60*$Q$22</f>
        <v>0</v>
      </c>
      <c r="R60" s="203">
        <f t="shared" si="2"/>
        <v>0</v>
      </c>
      <c r="S60" s="203"/>
      <c r="T60" s="203">
        <f>SUM(R60:S60)</f>
        <v>0</v>
      </c>
    </row>
    <row r="61" spans="3:21" x14ac:dyDescent="0.2">
      <c r="C61" s="216"/>
      <c r="D61" s="216"/>
      <c r="E61" s="216"/>
      <c r="F61" s="216"/>
      <c r="G61" s="216"/>
      <c r="H61" s="216"/>
      <c r="I61" s="216"/>
      <c r="J61" s="216"/>
      <c r="K61" s="216"/>
      <c r="L61" s="216"/>
      <c r="M61" s="216"/>
      <c r="N61" s="216"/>
      <c r="O61" s="216"/>
      <c r="P61" s="216"/>
      <c r="Q61" s="216"/>
      <c r="R61" s="216"/>
      <c r="S61" s="216"/>
      <c r="T61" s="216"/>
      <c r="U61" s="216"/>
    </row>
    <row r="62" spans="3:21" ht="13.5" thickBot="1" x14ac:dyDescent="0.25">
      <c r="C62" s="221"/>
      <c r="D62" s="221"/>
      <c r="E62" s="221"/>
      <c r="F62" s="221"/>
      <c r="G62" s="222">
        <f>SUM(G44:G61)</f>
        <v>1.27</v>
      </c>
      <c r="H62" s="223"/>
      <c r="I62" s="224">
        <f>SUM(I44:I61)</f>
        <v>63.500000000000007</v>
      </c>
      <c r="J62" s="224"/>
      <c r="K62" s="224">
        <f>SUM(K44:K61)</f>
        <v>52.718888888888898</v>
      </c>
      <c r="L62" s="224"/>
      <c r="M62" s="224"/>
      <c r="N62" s="224">
        <f>SUM(N44:N61)</f>
        <v>116.2188888888889</v>
      </c>
      <c r="O62" s="221"/>
      <c r="P62" s="221"/>
      <c r="Q62" s="221"/>
      <c r="R62" s="221"/>
      <c r="S62" s="221"/>
      <c r="T62" s="221"/>
      <c r="U62" s="221"/>
    </row>
    <row r="63" spans="3:21" ht="13.5" thickTop="1" x14ac:dyDescent="0.2"/>
    <row r="64" spans="3:21" x14ac:dyDescent="0.2">
      <c r="C64" s="209" t="s">
        <v>296</v>
      </c>
      <c r="D64" s="210">
        <v>1</v>
      </c>
      <c r="E64" s="211" t="s">
        <v>267</v>
      </c>
      <c r="F64" s="212">
        <v>1</v>
      </c>
      <c r="G64" s="213" t="s">
        <v>269</v>
      </c>
      <c r="H64" s="214">
        <f>Partitions!H11</f>
        <v>50</v>
      </c>
      <c r="I64" s="215"/>
      <c r="J64" s="215"/>
      <c r="K64" s="215"/>
      <c r="L64" s="215"/>
      <c r="M64" s="215"/>
      <c r="N64" s="215"/>
      <c r="P64" s="72"/>
      <c r="Q64" s="72"/>
      <c r="R64" s="72"/>
    </row>
    <row r="65" spans="3:21" x14ac:dyDescent="0.2">
      <c r="P65" s="72" t="s">
        <v>282</v>
      </c>
      <c r="Q65" s="72" t="s">
        <v>283</v>
      </c>
      <c r="R65" s="72"/>
      <c r="S65" s="72" t="s">
        <v>284</v>
      </c>
    </row>
    <row r="66" spans="3:21" x14ac:dyDescent="0.2">
      <c r="P66" s="72"/>
      <c r="Q66" s="72">
        <v>1.05</v>
      </c>
      <c r="R66" s="72"/>
      <c r="S66" s="72"/>
    </row>
    <row r="67" spans="3:21" x14ac:dyDescent="0.2">
      <c r="C67" s="72" t="s">
        <v>450</v>
      </c>
      <c r="D67" s="207">
        <f>D64</f>
        <v>1</v>
      </c>
      <c r="E67" s="195" t="s">
        <v>116</v>
      </c>
      <c r="F67" s="134">
        <v>0.15</v>
      </c>
      <c r="G67" s="134">
        <f>D67*F67</f>
        <v>0.15</v>
      </c>
      <c r="H67" s="134">
        <f>$H$64*F67</f>
        <v>7.5</v>
      </c>
      <c r="I67" s="135">
        <f>G67*$H$20</f>
        <v>7.5</v>
      </c>
      <c r="J67" s="152">
        <f>T67</f>
        <v>4.1455000000000002</v>
      </c>
      <c r="K67" s="135">
        <f>D67*J67</f>
        <v>4.1455000000000002</v>
      </c>
      <c r="L67" s="136">
        <f>SUM(I67,K67)</f>
        <v>11.6455</v>
      </c>
      <c r="M67" s="135">
        <f>L67/D67</f>
        <v>11.6455</v>
      </c>
      <c r="N67" s="137">
        <f>D67*M67</f>
        <v>11.6455</v>
      </c>
      <c r="P67" s="54">
        <f>U10</f>
        <v>3.71</v>
      </c>
      <c r="Q67" s="203">
        <f>P67*$Q$22</f>
        <v>3.8955000000000002</v>
      </c>
      <c r="R67" s="203">
        <f>Q67</f>
        <v>3.8955000000000002</v>
      </c>
      <c r="S67" s="203">
        <v>0.25</v>
      </c>
      <c r="T67" s="203">
        <f>SUM(R67:S67)</f>
        <v>4.1455000000000002</v>
      </c>
    </row>
    <row r="68" spans="3:21" x14ac:dyDescent="0.2">
      <c r="C68" s="72" t="s">
        <v>268</v>
      </c>
      <c r="D68" s="207">
        <f>D64/0.6</f>
        <v>1.6666666666666667</v>
      </c>
      <c r="E68" s="195" t="s">
        <v>148</v>
      </c>
      <c r="F68" s="134">
        <v>0.1</v>
      </c>
      <c r="G68" s="134">
        <f>D68*F68</f>
        <v>0.16666666666666669</v>
      </c>
      <c r="H68" s="134">
        <f>$H$64*F68</f>
        <v>5</v>
      </c>
      <c r="I68" s="135">
        <f>G68*$H$20</f>
        <v>8.3333333333333339</v>
      </c>
      <c r="J68" s="152">
        <f>Q17</f>
        <v>1.7</v>
      </c>
      <c r="K68" s="135">
        <f>D68*J68</f>
        <v>2.8333333333333335</v>
      </c>
      <c r="L68" s="136">
        <f>SUM(I68,K68)</f>
        <v>11.166666666666668</v>
      </c>
      <c r="M68" s="135">
        <f>L68/D68</f>
        <v>6.7</v>
      </c>
      <c r="N68" s="137">
        <f>D68*M68</f>
        <v>11.166666666666668</v>
      </c>
      <c r="P68" s="203"/>
      <c r="Q68" s="203"/>
      <c r="R68" s="203">
        <f t="shared" ref="R68:R74" si="3">Q68</f>
        <v>0</v>
      </c>
      <c r="S68" s="203"/>
      <c r="T68" s="203">
        <f>SUM(R68:S68)</f>
        <v>0</v>
      </c>
    </row>
    <row r="69" spans="3:21" x14ac:dyDescent="0.2">
      <c r="C69" s="204" t="s">
        <v>270</v>
      </c>
      <c r="D69" s="207">
        <f>(D64/0.4)*F64</f>
        <v>2.5</v>
      </c>
      <c r="E69" s="195" t="s">
        <v>116</v>
      </c>
      <c r="F69" s="134">
        <v>0.1</v>
      </c>
      <c r="G69" s="134">
        <f>D69*F69</f>
        <v>0.25</v>
      </c>
      <c r="H69" s="134">
        <f>$H$64*F69</f>
        <v>5</v>
      </c>
      <c r="I69" s="135">
        <f>G69*$H$20</f>
        <v>12.5</v>
      </c>
      <c r="J69" s="152">
        <f>T69</f>
        <v>3.6205000000000003</v>
      </c>
      <c r="K69" s="135">
        <f>D69*J69</f>
        <v>9.0512500000000014</v>
      </c>
      <c r="L69" s="136">
        <f>SUM(I69,K69)</f>
        <v>21.551250000000003</v>
      </c>
      <c r="M69" s="135">
        <f>L69/D69</f>
        <v>8.6205000000000016</v>
      </c>
      <c r="N69" s="137">
        <f>D69*M69</f>
        <v>21.551250000000003</v>
      </c>
      <c r="P69" s="54">
        <f>U13</f>
        <v>3.21</v>
      </c>
      <c r="Q69" s="203">
        <f>P69*$Q$22</f>
        <v>3.3705000000000003</v>
      </c>
      <c r="R69" s="203">
        <f t="shared" si="3"/>
        <v>3.3705000000000003</v>
      </c>
      <c r="S69" s="203">
        <v>0.25</v>
      </c>
      <c r="T69" s="203">
        <f>SUM(R69:S69)</f>
        <v>3.6205000000000003</v>
      </c>
    </row>
    <row r="70" spans="3:21" x14ac:dyDescent="0.2">
      <c r="C70" s="204" t="s">
        <v>298</v>
      </c>
      <c r="D70" s="207">
        <f>D64</f>
        <v>1</v>
      </c>
      <c r="E70" s="195" t="s">
        <v>116</v>
      </c>
      <c r="F70" s="134">
        <v>0.1</v>
      </c>
      <c r="G70" s="134">
        <f>D70*F70</f>
        <v>0.1</v>
      </c>
      <c r="H70" s="134">
        <f>$H$64*F70</f>
        <v>5</v>
      </c>
      <c r="I70" s="135">
        <f>G70*$H$20</f>
        <v>5</v>
      </c>
      <c r="J70" s="152">
        <f>T70</f>
        <v>4.7545000000000002</v>
      </c>
      <c r="K70" s="135">
        <f>D70*J70</f>
        <v>4.7545000000000002</v>
      </c>
      <c r="L70" s="136">
        <f>SUM(I70,K70)</f>
        <v>9.7545000000000002</v>
      </c>
      <c r="M70" s="135">
        <f>L70/D70</f>
        <v>9.7545000000000002</v>
      </c>
      <c r="N70" s="137">
        <f>D70*M70</f>
        <v>9.7545000000000002</v>
      </c>
      <c r="P70" s="54">
        <f>U11</f>
        <v>4.29</v>
      </c>
      <c r="Q70" s="203">
        <f>P70*$Q$22</f>
        <v>4.5045000000000002</v>
      </c>
      <c r="R70" s="203">
        <f t="shared" si="3"/>
        <v>4.5045000000000002</v>
      </c>
      <c r="S70" s="203">
        <v>0.25</v>
      </c>
      <c r="T70" s="203">
        <f>SUM(R70:S70)</f>
        <v>4.7545000000000002</v>
      </c>
    </row>
    <row r="71" spans="3:21" x14ac:dyDescent="0.2">
      <c r="C71" s="72"/>
      <c r="D71" s="207"/>
      <c r="E71" s="195"/>
      <c r="F71" s="134"/>
      <c r="G71" s="134"/>
      <c r="H71" s="134"/>
      <c r="I71" s="135"/>
      <c r="J71" s="152"/>
      <c r="K71" s="135"/>
      <c r="L71" s="136"/>
      <c r="M71" s="135"/>
      <c r="N71" s="137"/>
      <c r="P71" s="203"/>
      <c r="Q71" s="203"/>
      <c r="R71" s="203"/>
      <c r="S71" s="203"/>
      <c r="T71" s="203"/>
    </row>
    <row r="72" spans="3:21" x14ac:dyDescent="0.2">
      <c r="C72" s="72" t="s">
        <v>293</v>
      </c>
      <c r="D72" s="207">
        <f>(D64/0.4) *0.215</f>
        <v>0.53749999999999998</v>
      </c>
      <c r="E72" s="195" t="s">
        <v>116</v>
      </c>
      <c r="F72" s="134">
        <v>0.1</v>
      </c>
      <c r="G72" s="134">
        <f>D72*F72</f>
        <v>5.3749999999999999E-2</v>
      </c>
      <c r="H72" s="134">
        <f>$H$64*F72</f>
        <v>5</v>
      </c>
      <c r="I72" s="135">
        <f>G72*$H$20</f>
        <v>2.6875</v>
      </c>
      <c r="J72" s="152">
        <f>T72</f>
        <v>3.6205000000000003</v>
      </c>
      <c r="K72" s="135">
        <f>D72*J72</f>
        <v>1.9460187500000001</v>
      </c>
      <c r="L72" s="136">
        <f>SUM(I72,K72)</f>
        <v>4.6335187500000004</v>
      </c>
      <c r="M72" s="135">
        <f>L72/D72</f>
        <v>8.6205000000000016</v>
      </c>
      <c r="N72" s="137">
        <f>D72*M72</f>
        <v>4.6335187500000004</v>
      </c>
      <c r="P72" s="54">
        <f>U13</f>
        <v>3.21</v>
      </c>
      <c r="Q72" s="203">
        <f>P72*$Q$22</f>
        <v>3.3705000000000003</v>
      </c>
      <c r="R72" s="203">
        <f t="shared" si="3"/>
        <v>3.3705000000000003</v>
      </c>
      <c r="S72" s="203">
        <v>0.25</v>
      </c>
      <c r="T72" s="203">
        <f>SUM(R72:S72)</f>
        <v>3.6205000000000003</v>
      </c>
    </row>
    <row r="73" spans="3:21" x14ac:dyDescent="0.2">
      <c r="C73" s="72"/>
      <c r="D73" s="207"/>
      <c r="E73" s="195"/>
      <c r="F73" s="134"/>
      <c r="G73" s="134"/>
      <c r="H73" s="134"/>
      <c r="I73" s="135"/>
      <c r="J73" s="152"/>
      <c r="K73" s="135"/>
      <c r="L73" s="136"/>
      <c r="M73" s="135"/>
      <c r="N73" s="137"/>
      <c r="P73" s="203"/>
      <c r="Q73" s="203"/>
      <c r="R73" s="203"/>
      <c r="S73" s="203"/>
      <c r="T73" s="203"/>
    </row>
    <row r="74" spans="3:21" x14ac:dyDescent="0.2">
      <c r="C74" s="204" t="s">
        <v>272</v>
      </c>
      <c r="D74" s="207">
        <f>(D64/0.4)*10</f>
        <v>25</v>
      </c>
      <c r="E74" s="195" t="s">
        <v>148</v>
      </c>
      <c r="F74" s="134">
        <v>0</v>
      </c>
      <c r="G74" s="134">
        <f>D74*F74</f>
        <v>0</v>
      </c>
      <c r="H74" s="134">
        <f>$H$64*F74</f>
        <v>0</v>
      </c>
      <c r="I74" s="135">
        <f>G74*$H$20</f>
        <v>0</v>
      </c>
      <c r="J74" s="257">
        <v>2.5999999999999999E-2</v>
      </c>
      <c r="K74" s="135">
        <f>D74*J74</f>
        <v>0.65</v>
      </c>
      <c r="L74" s="136">
        <f>SUM(I74,K74)</f>
        <v>0.65</v>
      </c>
      <c r="M74" s="135">
        <f>L74/D74</f>
        <v>2.6000000000000002E-2</v>
      </c>
      <c r="N74" s="137">
        <f>D74*M74</f>
        <v>0.65</v>
      </c>
      <c r="P74" s="203"/>
      <c r="Q74" s="203"/>
      <c r="R74" s="203">
        <f t="shared" si="3"/>
        <v>0</v>
      </c>
      <c r="S74" s="203"/>
      <c r="T74" s="203">
        <f>SUM(R74:S74)</f>
        <v>0</v>
      </c>
    </row>
    <row r="75" spans="3:21" x14ac:dyDescent="0.2">
      <c r="C75" s="216"/>
      <c r="D75" s="216"/>
      <c r="E75" s="216"/>
      <c r="F75" s="216"/>
      <c r="G75" s="216"/>
      <c r="H75" s="216"/>
      <c r="I75" s="216"/>
      <c r="J75" s="216"/>
      <c r="K75" s="216"/>
      <c r="L75" s="216"/>
      <c r="M75" s="216"/>
      <c r="N75" s="216"/>
      <c r="O75" s="216"/>
      <c r="P75" s="216"/>
      <c r="Q75" s="216"/>
      <c r="R75" s="216"/>
      <c r="S75" s="216"/>
      <c r="T75" s="216"/>
      <c r="U75" s="216"/>
    </row>
    <row r="76" spans="3:21" ht="13.5" thickBot="1" x14ac:dyDescent="0.25">
      <c r="C76" s="221"/>
      <c r="D76" s="221"/>
      <c r="E76" s="221"/>
      <c r="F76" s="221"/>
      <c r="G76" s="222">
        <f>SUM(G67:G75)</f>
        <v>0.72041666666666659</v>
      </c>
      <c r="H76" s="223"/>
      <c r="I76" s="224">
        <f>SUM(I67:I75)</f>
        <v>36.020833333333336</v>
      </c>
      <c r="J76" s="224"/>
      <c r="K76" s="224">
        <f>SUM(K67:K75)</f>
        <v>23.380602083333336</v>
      </c>
      <c r="L76" s="224"/>
      <c r="M76" s="224"/>
      <c r="N76" s="224">
        <f>SUM(N67:N75)</f>
        <v>59.401435416666672</v>
      </c>
      <c r="O76" s="221"/>
      <c r="P76" s="221"/>
      <c r="Q76" s="221"/>
      <c r="R76" s="221"/>
      <c r="S76" s="221"/>
      <c r="T76" s="221"/>
      <c r="U76" s="221"/>
    </row>
    <row r="77" spans="3:21" ht="13.5" thickTop="1" x14ac:dyDescent="0.2"/>
    <row r="78" spans="3:21" x14ac:dyDescent="0.2">
      <c r="C78" s="209" t="s">
        <v>292</v>
      </c>
      <c r="D78" s="210">
        <v>1</v>
      </c>
      <c r="E78" s="211" t="s">
        <v>267</v>
      </c>
      <c r="F78" s="212">
        <v>1</v>
      </c>
      <c r="G78" s="213" t="s">
        <v>269</v>
      </c>
      <c r="H78" s="214">
        <f>Partitions!H11</f>
        <v>50</v>
      </c>
      <c r="I78" s="215"/>
      <c r="J78" s="215"/>
      <c r="K78" s="215"/>
      <c r="L78" s="215"/>
      <c r="M78" s="215"/>
      <c r="N78" s="215"/>
      <c r="P78" s="72"/>
      <c r="Q78" s="72"/>
      <c r="R78" s="72"/>
    </row>
    <row r="79" spans="3:21" x14ac:dyDescent="0.2">
      <c r="P79" s="72" t="s">
        <v>282</v>
      </c>
      <c r="Q79" s="72" t="s">
        <v>283</v>
      </c>
      <c r="R79" s="72"/>
      <c r="S79" s="72" t="s">
        <v>284</v>
      </c>
    </row>
    <row r="80" spans="3:21" x14ac:dyDescent="0.2">
      <c r="P80" s="72"/>
      <c r="Q80" s="72">
        <v>1.05</v>
      </c>
      <c r="R80" s="72"/>
      <c r="S80" s="72"/>
    </row>
    <row r="81" spans="3:21" x14ac:dyDescent="0.2">
      <c r="C81" s="72" t="s">
        <v>266</v>
      </c>
      <c r="D81" s="207">
        <f>D78*2</f>
        <v>2</v>
      </c>
      <c r="E81" s="195" t="s">
        <v>116</v>
      </c>
      <c r="F81" s="134">
        <v>0.15</v>
      </c>
      <c r="G81" s="134">
        <f>D81*F81</f>
        <v>0.3</v>
      </c>
      <c r="H81" s="134">
        <f>$H$78*F81</f>
        <v>7.5</v>
      </c>
      <c r="I81" s="135">
        <f>G81*$H$20</f>
        <v>15</v>
      </c>
      <c r="J81" s="152">
        <f>T81</f>
        <v>3.2845000000000004</v>
      </c>
      <c r="K81" s="135">
        <f>D81*J81</f>
        <v>6.5690000000000008</v>
      </c>
      <c r="L81" s="136">
        <f>SUM(I81,K81)</f>
        <v>21.569000000000003</v>
      </c>
      <c r="M81" s="135">
        <f>L81/D81</f>
        <v>10.784500000000001</v>
      </c>
      <c r="N81" s="137">
        <f>D81*M81</f>
        <v>21.569000000000003</v>
      </c>
      <c r="P81" s="203">
        <f>T12</f>
        <v>2.89</v>
      </c>
      <c r="Q81" s="203">
        <f>P81*$Q$80</f>
        <v>3.0345000000000004</v>
      </c>
      <c r="R81" s="203">
        <f>Q81</f>
        <v>3.0345000000000004</v>
      </c>
      <c r="S81" s="203">
        <v>0.25</v>
      </c>
      <c r="T81" s="203">
        <f>SUM(R81:S81)</f>
        <v>3.2845000000000004</v>
      </c>
    </row>
    <row r="82" spans="3:21" x14ac:dyDescent="0.2">
      <c r="C82" s="72" t="s">
        <v>268</v>
      </c>
      <c r="D82" s="207">
        <f>(D78/0.6)*2</f>
        <v>3.3333333333333335</v>
      </c>
      <c r="E82" s="195" t="s">
        <v>148</v>
      </c>
      <c r="F82" s="134">
        <v>0.1</v>
      </c>
      <c r="G82" s="134">
        <f>D82*F82</f>
        <v>0.33333333333333337</v>
      </c>
      <c r="H82" s="134">
        <f>$H$78*F82</f>
        <v>5</v>
      </c>
      <c r="I82" s="135">
        <f>G82*$H$20</f>
        <v>16.666666666666668</v>
      </c>
      <c r="J82" s="152">
        <f>Q17</f>
        <v>1.7</v>
      </c>
      <c r="K82" s="135">
        <f>D82*J82</f>
        <v>5.666666666666667</v>
      </c>
      <c r="L82" s="136">
        <f>SUM(I82,K82)</f>
        <v>22.333333333333336</v>
      </c>
      <c r="M82" s="135">
        <f>L82/D82</f>
        <v>6.7</v>
      </c>
      <c r="N82" s="137">
        <f>D82*M82</f>
        <v>22.333333333333336</v>
      </c>
      <c r="P82" s="203"/>
      <c r="Q82" s="203">
        <f t="shared" ref="Q82:Q87" si="4">P82*$Q$80</f>
        <v>0</v>
      </c>
      <c r="R82" s="203">
        <f t="shared" ref="R82:R87" si="5">Q82</f>
        <v>0</v>
      </c>
      <c r="S82" s="203"/>
      <c r="T82" s="203">
        <f t="shared" ref="T82:T87" si="6">SUM(R82:S82)</f>
        <v>0</v>
      </c>
    </row>
    <row r="83" spans="3:21" x14ac:dyDescent="0.2">
      <c r="C83" s="204" t="s">
        <v>270</v>
      </c>
      <c r="D83" s="207">
        <f>2*(D78/0.6)*F78</f>
        <v>3.3333333333333335</v>
      </c>
      <c r="E83" s="195" t="s">
        <v>116</v>
      </c>
      <c r="F83" s="134">
        <v>0.1</v>
      </c>
      <c r="G83" s="134">
        <f>D83*F83</f>
        <v>0.33333333333333337</v>
      </c>
      <c r="H83" s="134">
        <f>$H$78*F83</f>
        <v>5</v>
      </c>
      <c r="I83" s="135">
        <f>G83*$H$20</f>
        <v>16.666666666666668</v>
      </c>
      <c r="J83" s="152">
        <f>T83</f>
        <v>3.6205000000000003</v>
      </c>
      <c r="K83" s="135">
        <f>D83*J83</f>
        <v>12.068333333333335</v>
      </c>
      <c r="L83" s="136">
        <f>SUM(I83,K83)</f>
        <v>28.735000000000003</v>
      </c>
      <c r="M83" s="135">
        <f>L83/D83</f>
        <v>8.6204999999999998</v>
      </c>
      <c r="N83" s="137">
        <f>D83*M83</f>
        <v>28.734999999999999</v>
      </c>
      <c r="P83" s="54">
        <f>U13</f>
        <v>3.21</v>
      </c>
      <c r="Q83" s="203">
        <f t="shared" si="4"/>
        <v>3.3705000000000003</v>
      </c>
      <c r="R83" s="203">
        <f t="shared" si="5"/>
        <v>3.3705000000000003</v>
      </c>
      <c r="S83" s="203">
        <v>0.25</v>
      </c>
      <c r="T83" s="203">
        <f t="shared" si="6"/>
        <v>3.6205000000000003</v>
      </c>
    </row>
    <row r="84" spans="3:21" x14ac:dyDescent="0.2">
      <c r="C84" s="72"/>
      <c r="D84" s="207"/>
      <c r="E84" s="195"/>
      <c r="F84" s="134"/>
      <c r="G84" s="134"/>
      <c r="H84" s="134"/>
      <c r="I84" s="135"/>
      <c r="J84" s="152"/>
      <c r="K84" s="135"/>
      <c r="L84" s="136"/>
      <c r="M84" s="135"/>
      <c r="N84" s="137"/>
      <c r="P84" s="203"/>
      <c r="Q84" s="203"/>
      <c r="R84" s="203"/>
      <c r="S84" s="203"/>
      <c r="T84" s="203"/>
    </row>
    <row r="85" spans="3:21" x14ac:dyDescent="0.2">
      <c r="C85" s="72" t="s">
        <v>293</v>
      </c>
      <c r="D85" s="207">
        <f>(D78/0.6)*0.23</f>
        <v>0.38333333333333336</v>
      </c>
      <c r="E85" s="195" t="s">
        <v>116</v>
      </c>
      <c r="F85" s="134">
        <v>0.1</v>
      </c>
      <c r="G85" s="134">
        <f>D85*F85</f>
        <v>3.8333333333333337E-2</v>
      </c>
      <c r="H85" s="134">
        <f>$H$78*F85</f>
        <v>5</v>
      </c>
      <c r="I85" s="135">
        <f>G85*$H$20</f>
        <v>1.916666666666667</v>
      </c>
      <c r="J85" s="152">
        <f>T85</f>
        <v>3.6205000000000003</v>
      </c>
      <c r="K85" s="135">
        <f>D85*J85</f>
        <v>1.3878583333333336</v>
      </c>
      <c r="L85" s="136">
        <f>SUM(I85,K85)</f>
        <v>3.3045250000000008</v>
      </c>
      <c r="M85" s="135">
        <f>L85/D85</f>
        <v>8.6205000000000016</v>
      </c>
      <c r="N85" s="137">
        <f>D85*M85</f>
        <v>3.3045250000000008</v>
      </c>
      <c r="P85" s="54">
        <f>U13</f>
        <v>3.21</v>
      </c>
      <c r="Q85" s="203">
        <f t="shared" si="4"/>
        <v>3.3705000000000003</v>
      </c>
      <c r="R85" s="203">
        <f t="shared" si="5"/>
        <v>3.3705000000000003</v>
      </c>
      <c r="S85" s="203">
        <v>0.25</v>
      </c>
      <c r="T85" s="203">
        <f t="shared" si="6"/>
        <v>3.6205000000000003</v>
      </c>
    </row>
    <row r="86" spans="3:21" x14ac:dyDescent="0.2">
      <c r="C86" s="72"/>
      <c r="D86" s="207"/>
      <c r="E86" s="195"/>
      <c r="F86" s="134"/>
      <c r="G86" s="134"/>
      <c r="H86" s="134"/>
      <c r="I86" s="135"/>
      <c r="J86" s="152"/>
      <c r="K86" s="135"/>
      <c r="L86" s="136"/>
      <c r="M86" s="135"/>
      <c r="N86" s="137"/>
      <c r="P86" s="203"/>
      <c r="Q86" s="203"/>
      <c r="R86" s="203"/>
      <c r="S86" s="203"/>
      <c r="T86" s="203"/>
    </row>
    <row r="87" spans="3:21" x14ac:dyDescent="0.2">
      <c r="C87" s="204" t="s">
        <v>272</v>
      </c>
      <c r="D87" s="207">
        <f>(D78/0.6)*16</f>
        <v>26.666666666666668</v>
      </c>
      <c r="E87" s="195" t="s">
        <v>148</v>
      </c>
      <c r="F87" s="134">
        <v>0</v>
      </c>
      <c r="G87" s="134">
        <f>D87*F87</f>
        <v>0</v>
      </c>
      <c r="H87" s="134">
        <f>$H$78*F87</f>
        <v>0</v>
      </c>
      <c r="I87" s="135">
        <f>G87*$H$20</f>
        <v>0</v>
      </c>
      <c r="J87" s="257">
        <v>2.5999999999999999E-2</v>
      </c>
      <c r="K87" s="135">
        <f>D87*J87</f>
        <v>0.69333333333333336</v>
      </c>
      <c r="L87" s="136">
        <f>SUM(I87,K87)</f>
        <v>0.69333333333333336</v>
      </c>
      <c r="M87" s="135">
        <f>L87/D87</f>
        <v>2.5999999999999999E-2</v>
      </c>
      <c r="N87" s="137">
        <f>D87*M87</f>
        <v>0.69333333333333336</v>
      </c>
      <c r="P87" s="203"/>
      <c r="Q87" s="203">
        <f t="shared" si="4"/>
        <v>0</v>
      </c>
      <c r="R87" s="203">
        <f t="shared" si="5"/>
        <v>0</v>
      </c>
      <c r="S87" s="203"/>
      <c r="T87" s="203">
        <f t="shared" si="6"/>
        <v>0</v>
      </c>
    </row>
    <row r="88" spans="3:21" x14ac:dyDescent="0.2">
      <c r="C88" s="216"/>
      <c r="D88" s="216"/>
      <c r="E88" s="216"/>
      <c r="F88" s="216"/>
      <c r="G88" s="216"/>
      <c r="H88" s="216"/>
      <c r="I88" s="216"/>
      <c r="J88" s="216"/>
      <c r="K88" s="216"/>
      <c r="L88" s="216"/>
      <c r="M88" s="216"/>
      <c r="N88" s="216"/>
      <c r="O88" s="216"/>
      <c r="P88" s="216"/>
      <c r="Q88" s="216"/>
      <c r="R88" s="216"/>
      <c r="S88" s="216"/>
      <c r="T88" s="216"/>
      <c r="U88" s="216"/>
    </row>
    <row r="89" spans="3:21" ht="13.5" thickBot="1" x14ac:dyDescent="0.25">
      <c r="C89" s="221"/>
      <c r="D89" s="221"/>
      <c r="E89" s="221"/>
      <c r="F89" s="221"/>
      <c r="G89" s="222">
        <f>SUM(G81:G88)</f>
        <v>1.0050000000000001</v>
      </c>
      <c r="H89" s="223"/>
      <c r="I89" s="224">
        <f>SUM(I81:I88)</f>
        <v>50.25</v>
      </c>
      <c r="J89" s="224"/>
      <c r="K89" s="224">
        <f>SUM(K81:K88)</f>
        <v>26.385191666666671</v>
      </c>
      <c r="L89" s="224"/>
      <c r="M89" s="224"/>
      <c r="N89" s="224">
        <f>SUM(N81:N88)</f>
        <v>76.635191666666671</v>
      </c>
      <c r="O89" s="221"/>
      <c r="P89" s="221"/>
      <c r="Q89" s="221"/>
      <c r="R89" s="221"/>
      <c r="S89" s="221"/>
      <c r="T89" s="221"/>
      <c r="U89" s="221"/>
    </row>
    <row r="90" spans="3:21" ht="13.5" thickTop="1" x14ac:dyDescent="0.2"/>
    <row r="98" spans="3:16" x14ac:dyDescent="0.2">
      <c r="C98" s="261"/>
      <c r="D98" s="261"/>
      <c r="E98" s="261"/>
      <c r="F98" s="261"/>
      <c r="G98" s="261"/>
      <c r="H98" s="261"/>
      <c r="I98" s="261"/>
      <c r="J98" s="261"/>
      <c r="K98" s="261"/>
      <c r="L98" s="261"/>
      <c r="M98" s="261"/>
    </row>
    <row r="99" spans="3:16" x14ac:dyDescent="0.2">
      <c r="D99" s="262" t="s">
        <v>440</v>
      </c>
      <c r="E99" s="263">
        <v>0.4</v>
      </c>
      <c r="F99" s="262" t="s">
        <v>391</v>
      </c>
      <c r="G99" s="262" t="s">
        <v>392</v>
      </c>
      <c r="H99" s="264"/>
      <c r="I99" s="264"/>
    </row>
    <row r="100" spans="3:16" x14ac:dyDescent="0.2">
      <c r="D100" s="264"/>
      <c r="E100" s="264"/>
      <c r="F100" s="264"/>
      <c r="G100" s="264"/>
      <c r="H100" s="264"/>
      <c r="I100" s="264"/>
    </row>
    <row r="101" spans="3:16" ht="15" x14ac:dyDescent="0.25">
      <c r="D101" s="265" t="s">
        <v>393</v>
      </c>
      <c r="E101" s="264"/>
      <c r="F101" s="266" t="s">
        <v>394</v>
      </c>
      <c r="G101" s="266" t="s">
        <v>395</v>
      </c>
      <c r="H101" s="266" t="s">
        <v>396</v>
      </c>
      <c r="I101" s="266" t="s">
        <v>397</v>
      </c>
      <c r="J101" s="267" t="s">
        <v>398</v>
      </c>
    </row>
    <row r="102" spans="3:16" x14ac:dyDescent="0.2">
      <c r="D102" s="264"/>
      <c r="E102" s="265" t="s">
        <v>399</v>
      </c>
      <c r="F102" s="268">
        <v>2</v>
      </c>
      <c r="G102" s="269">
        <v>3</v>
      </c>
      <c r="H102" s="270">
        <f>SUM(F111*G102)</f>
        <v>18</v>
      </c>
      <c r="I102" s="268">
        <f>F102*2</f>
        <v>4</v>
      </c>
      <c r="J102" s="271">
        <f>F102*G102</f>
        <v>6</v>
      </c>
    </row>
    <row r="103" spans="3:16" x14ac:dyDescent="0.2">
      <c r="C103" t="s">
        <v>400</v>
      </c>
      <c r="D103" s="264" t="s">
        <v>441</v>
      </c>
      <c r="E103" s="272">
        <v>4.3099999999999996</v>
      </c>
      <c r="F103" s="264"/>
      <c r="G103" s="264"/>
      <c r="H103" s="264"/>
      <c r="I103" s="264"/>
    </row>
    <row r="104" spans="3:16" x14ac:dyDescent="0.2">
      <c r="D104" s="264" t="s">
        <v>401</v>
      </c>
      <c r="E104" s="203">
        <f>H105/H102</f>
        <v>0.5477777777777777</v>
      </c>
      <c r="F104" s="273">
        <v>4.93</v>
      </c>
      <c r="G104" s="264" t="s">
        <v>116</v>
      </c>
      <c r="H104" s="274">
        <f>SUM(F104*F102)</f>
        <v>9.86</v>
      </c>
      <c r="I104" s="264"/>
    </row>
    <row r="105" spans="3:16" x14ac:dyDescent="0.2">
      <c r="D105" s="264"/>
      <c r="E105" s="275"/>
      <c r="F105" s="264" t="s">
        <v>402</v>
      </c>
      <c r="G105" s="268">
        <v>1</v>
      </c>
      <c r="H105" s="276">
        <f>G105*H104</f>
        <v>9.86</v>
      </c>
      <c r="I105" s="264"/>
    </row>
    <row r="106" spans="3:16" x14ac:dyDescent="0.2">
      <c r="D106" s="264"/>
      <c r="F106" s="264"/>
      <c r="G106" s="264"/>
      <c r="H106" s="264"/>
      <c r="I106" s="264"/>
    </row>
    <row r="107" spans="3:16" x14ac:dyDescent="0.2">
      <c r="D107" s="264" t="s">
        <v>403</v>
      </c>
      <c r="E107" s="275">
        <v>0.09</v>
      </c>
      <c r="F107" s="264"/>
      <c r="G107" s="264"/>
      <c r="H107" s="264"/>
      <c r="I107" s="264"/>
      <c r="P107" s="175"/>
    </row>
    <row r="108" spans="3:16" x14ac:dyDescent="0.2">
      <c r="D108" s="265" t="s">
        <v>404</v>
      </c>
      <c r="E108" s="277"/>
      <c r="F108" s="264"/>
      <c r="G108" s="264"/>
      <c r="H108" s="264"/>
      <c r="I108" s="264"/>
    </row>
    <row r="109" spans="3:16" x14ac:dyDescent="0.2">
      <c r="D109" s="264" t="s">
        <v>405</v>
      </c>
      <c r="E109" s="277"/>
      <c r="F109" s="264"/>
      <c r="G109" s="264"/>
      <c r="H109" s="264"/>
      <c r="I109" s="264"/>
    </row>
    <row r="110" spans="3:16" x14ac:dyDescent="0.2">
      <c r="D110" s="262" t="s">
        <v>406</v>
      </c>
      <c r="E110" s="264"/>
      <c r="F110" s="278">
        <f>SUM(F102/E99)</f>
        <v>5</v>
      </c>
      <c r="G110" s="264"/>
      <c r="H110" s="264"/>
      <c r="I110" s="264"/>
    </row>
    <row r="111" spans="3:16" x14ac:dyDescent="0.2">
      <c r="D111" s="264" t="s">
        <v>407</v>
      </c>
      <c r="E111" s="277"/>
      <c r="F111" s="279">
        <f>F110+1</f>
        <v>6</v>
      </c>
      <c r="G111" s="264" t="s">
        <v>408</v>
      </c>
      <c r="H111" s="264"/>
      <c r="I111" s="264"/>
    </row>
    <row r="112" spans="3:16" x14ac:dyDescent="0.2">
      <c r="D112" s="262" t="s">
        <v>409</v>
      </c>
      <c r="E112" s="264"/>
      <c r="F112" s="278">
        <f>SUM(F111*4)</f>
        <v>24</v>
      </c>
      <c r="G112" s="264" t="s">
        <v>410</v>
      </c>
      <c r="H112" s="280">
        <v>1.4999999999999999E-2</v>
      </c>
      <c r="I112" s="280"/>
    </row>
    <row r="113" spans="3:12" x14ac:dyDescent="0.2">
      <c r="D113" s="264" t="s">
        <v>411</v>
      </c>
      <c r="E113" s="281">
        <f>SUM(F112*H112)/H102</f>
        <v>0.02</v>
      </c>
      <c r="F113" s="282" t="s">
        <v>412</v>
      </c>
      <c r="G113" s="264"/>
      <c r="H113" s="264"/>
      <c r="I113" s="264"/>
    </row>
    <row r="114" spans="3:12" x14ac:dyDescent="0.2">
      <c r="D114" s="264"/>
      <c r="E114" s="265"/>
      <c r="F114" s="264"/>
      <c r="G114" s="264"/>
      <c r="H114" s="264"/>
      <c r="I114" s="264"/>
    </row>
    <row r="115" spans="3:12" x14ac:dyDescent="0.2">
      <c r="D115" s="264"/>
      <c r="E115" s="283">
        <f>SUM(E103:E114)</f>
        <v>4.9677777777777763</v>
      </c>
      <c r="F115" s="264"/>
      <c r="G115" s="264"/>
      <c r="H115" s="264"/>
      <c r="I115" s="264"/>
    </row>
    <row r="116" spans="3:12" x14ac:dyDescent="0.2">
      <c r="D116" s="264" t="s">
        <v>413</v>
      </c>
      <c r="E116" s="284">
        <f>E115*5%</f>
        <v>0.24838888888888883</v>
      </c>
      <c r="F116" s="264"/>
      <c r="G116" s="264"/>
      <c r="I116" s="264"/>
    </row>
    <row r="117" spans="3:12" ht="15" x14ac:dyDescent="0.25">
      <c r="D117" s="264"/>
      <c r="E117" s="112">
        <f>SUM(E115:E116)</f>
        <v>5.2161666666666653</v>
      </c>
      <c r="F117" s="264"/>
      <c r="G117" s="264"/>
      <c r="I117" s="111"/>
      <c r="J117" s="113"/>
      <c r="K117" s="285"/>
    </row>
    <row r="118" spans="3:12" x14ac:dyDescent="0.2">
      <c r="C118" t="s">
        <v>414</v>
      </c>
      <c r="D118" s="265" t="s">
        <v>415</v>
      </c>
      <c r="E118" s="264"/>
      <c r="F118" s="262" t="s">
        <v>416</v>
      </c>
      <c r="G118" s="264"/>
      <c r="H118" s="264"/>
      <c r="I118" s="264"/>
    </row>
    <row r="119" spans="3:12" x14ac:dyDescent="0.2">
      <c r="D119" s="265" t="s">
        <v>417</v>
      </c>
      <c r="E119" s="264"/>
      <c r="F119" s="305">
        <f>Partitions!H11</f>
        <v>50</v>
      </c>
      <c r="G119" s="264"/>
      <c r="H119" s="264"/>
      <c r="I119" s="264"/>
    </row>
    <row r="120" spans="3:12" x14ac:dyDescent="0.2">
      <c r="D120" s="111">
        <v>12</v>
      </c>
      <c r="E120" s="287">
        <f>F119/D120</f>
        <v>4.166666666666667</v>
      </c>
      <c r="F120" s="264"/>
      <c r="G120" s="264"/>
      <c r="H120" s="264"/>
      <c r="I120" s="264"/>
      <c r="K120" s="203"/>
    </row>
    <row r="121" spans="3:12" x14ac:dyDescent="0.2">
      <c r="D121" s="111"/>
      <c r="E121" s="287"/>
      <c r="F121" s="264"/>
      <c r="G121" s="264"/>
      <c r="H121" s="264"/>
      <c r="I121" s="264"/>
      <c r="K121" s="203"/>
    </row>
    <row r="122" spans="3:12" x14ac:dyDescent="0.2">
      <c r="D122" s="111"/>
      <c r="E122" s="287"/>
      <c r="F122" s="264"/>
      <c r="G122" s="264"/>
      <c r="H122" s="264"/>
      <c r="I122" s="264"/>
      <c r="K122" s="203"/>
    </row>
    <row r="123" spans="3:12" ht="15" x14ac:dyDescent="0.25">
      <c r="D123" s="264"/>
      <c r="E123" s="112">
        <f>SUM(E117:E120)</f>
        <v>9.3828333333333322</v>
      </c>
      <c r="F123" s="264"/>
      <c r="G123" s="264"/>
      <c r="H123" s="264"/>
      <c r="I123" s="288" t="s">
        <v>418</v>
      </c>
      <c r="K123" s="288"/>
      <c r="L123" s="72" t="s">
        <v>419</v>
      </c>
    </row>
    <row r="124" spans="3:12" ht="15" x14ac:dyDescent="0.25">
      <c r="D124" s="265" t="s">
        <v>420</v>
      </c>
      <c r="E124" s="264"/>
      <c r="F124" s="264"/>
      <c r="G124" s="264"/>
      <c r="H124" s="264"/>
      <c r="I124" s="274">
        <f>E126-I126</f>
        <v>4.7303083333333342</v>
      </c>
      <c r="K124" s="288">
        <f>H102*I124</f>
        <v>85.145550000000014</v>
      </c>
      <c r="L124" s="203">
        <f>K124/J102</f>
        <v>14.190925000000002</v>
      </c>
    </row>
    <row r="125" spans="3:12" x14ac:dyDescent="0.2">
      <c r="D125" s="289">
        <v>0.05</v>
      </c>
      <c r="E125" s="287">
        <f>E123*5%</f>
        <v>0.46914166666666662</v>
      </c>
      <c r="F125" s="264"/>
      <c r="G125" s="264"/>
      <c r="H125" s="264"/>
      <c r="I125" s="264" t="s">
        <v>421</v>
      </c>
    </row>
    <row r="126" spans="3:12" x14ac:dyDescent="0.2">
      <c r="D126" s="264"/>
      <c r="E126" s="290">
        <f>SUM(E123:E125)</f>
        <v>9.8519749999999995</v>
      </c>
      <c r="F126" s="262" t="s">
        <v>422</v>
      </c>
      <c r="G126" s="264"/>
      <c r="H126" s="264"/>
      <c r="I126" s="274">
        <f>SUM(E103+E104+E113)*1.05</f>
        <v>5.1216666666666653</v>
      </c>
      <c r="K126" s="203">
        <f>H102*I126</f>
        <v>92.189999999999969</v>
      </c>
      <c r="L126" s="203">
        <f>K126/J102</f>
        <v>15.364999999999995</v>
      </c>
    </row>
    <row r="127" spans="3:12" x14ac:dyDescent="0.2">
      <c r="D127" s="291" t="s">
        <v>423</v>
      </c>
      <c r="E127" s="292"/>
      <c r="F127" s="293">
        <f>E126*H102</f>
        <v>177.33554999999998</v>
      </c>
      <c r="G127" s="264"/>
      <c r="H127" s="264"/>
      <c r="I127" s="274"/>
      <c r="J127" s="203"/>
    </row>
    <row r="128" spans="3:12" x14ac:dyDescent="0.2">
      <c r="D128" s="264"/>
      <c r="E128" s="265"/>
      <c r="F128" s="264" t="s">
        <v>424</v>
      </c>
      <c r="G128" s="264"/>
      <c r="H128" s="264"/>
    </row>
    <row r="129" spans="3:12" x14ac:dyDescent="0.2">
      <c r="C129" t="s">
        <v>425</v>
      </c>
      <c r="D129" s="72">
        <v>92</v>
      </c>
      <c r="E129" s="294">
        <f>G130</f>
        <v>5.23</v>
      </c>
      <c r="F129" s="295" t="s">
        <v>444</v>
      </c>
      <c r="G129" s="264" t="s">
        <v>445</v>
      </c>
      <c r="H129" s="266"/>
      <c r="I129" t="s">
        <v>427</v>
      </c>
    </row>
    <row r="130" spans="3:12" ht="15" x14ac:dyDescent="0.25">
      <c r="D130" s="264" t="s">
        <v>428</v>
      </c>
      <c r="E130" s="272">
        <v>0.31</v>
      </c>
      <c r="F130" s="302">
        <v>6.45</v>
      </c>
      <c r="G130" s="302">
        <f>T8</f>
        <v>5.23</v>
      </c>
      <c r="H130" s="302">
        <f>SUM(F130:G130)</f>
        <v>11.68</v>
      </c>
      <c r="I130" s="304">
        <f>H130/2</f>
        <v>5.84</v>
      </c>
    </row>
    <row r="131" spans="3:12" x14ac:dyDescent="0.2">
      <c r="D131" s="264" t="s">
        <v>403</v>
      </c>
      <c r="E131" s="275">
        <v>0.09</v>
      </c>
      <c r="F131" s="264"/>
      <c r="G131" s="264"/>
      <c r="H131" s="264"/>
      <c r="I131" s="264"/>
    </row>
    <row r="132" spans="3:12" x14ac:dyDescent="0.2">
      <c r="D132" s="262"/>
      <c r="E132" s="281"/>
      <c r="F132" s="282"/>
      <c r="G132" s="264"/>
      <c r="H132" s="264"/>
      <c r="I132" s="264"/>
      <c r="J132" s="280"/>
    </row>
    <row r="133" spans="3:12" x14ac:dyDescent="0.2">
      <c r="D133" s="265" t="s">
        <v>429</v>
      </c>
      <c r="G133" s="264"/>
      <c r="H133" s="264"/>
      <c r="I133" s="264"/>
      <c r="J133" s="281"/>
    </row>
    <row r="134" spans="3:12" ht="14.25" customHeight="1" x14ac:dyDescent="0.2">
      <c r="D134" s="264" t="s">
        <v>430</v>
      </c>
      <c r="E134" s="264"/>
      <c r="F134" s="278">
        <f>F102/E99</f>
        <v>5</v>
      </c>
      <c r="G134" s="264"/>
      <c r="H134" s="264"/>
      <c r="I134" s="264"/>
    </row>
    <row r="135" spans="3:12" x14ac:dyDescent="0.2">
      <c r="D135" s="264" t="s">
        <v>431</v>
      </c>
      <c r="E135" s="264"/>
      <c r="F135" s="278">
        <f>F134+2</f>
        <v>7</v>
      </c>
      <c r="G135" s="264" t="s">
        <v>432</v>
      </c>
      <c r="H135" s="280">
        <v>1.7</v>
      </c>
      <c r="I135" s="280"/>
    </row>
    <row r="136" spans="3:12" x14ac:dyDescent="0.2">
      <c r="D136" s="264"/>
      <c r="E136" s="281">
        <f>SUM(F135*H135)/I102</f>
        <v>2.9750000000000001</v>
      </c>
      <c r="F136" s="282" t="s">
        <v>412</v>
      </c>
      <c r="G136" s="264"/>
      <c r="H136" s="264"/>
      <c r="I136" s="264"/>
    </row>
    <row r="137" spans="3:12" x14ac:dyDescent="0.2">
      <c r="D137" s="264"/>
      <c r="E137" s="281"/>
      <c r="F137" s="282"/>
      <c r="G137" s="264"/>
      <c r="H137" s="264"/>
    </row>
    <row r="138" spans="3:12" x14ac:dyDescent="0.2">
      <c r="D138" s="264"/>
      <c r="E138" s="283">
        <f>SUM(E129:E136)</f>
        <v>8.6050000000000004</v>
      </c>
      <c r="F138" s="264"/>
      <c r="G138" s="264"/>
      <c r="H138" s="264"/>
      <c r="J138" s="259"/>
    </row>
    <row r="139" spans="3:12" x14ac:dyDescent="0.2">
      <c r="D139" s="264" t="s">
        <v>413</v>
      </c>
      <c r="E139" s="284">
        <f>E138*5%</f>
        <v>0.43025000000000002</v>
      </c>
      <c r="F139" s="264"/>
      <c r="G139" s="264"/>
      <c r="H139" s="264"/>
      <c r="I139" s="264"/>
      <c r="K139" s="203"/>
    </row>
    <row r="140" spans="3:12" ht="15" x14ac:dyDescent="0.25">
      <c r="D140" s="264"/>
      <c r="E140" s="112">
        <f>SUM(E138:E139)</f>
        <v>9.0352500000000013</v>
      </c>
      <c r="F140" s="264"/>
      <c r="G140" s="264"/>
      <c r="H140" s="264"/>
      <c r="I140" s="288"/>
      <c r="K140" s="288"/>
    </row>
    <row r="141" spans="3:12" ht="15" x14ac:dyDescent="0.25">
      <c r="C141" t="s">
        <v>425</v>
      </c>
      <c r="D141" s="265" t="s">
        <v>415</v>
      </c>
      <c r="E141" s="264"/>
      <c r="F141" s="262" t="s">
        <v>416</v>
      </c>
      <c r="G141" s="264"/>
      <c r="H141" s="264"/>
      <c r="I141" s="274"/>
      <c r="K141" s="288"/>
    </row>
    <row r="142" spans="3:12" ht="15" x14ac:dyDescent="0.25">
      <c r="D142" s="72" t="s">
        <v>417</v>
      </c>
      <c r="F142" s="305">
        <f>Partitions!H11</f>
        <v>50</v>
      </c>
      <c r="G142" s="264"/>
      <c r="H142" s="264"/>
      <c r="I142" s="274"/>
      <c r="K142" s="288"/>
    </row>
    <row r="143" spans="3:12" x14ac:dyDescent="0.2">
      <c r="D143" s="259">
        <v>4</v>
      </c>
      <c r="E143" s="296">
        <f>F142/D143</f>
        <v>12.5</v>
      </c>
      <c r="G143" s="264"/>
      <c r="H143" s="264"/>
      <c r="I143" s="264"/>
    </row>
    <row r="144" spans="3:12" ht="15" x14ac:dyDescent="0.25">
      <c r="D144" s="264"/>
      <c r="E144" s="112">
        <f>SUM(E140:E143)</f>
        <v>21.535250000000001</v>
      </c>
      <c r="F144" s="264"/>
      <c r="G144" s="264"/>
      <c r="H144" s="264"/>
      <c r="I144" s="288" t="s">
        <v>418</v>
      </c>
      <c r="K144" s="288"/>
      <c r="L144" s="72" t="s">
        <v>419</v>
      </c>
    </row>
    <row r="145" spans="3:14" ht="15" x14ac:dyDescent="0.25">
      <c r="D145" s="265" t="s">
        <v>420</v>
      </c>
      <c r="E145" s="264"/>
      <c r="F145" s="264"/>
      <c r="G145" s="264"/>
      <c r="H145" s="264"/>
      <c r="I145" s="274">
        <f>E147-I147</f>
        <v>13.671262500000001</v>
      </c>
      <c r="K145" s="288">
        <f>I102*I145</f>
        <v>54.685050000000004</v>
      </c>
      <c r="L145" s="203">
        <f>K145/J102</f>
        <v>9.1141750000000012</v>
      </c>
    </row>
    <row r="146" spans="3:14" x14ac:dyDescent="0.2">
      <c r="D146" s="289">
        <v>0.05</v>
      </c>
      <c r="E146" s="287">
        <f>E144*5%</f>
        <v>1.0767625000000001</v>
      </c>
      <c r="F146" s="264"/>
      <c r="G146" s="264"/>
      <c r="H146" s="264"/>
      <c r="I146" s="264" t="s">
        <v>421</v>
      </c>
    </row>
    <row r="147" spans="3:14" x14ac:dyDescent="0.2">
      <c r="D147" s="264"/>
      <c r="E147" s="290">
        <f>SUM(E144:E146)</f>
        <v>22.612012500000002</v>
      </c>
      <c r="F147" s="262" t="s">
        <v>422</v>
      </c>
      <c r="G147" s="264"/>
      <c r="H147" s="264"/>
      <c r="I147" s="274">
        <f>SUM(E129,E130,E136)*1.05</f>
        <v>8.9407500000000013</v>
      </c>
      <c r="K147" s="203">
        <f>I147*I102</f>
        <v>35.763000000000005</v>
      </c>
      <c r="L147" s="203">
        <f>K147/J102</f>
        <v>5.9605000000000006</v>
      </c>
    </row>
    <row r="148" spans="3:14" ht="15" x14ac:dyDescent="0.25">
      <c r="D148" s="291" t="s">
        <v>433</v>
      </c>
      <c r="E148" s="297"/>
      <c r="F148" s="293">
        <f>SUM(E147*I102)</f>
        <v>90.448050000000009</v>
      </c>
      <c r="G148" s="264"/>
      <c r="H148" s="264"/>
      <c r="J148" s="285"/>
      <c r="K148" s="285"/>
    </row>
    <row r="149" spans="3:14" ht="15" x14ac:dyDescent="0.25">
      <c r="D149" t="s">
        <v>434</v>
      </c>
      <c r="F149" s="259">
        <f>SUM(F127+F148)</f>
        <v>267.78359999999998</v>
      </c>
      <c r="G149" t="s">
        <v>435</v>
      </c>
      <c r="J149" s="298"/>
      <c r="K149" s="298"/>
      <c r="L149" s="299"/>
    </row>
    <row r="150" spans="3:14" ht="15.75" thickBot="1" x14ac:dyDescent="0.3">
      <c r="F150" s="300">
        <f>SUM(F149/J102)</f>
        <v>44.630599999999994</v>
      </c>
      <c r="G150" s="285" t="s">
        <v>151</v>
      </c>
    </row>
    <row r="151" spans="3:14" ht="15.75" thickTop="1" x14ac:dyDescent="0.25">
      <c r="F151" s="301">
        <f>F149/F102</f>
        <v>133.89179999999999</v>
      </c>
      <c r="G151" s="285" t="s">
        <v>116</v>
      </c>
      <c r="I151" s="285"/>
      <c r="L151" s="72" t="s">
        <v>436</v>
      </c>
      <c r="M151" s="203">
        <f>SUM(L145,L124)</f>
        <v>23.305100000000003</v>
      </c>
      <c r="N151" s="299">
        <f>M151/F142</f>
        <v>0.46610200000000007</v>
      </c>
    </row>
    <row r="152" spans="3:14" x14ac:dyDescent="0.2">
      <c r="D152" t="s">
        <v>437</v>
      </c>
      <c r="F152" s="203">
        <f>J149</f>
        <v>0</v>
      </c>
      <c r="G152" t="s">
        <v>151</v>
      </c>
      <c r="I152" s="259"/>
      <c r="L152" s="72" t="s">
        <v>438</v>
      </c>
      <c r="M152" s="203">
        <f>SUM(L126,L147)</f>
        <v>21.325499999999995</v>
      </c>
    </row>
    <row r="153" spans="3:14" x14ac:dyDescent="0.2">
      <c r="D153" t="s">
        <v>439</v>
      </c>
      <c r="F153" s="203">
        <f>F150-F152</f>
        <v>44.630599999999994</v>
      </c>
      <c r="G153" t="s">
        <v>151</v>
      </c>
      <c r="I153" s="259"/>
    </row>
    <row r="154" spans="3:14" ht="15" x14ac:dyDescent="0.25">
      <c r="F154" s="113"/>
      <c r="G154" s="285"/>
      <c r="I154" s="259"/>
      <c r="M154" s="203"/>
    </row>
    <row r="155" spans="3:14" ht="15" x14ac:dyDescent="0.25">
      <c r="F155" s="113"/>
      <c r="G155" s="285"/>
      <c r="I155" s="259"/>
    </row>
    <row r="156" spans="3:14" ht="15" x14ac:dyDescent="0.25">
      <c r="F156" s="113"/>
      <c r="G156" s="285"/>
    </row>
    <row r="157" spans="3:14" x14ac:dyDescent="0.2">
      <c r="C157" s="261"/>
      <c r="D157" s="261"/>
      <c r="E157" s="261"/>
      <c r="F157" s="261"/>
      <c r="G157" s="261"/>
      <c r="H157" s="261"/>
      <c r="I157" s="261"/>
      <c r="J157" s="261"/>
      <c r="K157" s="261"/>
      <c r="L157" s="261"/>
      <c r="M157" s="261"/>
    </row>
    <row r="166" spans="3:8" x14ac:dyDescent="0.2">
      <c r="D166" s="308" t="s">
        <v>452</v>
      </c>
      <c r="F166" s="308" t="s">
        <v>453</v>
      </c>
      <c r="G166" s="264"/>
      <c r="H166" s="264"/>
    </row>
    <row r="167" spans="3:8" x14ac:dyDescent="0.2">
      <c r="D167" s="72" t="s">
        <v>454</v>
      </c>
      <c r="F167" s="309">
        <v>52</v>
      </c>
      <c r="G167" s="264"/>
      <c r="H167" s="264"/>
    </row>
    <row r="168" spans="3:8" x14ac:dyDescent="0.2">
      <c r="C168" s="72" t="s">
        <v>480</v>
      </c>
      <c r="D168" s="72" t="s">
        <v>455</v>
      </c>
      <c r="E168" s="310">
        <v>57</v>
      </c>
      <c r="F168" t="s">
        <v>456</v>
      </c>
    </row>
    <row r="169" spans="3:8" ht="15" x14ac:dyDescent="0.25">
      <c r="D169" t="s">
        <v>457</v>
      </c>
      <c r="E169" s="311">
        <v>82</v>
      </c>
      <c r="G169">
        <v>0.3</v>
      </c>
      <c r="H169" t="s">
        <v>458</v>
      </c>
    </row>
    <row r="170" spans="3:8" x14ac:dyDescent="0.2">
      <c r="F170" t="s">
        <v>459</v>
      </c>
      <c r="G170" s="271">
        <v>1.2</v>
      </c>
    </row>
    <row r="171" spans="3:8" x14ac:dyDescent="0.2">
      <c r="D171" s="264"/>
      <c r="E171" s="264"/>
      <c r="F171" t="s">
        <v>460</v>
      </c>
      <c r="G171" s="271">
        <v>2.4</v>
      </c>
    </row>
    <row r="172" spans="3:8" x14ac:dyDescent="0.2">
      <c r="D172" s="264"/>
      <c r="E172" s="264"/>
      <c r="G172">
        <f>G170/G169</f>
        <v>4</v>
      </c>
    </row>
    <row r="173" spans="3:8" x14ac:dyDescent="0.2">
      <c r="D173" s="264"/>
      <c r="E173" s="264"/>
      <c r="F173" t="s">
        <v>461</v>
      </c>
      <c r="G173">
        <f>G172*G171</f>
        <v>9.6</v>
      </c>
    </row>
    <row r="174" spans="3:8" x14ac:dyDescent="0.2">
      <c r="D174" s="308" t="s">
        <v>462</v>
      </c>
      <c r="F174" s="264"/>
      <c r="H174" s="264"/>
    </row>
    <row r="175" spans="3:8" x14ac:dyDescent="0.2">
      <c r="D175" t="s">
        <v>463</v>
      </c>
      <c r="G175" s="264"/>
      <c r="H175" s="264"/>
    </row>
    <row r="176" spans="3:8" ht="15" x14ac:dyDescent="0.25">
      <c r="E176" s="301">
        <f>ROUNDUP(SUM(E169/G173),0)</f>
        <v>9</v>
      </c>
      <c r="G176" s="264"/>
      <c r="H176" s="264"/>
    </row>
    <row r="177" spans="4:8" ht="15" x14ac:dyDescent="0.25">
      <c r="D177" s="72" t="s">
        <v>464</v>
      </c>
      <c r="E177" s="308">
        <f>E176*E168</f>
        <v>513</v>
      </c>
      <c r="G177" s="264"/>
      <c r="H177" s="285"/>
    </row>
    <row r="178" spans="4:8" x14ac:dyDescent="0.2">
      <c r="D178" s="72"/>
      <c r="E178" s="308"/>
      <c r="G178" s="264"/>
      <c r="H178" s="264"/>
    </row>
    <row r="179" spans="4:8" x14ac:dyDescent="0.2">
      <c r="D179" s="72" t="s">
        <v>465</v>
      </c>
      <c r="E179" s="259">
        <f>E177/E169</f>
        <v>6.2560975609756095</v>
      </c>
      <c r="H179" s="264"/>
    </row>
    <row r="180" spans="4:8" x14ac:dyDescent="0.2">
      <c r="E180" s="259"/>
    </row>
    <row r="181" spans="4:8" x14ac:dyDescent="0.2">
      <c r="D181" s="72" t="s">
        <v>466</v>
      </c>
      <c r="E181" s="259">
        <v>1.3</v>
      </c>
      <c r="G181" s="264"/>
    </row>
    <row r="182" spans="4:8" x14ac:dyDescent="0.2">
      <c r="D182" s="72" t="s">
        <v>467</v>
      </c>
      <c r="E182" s="312">
        <v>1</v>
      </c>
      <c r="G182" s="264"/>
    </row>
    <row r="183" spans="4:8" x14ac:dyDescent="0.2">
      <c r="E183" s="259">
        <f>SUM(E179:E182)</f>
        <v>8.5560975609756085</v>
      </c>
    </row>
    <row r="184" spans="4:8" x14ac:dyDescent="0.2">
      <c r="D184" s="72" t="s">
        <v>468</v>
      </c>
      <c r="E184" s="312">
        <f>E183*0.1</f>
        <v>0.85560975609756085</v>
      </c>
      <c r="G184" s="72" t="s">
        <v>469</v>
      </c>
    </row>
    <row r="185" spans="4:8" x14ac:dyDescent="0.2">
      <c r="D185" s="72" t="s">
        <v>470</v>
      </c>
      <c r="E185" s="313">
        <f>SUM(E183:E184)</f>
        <v>9.4117073170731693</v>
      </c>
      <c r="G185" s="111">
        <f>E185</f>
        <v>9.4117073170731693</v>
      </c>
    </row>
    <row r="186" spans="4:8" x14ac:dyDescent="0.2">
      <c r="D186" s="314" t="s">
        <v>471</v>
      </c>
      <c r="E186" s="259"/>
      <c r="G186" s="259"/>
    </row>
    <row r="187" spans="4:8" x14ac:dyDescent="0.2">
      <c r="D187" s="72" t="s">
        <v>472</v>
      </c>
      <c r="E187" s="259"/>
      <c r="F187" s="72" t="s">
        <v>473</v>
      </c>
    </row>
    <row r="188" spans="4:8" x14ac:dyDescent="0.2">
      <c r="D188">
        <v>10</v>
      </c>
      <c r="E188" s="264"/>
      <c r="F188" s="259">
        <f>G188*F167</f>
        <v>8.6666666666666661</v>
      </c>
      <c r="G188" s="259">
        <f>D188/60</f>
        <v>0.16666666666666666</v>
      </c>
    </row>
    <row r="189" spans="4:8" x14ac:dyDescent="0.2">
      <c r="D189" s="72" t="s">
        <v>474</v>
      </c>
      <c r="E189" s="259"/>
      <c r="F189">
        <f>E169/G171</f>
        <v>34.166666666666671</v>
      </c>
      <c r="G189" s="259"/>
    </row>
    <row r="190" spans="4:8" x14ac:dyDescent="0.2">
      <c r="D190" s="264"/>
      <c r="E190" s="264"/>
      <c r="F190" s="111">
        <f>F188*F189</f>
        <v>296.11111111111114</v>
      </c>
      <c r="G190" s="264"/>
    </row>
    <row r="191" spans="4:8" x14ac:dyDescent="0.2">
      <c r="D191" s="264" t="s">
        <v>475</v>
      </c>
      <c r="E191" s="111">
        <f>F190/E169</f>
        <v>3.6111111111111116</v>
      </c>
      <c r="F191" s="264"/>
      <c r="G191" s="264"/>
    </row>
    <row r="192" spans="4:8" x14ac:dyDescent="0.2">
      <c r="D192" s="72" t="s">
        <v>476</v>
      </c>
      <c r="E192" s="259"/>
      <c r="G192" s="264"/>
    </row>
    <row r="193" spans="2:12" x14ac:dyDescent="0.2">
      <c r="D193" s="72" t="s">
        <v>477</v>
      </c>
      <c r="E193" s="259"/>
      <c r="G193" s="72" t="s">
        <v>471</v>
      </c>
      <c r="H193" s="264"/>
    </row>
    <row r="194" spans="2:12" x14ac:dyDescent="0.2">
      <c r="D194" s="72">
        <v>0.16</v>
      </c>
      <c r="E194" s="259">
        <f>D194*F167</f>
        <v>8.32</v>
      </c>
      <c r="G194" s="259">
        <f>E194+E191</f>
        <v>11.931111111111111</v>
      </c>
      <c r="H194" s="264"/>
      <c r="I194" s="259"/>
    </row>
    <row r="195" spans="2:12" ht="15.75" thickBot="1" x14ac:dyDescent="0.3">
      <c r="D195" s="308" t="s">
        <v>34</v>
      </c>
      <c r="E195" s="315">
        <f>SUM(E185:E194)</f>
        <v>21.34281842818428</v>
      </c>
      <c r="F195" s="308" t="s">
        <v>478</v>
      </c>
      <c r="G195" s="113">
        <f>SUM(G194*E169)/F167</f>
        <v>18.814444444444444</v>
      </c>
      <c r="H195" s="285" t="s">
        <v>479</v>
      </c>
      <c r="I195" s="259"/>
    </row>
    <row r="196" spans="2:12" x14ac:dyDescent="0.2">
      <c r="D196" s="72"/>
      <c r="E196" s="312"/>
      <c r="I196" s="259"/>
    </row>
    <row r="197" spans="2:12" x14ac:dyDescent="0.2">
      <c r="D197" s="72" t="s">
        <v>481</v>
      </c>
      <c r="E197">
        <v>2.5</v>
      </c>
    </row>
    <row r="198" spans="2:12" x14ac:dyDescent="0.2">
      <c r="E198" s="259">
        <f>SUM(E195,E197)</f>
        <v>23.84281842818428</v>
      </c>
    </row>
    <row r="205" spans="2:12" x14ac:dyDescent="0.2">
      <c r="B205" s="317"/>
      <c r="C205" s="317"/>
      <c r="D205" s="317"/>
      <c r="E205" s="317"/>
      <c r="F205" s="317"/>
      <c r="G205" s="317"/>
      <c r="H205" s="317"/>
      <c r="I205" s="317"/>
      <c r="J205" s="317"/>
      <c r="K205" s="317"/>
      <c r="L205" s="317"/>
    </row>
    <row r="206" spans="2:12" x14ac:dyDescent="0.2">
      <c r="C206" s="262" t="s">
        <v>482</v>
      </c>
      <c r="D206" s="263">
        <v>0.4</v>
      </c>
      <c r="E206" s="262" t="s">
        <v>391</v>
      </c>
      <c r="F206" s="264"/>
      <c r="G206" s="264"/>
      <c r="H206" s="264"/>
    </row>
    <row r="207" spans="2:12" x14ac:dyDescent="0.2">
      <c r="C207" s="264"/>
      <c r="D207" s="264"/>
      <c r="E207" s="264"/>
      <c r="F207" s="264"/>
      <c r="G207" s="264"/>
      <c r="H207" s="264"/>
      <c r="L207" s="72"/>
    </row>
    <row r="208" spans="2:12" ht="15" x14ac:dyDescent="0.25">
      <c r="C208" s="265" t="s">
        <v>393</v>
      </c>
      <c r="D208" s="264"/>
      <c r="E208" s="266" t="s">
        <v>394</v>
      </c>
      <c r="F208" s="266" t="s">
        <v>395</v>
      </c>
      <c r="G208" s="266" t="s">
        <v>396</v>
      </c>
      <c r="H208" s="266" t="s">
        <v>397</v>
      </c>
      <c r="I208" s="267" t="s">
        <v>398</v>
      </c>
    </row>
    <row r="209" spans="2:9" ht="15" x14ac:dyDescent="0.25">
      <c r="C209" s="264"/>
      <c r="D209" s="265" t="s">
        <v>399</v>
      </c>
      <c r="E209" s="263">
        <v>7</v>
      </c>
      <c r="F209" s="318">
        <v>4.4000000000000004</v>
      </c>
      <c r="G209" s="319">
        <f>SUM(E219*F209)</f>
        <v>81.400000000000006</v>
      </c>
      <c r="H209" s="262">
        <f>E209*2</f>
        <v>14</v>
      </c>
      <c r="I209" s="285">
        <f>E209*F209</f>
        <v>30.800000000000004</v>
      </c>
    </row>
    <row r="210" spans="2:9" x14ac:dyDescent="0.2">
      <c r="B210" t="s">
        <v>400</v>
      </c>
      <c r="C210" s="264" t="s">
        <v>483</v>
      </c>
      <c r="D210" s="272">
        <v>3.71</v>
      </c>
      <c r="E210" s="264">
        <v>55</v>
      </c>
      <c r="F210" s="264"/>
      <c r="G210" s="264"/>
      <c r="H210" s="264"/>
    </row>
    <row r="211" spans="2:9" x14ac:dyDescent="0.2">
      <c r="C211" s="264" t="s">
        <v>401</v>
      </c>
      <c r="D211" s="203">
        <f>G212/G209</f>
        <v>1.1179361179361178</v>
      </c>
      <c r="E211" s="273">
        <v>6.5</v>
      </c>
      <c r="F211" s="264" t="s">
        <v>116</v>
      </c>
      <c r="G211" s="274">
        <f>SUM(E211*E209)</f>
        <v>45.5</v>
      </c>
      <c r="H211" s="264"/>
    </row>
    <row r="212" spans="2:9" x14ac:dyDescent="0.2">
      <c r="C212" s="264"/>
      <c r="D212" s="275"/>
      <c r="E212" s="264" t="s">
        <v>402</v>
      </c>
      <c r="F212" s="268">
        <v>2</v>
      </c>
      <c r="G212" s="276">
        <f>F212*G211</f>
        <v>91</v>
      </c>
      <c r="H212" s="264"/>
    </row>
    <row r="213" spans="2:9" x14ac:dyDescent="0.2">
      <c r="C213" s="264"/>
      <c r="D213" s="275"/>
      <c r="E213" s="264"/>
      <c r="F213" s="266"/>
      <c r="G213" s="266"/>
      <c r="H213" s="266"/>
    </row>
    <row r="214" spans="2:9" x14ac:dyDescent="0.2">
      <c r="C214" s="264" t="s">
        <v>403</v>
      </c>
      <c r="D214" s="275">
        <v>0.09</v>
      </c>
      <c r="E214" s="264"/>
      <c r="F214" s="264"/>
      <c r="G214" s="264"/>
      <c r="H214" s="264"/>
    </row>
    <row r="215" spans="2:9" x14ac:dyDescent="0.2">
      <c r="E215" s="264"/>
      <c r="F215" s="264"/>
      <c r="G215" s="264"/>
      <c r="H215" s="264"/>
    </row>
    <row r="216" spans="2:9" x14ac:dyDescent="0.2">
      <c r="C216" s="265" t="s">
        <v>404</v>
      </c>
      <c r="D216" s="277"/>
      <c r="E216" s="264"/>
      <c r="F216" s="264"/>
      <c r="G216" s="264"/>
      <c r="H216" s="264"/>
    </row>
    <row r="217" spans="2:9" x14ac:dyDescent="0.2">
      <c r="C217" s="264" t="s">
        <v>405</v>
      </c>
      <c r="D217" s="277"/>
      <c r="E217" s="264"/>
      <c r="F217" s="264"/>
      <c r="G217" s="264"/>
      <c r="H217" s="264"/>
    </row>
    <row r="218" spans="2:9" x14ac:dyDescent="0.2">
      <c r="C218" s="262" t="s">
        <v>406</v>
      </c>
      <c r="D218" s="264"/>
      <c r="E218" s="278">
        <f>SUM(E209/D206)</f>
        <v>17.5</v>
      </c>
      <c r="F218" s="264"/>
      <c r="G218" s="264"/>
      <c r="H218" s="264"/>
    </row>
    <row r="219" spans="2:9" x14ac:dyDescent="0.2">
      <c r="C219" s="264" t="s">
        <v>407</v>
      </c>
      <c r="D219" s="277"/>
      <c r="E219" s="279">
        <f>E218+1</f>
        <v>18.5</v>
      </c>
      <c r="F219" s="264" t="s">
        <v>408</v>
      </c>
      <c r="G219" s="264"/>
      <c r="H219" s="264"/>
    </row>
    <row r="220" spans="2:9" x14ac:dyDescent="0.2">
      <c r="C220" s="262" t="s">
        <v>409</v>
      </c>
      <c r="D220" s="264"/>
      <c r="E220" s="278">
        <f>SUM(E219*4)</f>
        <v>74</v>
      </c>
      <c r="F220" s="264" t="s">
        <v>410</v>
      </c>
      <c r="G220" s="320">
        <v>1.4999999999999999E-2</v>
      </c>
      <c r="H220" s="280"/>
    </row>
    <row r="221" spans="2:9" x14ac:dyDescent="0.2">
      <c r="C221" s="264" t="s">
        <v>484</v>
      </c>
      <c r="D221" s="281">
        <f>SUM(E220*G220)/G209</f>
        <v>1.3636363636363634E-2</v>
      </c>
      <c r="E221" s="282" t="s">
        <v>412</v>
      </c>
      <c r="F221" s="264"/>
      <c r="G221" s="264"/>
      <c r="H221" s="264"/>
    </row>
    <row r="222" spans="2:9" x14ac:dyDescent="0.2">
      <c r="C222" s="264"/>
      <c r="D222" s="265"/>
      <c r="E222" s="264"/>
      <c r="F222" s="264"/>
      <c r="G222" s="264"/>
      <c r="H222" s="264"/>
    </row>
    <row r="223" spans="2:9" x14ac:dyDescent="0.2">
      <c r="C223" s="264"/>
      <c r="D223" s="283">
        <f>SUM(D210:D222)</f>
        <v>4.9315724815724815</v>
      </c>
      <c r="E223" s="264"/>
      <c r="F223" s="264"/>
      <c r="G223" s="264"/>
      <c r="H223" s="264"/>
    </row>
    <row r="224" spans="2:9" x14ac:dyDescent="0.2">
      <c r="C224" s="264" t="s">
        <v>413</v>
      </c>
      <c r="D224" s="284">
        <f>SUM(D223*0.05)</f>
        <v>0.24657862407862408</v>
      </c>
      <c r="E224" s="264"/>
      <c r="F224" s="264"/>
      <c r="G224" s="264"/>
      <c r="H224" s="264"/>
    </row>
    <row r="225" spans="2:12" ht="15" x14ac:dyDescent="0.25">
      <c r="C225" s="264"/>
      <c r="D225" s="112">
        <f>SUM(D223:D224)</f>
        <v>5.1781511056511054</v>
      </c>
      <c r="E225" s="264"/>
      <c r="F225" s="264"/>
      <c r="G225" s="264"/>
      <c r="H225" s="111"/>
      <c r="I225" s="113"/>
      <c r="J225" s="285"/>
    </row>
    <row r="226" spans="2:12" x14ac:dyDescent="0.2">
      <c r="B226" t="s">
        <v>414</v>
      </c>
      <c r="C226" s="265" t="s">
        <v>415</v>
      </c>
      <c r="D226" s="264"/>
      <c r="E226" s="262" t="s">
        <v>416</v>
      </c>
      <c r="F226" s="264"/>
      <c r="G226" s="264"/>
      <c r="H226" s="264"/>
    </row>
    <row r="227" spans="2:12" x14ac:dyDescent="0.2">
      <c r="C227" s="265" t="s">
        <v>417</v>
      </c>
      <c r="D227" s="264"/>
      <c r="E227" s="286">
        <v>55</v>
      </c>
      <c r="F227" s="264"/>
      <c r="G227" s="264"/>
      <c r="H227" s="264"/>
    </row>
    <row r="228" spans="2:12" x14ac:dyDescent="0.2">
      <c r="C228" s="111">
        <v>20</v>
      </c>
      <c r="D228" s="287">
        <f>E227/C228</f>
        <v>2.75</v>
      </c>
      <c r="E228" s="264"/>
      <c r="F228" s="264"/>
      <c r="G228" s="264"/>
      <c r="H228" s="264"/>
      <c r="J228" s="203"/>
    </row>
    <row r="229" spans="2:12" ht="15" x14ac:dyDescent="0.25">
      <c r="C229" s="264"/>
      <c r="D229" s="112">
        <f>SUM(D225:D228)</f>
        <v>7.9281511056511054</v>
      </c>
      <c r="E229" s="264"/>
      <c r="F229" s="264"/>
      <c r="G229" s="264"/>
      <c r="H229" s="288"/>
      <c r="J229" s="288"/>
    </row>
    <row r="230" spans="2:12" ht="15" x14ac:dyDescent="0.25">
      <c r="H230" s="274"/>
      <c r="J230" s="288"/>
    </row>
    <row r="231" spans="2:12" ht="15" x14ac:dyDescent="0.25">
      <c r="C231" s="265" t="s">
        <v>420</v>
      </c>
      <c r="D231" s="264"/>
      <c r="H231" s="264"/>
      <c r="I231" s="288" t="s">
        <v>418</v>
      </c>
      <c r="K231" s="288"/>
      <c r="L231" s="72" t="s">
        <v>419</v>
      </c>
    </row>
    <row r="232" spans="2:12" ht="15" x14ac:dyDescent="0.25">
      <c r="C232" s="289">
        <v>0.05</v>
      </c>
      <c r="D232" s="287">
        <f>D229*C232</f>
        <v>0.39640755528255528</v>
      </c>
      <c r="E232" s="264"/>
      <c r="F232" s="264"/>
      <c r="G232" s="264"/>
      <c r="H232" s="274"/>
      <c r="I232" s="274">
        <f>D234-I234</f>
        <v>3.240907555282555</v>
      </c>
      <c r="K232" s="288">
        <f>G209*I232</f>
        <v>263.80987499999998</v>
      </c>
      <c r="L232" s="203">
        <f>K232/I209</f>
        <v>8.5652556818181793</v>
      </c>
    </row>
    <row r="233" spans="2:12" x14ac:dyDescent="0.2">
      <c r="E233" s="264"/>
      <c r="F233" s="264"/>
      <c r="G233" s="264"/>
      <c r="H233" s="274"/>
      <c r="I233" s="264" t="s">
        <v>421</v>
      </c>
    </row>
    <row r="234" spans="2:12" x14ac:dyDescent="0.2">
      <c r="C234" s="264"/>
      <c r="D234" s="290">
        <f>SUM(D229:D232)</f>
        <v>8.3245586609336613</v>
      </c>
      <c r="E234" s="262" t="s">
        <v>422</v>
      </c>
      <c r="F234" s="264"/>
      <c r="G234" s="264"/>
      <c r="I234" s="274">
        <f>SUM(D210,D211,D221)*1.05</f>
        <v>5.0836511056511062</v>
      </c>
      <c r="K234" s="203">
        <f>G209*I234</f>
        <v>413.80920000000009</v>
      </c>
      <c r="L234" s="203">
        <f>K234/I209</f>
        <v>13.435363636363638</v>
      </c>
    </row>
    <row r="235" spans="2:12" x14ac:dyDescent="0.2">
      <c r="C235" s="291" t="s">
        <v>423</v>
      </c>
      <c r="D235" s="292"/>
      <c r="E235" s="293">
        <f>D234*G209</f>
        <v>677.61907500000007</v>
      </c>
      <c r="F235" s="264"/>
      <c r="G235" s="264"/>
      <c r="K235" s="203"/>
    </row>
    <row r="236" spans="2:12" x14ac:dyDescent="0.2">
      <c r="C236" s="264"/>
      <c r="D236" s="265"/>
      <c r="E236" s="264"/>
      <c r="F236" s="264"/>
      <c r="G236" s="264"/>
    </row>
    <row r="237" spans="2:12" x14ac:dyDescent="0.2">
      <c r="B237" t="s">
        <v>425</v>
      </c>
      <c r="C237" s="72" t="s">
        <v>490</v>
      </c>
      <c r="D237" s="272">
        <f>I239</f>
        <v>4.28</v>
      </c>
      <c r="E237" s="111"/>
      <c r="F237" s="276">
        <f>T10</f>
        <v>5.67</v>
      </c>
      <c r="G237" s="276">
        <f>T12</f>
        <v>2.89</v>
      </c>
      <c r="H237" s="264"/>
    </row>
    <row r="238" spans="2:12" x14ac:dyDescent="0.2">
      <c r="C238" s="264" t="s">
        <v>428</v>
      </c>
      <c r="D238" s="321">
        <v>0.31</v>
      </c>
      <c r="E238" s="264"/>
      <c r="F238" s="295" t="s">
        <v>426</v>
      </c>
      <c r="G238" s="264" t="s">
        <v>445</v>
      </c>
      <c r="H238" s="266"/>
      <c r="I238" t="s">
        <v>427</v>
      </c>
    </row>
    <row r="239" spans="2:12" ht="15" x14ac:dyDescent="0.25">
      <c r="C239" s="264" t="s">
        <v>403</v>
      </c>
      <c r="D239" s="275">
        <v>0.09</v>
      </c>
      <c r="E239" s="264"/>
      <c r="F239" s="302">
        <f>T10</f>
        <v>5.67</v>
      </c>
      <c r="G239" s="302">
        <f>T12</f>
        <v>2.89</v>
      </c>
      <c r="H239" s="303">
        <f>SUM(F239:G239)</f>
        <v>8.56</v>
      </c>
      <c r="I239" s="304">
        <f>H239/2</f>
        <v>4.28</v>
      </c>
    </row>
    <row r="240" spans="2:12" x14ac:dyDescent="0.2">
      <c r="C240" s="264"/>
      <c r="E240" s="264"/>
      <c r="F240" s="264"/>
      <c r="G240" s="264"/>
      <c r="H240" s="264"/>
    </row>
    <row r="241" spans="2:15" x14ac:dyDescent="0.2">
      <c r="C241" s="265" t="s">
        <v>429</v>
      </c>
      <c r="F241" s="264"/>
      <c r="G241" s="264"/>
      <c r="H241" s="280"/>
    </row>
    <row r="242" spans="2:15" x14ac:dyDescent="0.2">
      <c r="C242" s="264" t="s">
        <v>430</v>
      </c>
      <c r="D242" s="264"/>
      <c r="E242" s="278">
        <f>E209/0.6</f>
        <v>11.666666666666668</v>
      </c>
      <c r="F242" s="264"/>
      <c r="G242" s="264"/>
      <c r="H242" s="264"/>
    </row>
    <row r="243" spans="2:15" x14ac:dyDescent="0.2">
      <c r="C243" s="264" t="s">
        <v>431</v>
      </c>
      <c r="D243" s="264"/>
      <c r="E243" s="278">
        <f>E242</f>
        <v>11.666666666666668</v>
      </c>
      <c r="F243" s="264" t="s">
        <v>432</v>
      </c>
      <c r="G243" s="280">
        <v>1.7</v>
      </c>
    </row>
    <row r="244" spans="2:15" x14ac:dyDescent="0.2">
      <c r="C244" s="264"/>
      <c r="D244" s="281">
        <f>SUM(E243*G243)/H209</f>
        <v>1.4166666666666667</v>
      </c>
      <c r="E244" s="282" t="s">
        <v>412</v>
      </c>
      <c r="F244" s="264"/>
      <c r="G244" s="264"/>
      <c r="I244" s="259"/>
    </row>
    <row r="245" spans="2:15" x14ac:dyDescent="0.2">
      <c r="C245" s="264"/>
      <c r="D245" s="281"/>
      <c r="E245" s="282"/>
      <c r="F245" s="264"/>
      <c r="G245" s="264"/>
      <c r="H245" s="264"/>
      <c r="J245" s="203"/>
    </row>
    <row r="246" spans="2:15" ht="15" x14ac:dyDescent="0.25">
      <c r="C246" s="264"/>
      <c r="D246" s="283">
        <f>SUM(D237:D244)</f>
        <v>6.0966666666666667</v>
      </c>
      <c r="E246" s="264"/>
      <c r="F246" s="264"/>
      <c r="G246" s="264"/>
      <c r="H246" s="288"/>
      <c r="J246" s="288"/>
    </row>
    <row r="247" spans="2:15" ht="15" x14ac:dyDescent="0.25">
      <c r="C247" s="264" t="s">
        <v>413</v>
      </c>
      <c r="D247" s="284">
        <f>SUM(D246*0.05)</f>
        <v>0.30483333333333335</v>
      </c>
      <c r="E247" s="264"/>
      <c r="F247" s="264"/>
      <c r="G247" s="264"/>
      <c r="H247" s="274"/>
      <c r="J247" s="288"/>
    </row>
    <row r="248" spans="2:15" x14ac:dyDescent="0.2">
      <c r="C248" s="264"/>
      <c r="D248" s="112">
        <f>SUM(D246:D247)</f>
        <v>6.4015000000000004</v>
      </c>
      <c r="E248" s="264"/>
      <c r="F248" s="264"/>
      <c r="G248" s="264"/>
      <c r="H248" s="264"/>
    </row>
    <row r="249" spans="2:15" x14ac:dyDescent="0.2">
      <c r="B249" t="s">
        <v>425</v>
      </c>
      <c r="C249" s="265" t="s">
        <v>415</v>
      </c>
      <c r="D249" s="264"/>
      <c r="E249" s="262" t="s">
        <v>416</v>
      </c>
      <c r="F249" s="264"/>
      <c r="G249" s="264"/>
      <c r="H249" s="281"/>
    </row>
    <row r="250" spans="2:15" ht="15" x14ac:dyDescent="0.25">
      <c r="C250" s="72" t="s">
        <v>417</v>
      </c>
      <c r="E250" s="286">
        <v>55</v>
      </c>
      <c r="F250" s="264"/>
      <c r="G250" s="264"/>
      <c r="H250" s="281"/>
      <c r="I250" s="288" t="s">
        <v>418</v>
      </c>
      <c r="K250" s="288"/>
      <c r="L250" s="72" t="s">
        <v>419</v>
      </c>
    </row>
    <row r="251" spans="2:15" ht="15" x14ac:dyDescent="0.25">
      <c r="C251" s="259">
        <v>4</v>
      </c>
      <c r="D251" s="296">
        <f>E250/C251</f>
        <v>13.75</v>
      </c>
      <c r="F251" s="264"/>
      <c r="G251" s="264"/>
      <c r="I251" s="274">
        <f>D255-I253</f>
        <v>14.852074999999997</v>
      </c>
      <c r="K251" s="288">
        <f>H209*I251</f>
        <v>207.92904999999996</v>
      </c>
      <c r="L251" s="203">
        <f>K251/I209</f>
        <v>6.7509431818181795</v>
      </c>
    </row>
    <row r="252" spans="2:15" x14ac:dyDescent="0.2">
      <c r="C252" s="264"/>
      <c r="D252" s="112">
        <f>SUM(D248:D251)</f>
        <v>20.151499999999999</v>
      </c>
      <c r="E252" s="264"/>
      <c r="F252" s="264"/>
      <c r="G252" s="264"/>
      <c r="H252" s="264"/>
      <c r="I252" s="264" t="s">
        <v>421</v>
      </c>
    </row>
    <row r="253" spans="2:15" x14ac:dyDescent="0.2">
      <c r="C253" s="265" t="s">
        <v>420</v>
      </c>
      <c r="D253" s="264"/>
      <c r="E253" s="264"/>
      <c r="F253" s="264"/>
      <c r="G253" s="264"/>
      <c r="I253" s="274">
        <f>SUM(D237,D238,D244)*1.05</f>
        <v>6.3070000000000004</v>
      </c>
      <c r="K253" s="203">
        <f>I253*H209</f>
        <v>88.298000000000002</v>
      </c>
      <c r="L253" s="203">
        <f>K253/I209</f>
        <v>2.8668181818181813</v>
      </c>
    </row>
    <row r="254" spans="2:15" ht="15" x14ac:dyDescent="0.25">
      <c r="C254" s="289">
        <v>0.05</v>
      </c>
      <c r="D254" s="287">
        <f>D252*C254</f>
        <v>1.0075749999999999</v>
      </c>
      <c r="E254" s="264"/>
      <c r="F254" s="264"/>
      <c r="G254" s="264"/>
      <c r="I254" s="285"/>
      <c r="J254" s="285"/>
      <c r="K254" s="203"/>
    </row>
    <row r="255" spans="2:15" ht="15" x14ac:dyDescent="0.25">
      <c r="C255" s="264"/>
      <c r="D255" s="290">
        <f>SUM(D252:D254)</f>
        <v>21.159074999999998</v>
      </c>
      <c r="E255" s="262" t="s">
        <v>422</v>
      </c>
      <c r="F255" s="264"/>
      <c r="G255" s="264"/>
      <c r="I255" s="298"/>
      <c r="J255" s="298"/>
    </row>
    <row r="256" spans="2:15" x14ac:dyDescent="0.2">
      <c r="C256" s="291" t="s">
        <v>433</v>
      </c>
      <c r="D256" s="297"/>
      <c r="E256" s="293">
        <f>SUM(D255*H209)</f>
        <v>296.22704999999996</v>
      </c>
      <c r="F256" s="264"/>
      <c r="G256" s="264"/>
      <c r="M256" s="72" t="s">
        <v>436</v>
      </c>
      <c r="N256" s="203">
        <f>SUM(L232,L251)</f>
        <v>15.316198863636359</v>
      </c>
      <c r="O256" s="299">
        <f>N256/E250</f>
        <v>0.27847634297520651</v>
      </c>
    </row>
    <row r="257" spans="2:14" ht="15" x14ac:dyDescent="0.25">
      <c r="C257" t="s">
        <v>434</v>
      </c>
      <c r="E257" s="259">
        <f>SUM(E235+E256)</f>
        <v>973.84612500000003</v>
      </c>
      <c r="F257" t="s">
        <v>435</v>
      </c>
      <c r="H257" s="285" t="s">
        <v>485</v>
      </c>
      <c r="M257" s="72" t="s">
        <v>438</v>
      </c>
      <c r="N257" s="203">
        <f>SUM(L234,L253)</f>
        <v>16.302181818181818</v>
      </c>
    </row>
    <row r="258" spans="2:14" ht="15.75" thickBot="1" x14ac:dyDescent="0.3">
      <c r="E258" s="300">
        <f>SUM(E257/I209)</f>
        <v>31.618380681818177</v>
      </c>
      <c r="F258" s="285" t="s">
        <v>151</v>
      </c>
      <c r="G258" t="s">
        <v>486</v>
      </c>
      <c r="H258" s="259">
        <f>SUM(G209/15)</f>
        <v>5.4266666666666667</v>
      </c>
    </row>
    <row r="259" spans="2:14" ht="15.75" thickTop="1" x14ac:dyDescent="0.25">
      <c r="E259" s="301">
        <f>E257/E209</f>
        <v>139.12087500000001</v>
      </c>
      <c r="F259" s="285" t="s">
        <v>116</v>
      </c>
      <c r="G259" t="s">
        <v>487</v>
      </c>
      <c r="H259" s="259">
        <f>H209/4</f>
        <v>3.5</v>
      </c>
      <c r="I259" t="s">
        <v>488</v>
      </c>
    </row>
    <row r="260" spans="2:14" x14ac:dyDescent="0.2">
      <c r="C260" t="s">
        <v>437</v>
      </c>
      <c r="E260" s="203">
        <f>I255</f>
        <v>0</v>
      </c>
      <c r="F260" t="s">
        <v>151</v>
      </c>
      <c r="H260" s="259">
        <f>SUM(H258:H259)</f>
        <v>8.9266666666666659</v>
      </c>
      <c r="I260" s="259">
        <f>H260*50</f>
        <v>446.33333333333331</v>
      </c>
    </row>
    <row r="261" spans="2:14" x14ac:dyDescent="0.2">
      <c r="C261" t="s">
        <v>439</v>
      </c>
      <c r="E261" s="203">
        <f>E258-E260</f>
        <v>31.618380681818177</v>
      </c>
      <c r="F261" t="s">
        <v>151</v>
      </c>
      <c r="G261" t="s">
        <v>489</v>
      </c>
      <c r="H261" s="259">
        <f>SUM(I209/H260)*9</f>
        <v>31.053024645257665</v>
      </c>
    </row>
    <row r="265" spans="2:14" x14ac:dyDescent="0.2">
      <c r="B265" s="261"/>
      <c r="C265" s="261"/>
      <c r="D265" s="261"/>
      <c r="E265" s="261"/>
      <c r="F265" s="261"/>
      <c r="G265" s="261"/>
      <c r="H265" s="261"/>
      <c r="I265" s="261"/>
      <c r="J265" s="261"/>
      <c r="K265" s="261"/>
      <c r="L265" s="261"/>
    </row>
    <row r="275" spans="2:9" x14ac:dyDescent="0.2">
      <c r="B275" s="72"/>
      <c r="C275" s="72"/>
      <c r="D275" s="72"/>
      <c r="E275" s="72"/>
      <c r="F275" s="72"/>
      <c r="G275" s="72"/>
      <c r="H275" s="72"/>
      <c r="I275" s="72"/>
    </row>
    <row r="276" spans="2:9" x14ac:dyDescent="0.2">
      <c r="B276" s="322"/>
      <c r="C276" s="323" t="s">
        <v>491</v>
      </c>
      <c r="D276" s="324"/>
      <c r="E276" s="325"/>
      <c r="F276" s="326"/>
      <c r="G276" s="327"/>
      <c r="H276" s="264"/>
      <c r="I276" s="264" t="s">
        <v>454</v>
      </c>
    </row>
    <row r="277" spans="2:9" x14ac:dyDescent="0.2">
      <c r="B277" s="328"/>
      <c r="C277" s="329" t="s">
        <v>492</v>
      </c>
      <c r="D277" s="330"/>
      <c r="E277" s="331"/>
      <c r="F277" s="332"/>
      <c r="G277" s="333">
        <v>60</v>
      </c>
      <c r="H277" s="264"/>
      <c r="I277" s="264"/>
    </row>
    <row r="278" spans="2:9" x14ac:dyDescent="0.2">
      <c r="B278" s="334"/>
      <c r="C278" s="329" t="s">
        <v>493</v>
      </c>
      <c r="D278" s="335">
        <v>2.9</v>
      </c>
      <c r="E278" s="331" t="s">
        <v>116</v>
      </c>
      <c r="F278" s="332">
        <v>4.3099999999999996</v>
      </c>
      <c r="G278" s="333">
        <f>+D278*F278</f>
        <v>12.498999999999999</v>
      </c>
      <c r="H278" s="264"/>
      <c r="I278" s="336">
        <f>SUM(G277:G283)</f>
        <v>82.498999999999995</v>
      </c>
    </row>
    <row r="279" spans="2:9" x14ac:dyDescent="0.2">
      <c r="B279" s="334"/>
      <c r="C279" s="329" t="s">
        <v>494</v>
      </c>
      <c r="D279" s="337">
        <v>1</v>
      </c>
      <c r="E279" s="331"/>
      <c r="F279" s="332"/>
      <c r="G279" s="333"/>
      <c r="H279" s="264"/>
      <c r="I279" s="336"/>
    </row>
    <row r="280" spans="2:9" ht="25.5" x14ac:dyDescent="0.2">
      <c r="B280" s="334"/>
      <c r="C280" s="329" t="s">
        <v>495</v>
      </c>
      <c r="D280" s="335"/>
      <c r="E280" s="331"/>
      <c r="F280" s="332"/>
      <c r="G280" s="333"/>
      <c r="H280" s="264"/>
      <c r="I280" s="336"/>
    </row>
    <row r="281" spans="2:9" x14ac:dyDescent="0.2">
      <c r="B281" s="334"/>
      <c r="C281" s="329"/>
      <c r="D281" s="335"/>
      <c r="E281" s="331"/>
      <c r="F281" s="332"/>
      <c r="G281" s="333"/>
      <c r="H281" s="264"/>
      <c r="I281" s="336"/>
    </row>
    <row r="282" spans="2:9" x14ac:dyDescent="0.2">
      <c r="B282" s="334"/>
      <c r="C282" s="329"/>
      <c r="D282" s="335"/>
      <c r="E282" s="331"/>
      <c r="F282" s="332"/>
      <c r="G282" s="333"/>
      <c r="H282" s="264"/>
      <c r="I282" s="336"/>
    </row>
    <row r="283" spans="2:9" x14ac:dyDescent="0.2">
      <c r="B283" s="328"/>
      <c r="C283" s="329" t="s">
        <v>404</v>
      </c>
      <c r="D283" s="330"/>
      <c r="E283" s="331"/>
      <c r="F283" s="332"/>
      <c r="G283" s="333">
        <v>10</v>
      </c>
      <c r="H283" s="264"/>
      <c r="I283" s="264" t="s">
        <v>496</v>
      </c>
    </row>
    <row r="284" spans="2:9" x14ac:dyDescent="0.2">
      <c r="B284" s="328"/>
      <c r="C284" s="329" t="s">
        <v>497</v>
      </c>
      <c r="D284" s="338">
        <v>0.75</v>
      </c>
      <c r="E284" s="331" t="s">
        <v>498</v>
      </c>
      <c r="F284" s="332">
        <v>50</v>
      </c>
      <c r="G284" s="333">
        <f>+D284*F284</f>
        <v>37.5</v>
      </c>
      <c r="H284" s="264"/>
      <c r="I284" s="336">
        <f>G284</f>
        <v>37.5</v>
      </c>
    </row>
    <row r="285" spans="2:9" x14ac:dyDescent="0.2">
      <c r="B285" s="339"/>
      <c r="C285" s="340"/>
      <c r="D285" s="341"/>
      <c r="E285" s="342"/>
      <c r="F285" s="343"/>
      <c r="G285" s="344">
        <f>SUM(G277:G284)</f>
        <v>119.999</v>
      </c>
      <c r="H285" s="264"/>
      <c r="I285" s="264"/>
    </row>
    <row r="286" spans="2:9" x14ac:dyDescent="0.2">
      <c r="B286" s="345"/>
      <c r="C286" s="346"/>
      <c r="D286" s="347"/>
      <c r="E286" s="346"/>
      <c r="F286" s="346"/>
      <c r="G286" s="346"/>
      <c r="H286" s="346"/>
      <c r="I286" s="346"/>
    </row>
    <row r="288" spans="2:9" x14ac:dyDescent="0.2">
      <c r="B288" s="72"/>
      <c r="C288" s="72"/>
      <c r="D288" s="72"/>
      <c r="E288" s="72"/>
      <c r="F288" s="72"/>
      <c r="G288" s="72"/>
      <c r="H288" s="72"/>
      <c r="I288" s="72"/>
    </row>
    <row r="289" spans="2:9" x14ac:dyDescent="0.2">
      <c r="B289" s="322"/>
      <c r="C289" s="323" t="s">
        <v>491</v>
      </c>
      <c r="D289" s="324"/>
      <c r="E289" s="325"/>
      <c r="F289" s="326"/>
      <c r="G289" s="327"/>
      <c r="H289" s="264"/>
      <c r="I289" s="264" t="s">
        <v>454</v>
      </c>
    </row>
    <row r="290" spans="2:9" x14ac:dyDescent="0.2">
      <c r="B290" s="328"/>
      <c r="C290" s="329" t="s">
        <v>492</v>
      </c>
      <c r="D290" s="330"/>
      <c r="E290" s="331"/>
      <c r="F290" s="332"/>
      <c r="G290" s="333">
        <v>60</v>
      </c>
      <c r="H290" s="264"/>
      <c r="I290" s="264"/>
    </row>
    <row r="291" spans="2:9" x14ac:dyDescent="0.2">
      <c r="B291" s="334"/>
      <c r="C291" s="329" t="s">
        <v>493</v>
      </c>
      <c r="D291" s="335">
        <v>3.96</v>
      </c>
      <c r="E291" s="331" t="s">
        <v>116</v>
      </c>
      <c r="F291" s="332">
        <v>4.3099999999999996</v>
      </c>
      <c r="G291" s="333">
        <f>+D291*F291</f>
        <v>17.067599999999999</v>
      </c>
      <c r="H291" s="264"/>
      <c r="I291" s="336">
        <f>SUM(G290:G296)</f>
        <v>87.067599999999999</v>
      </c>
    </row>
    <row r="292" spans="2:9" x14ac:dyDescent="0.2">
      <c r="B292" s="334"/>
      <c r="C292" s="329" t="s">
        <v>494</v>
      </c>
      <c r="D292" s="337">
        <v>1</v>
      </c>
      <c r="E292" s="331"/>
      <c r="F292" s="332"/>
      <c r="G292" s="333"/>
      <c r="H292" s="264"/>
      <c r="I292" s="336"/>
    </row>
    <row r="293" spans="2:9" ht="25.5" x14ac:dyDescent="0.2">
      <c r="B293" s="334"/>
      <c r="C293" s="329" t="s">
        <v>495</v>
      </c>
      <c r="D293" s="335"/>
      <c r="E293" s="331"/>
      <c r="F293" s="332"/>
      <c r="G293" s="333"/>
      <c r="H293" s="264"/>
      <c r="I293" s="336"/>
    </row>
    <row r="294" spans="2:9" x14ac:dyDescent="0.2">
      <c r="B294" s="334"/>
      <c r="C294" s="329"/>
      <c r="D294" s="335"/>
      <c r="E294" s="331"/>
      <c r="F294" s="332"/>
      <c r="G294" s="333"/>
      <c r="H294" s="264"/>
      <c r="I294" s="336"/>
    </row>
    <row r="295" spans="2:9" x14ac:dyDescent="0.2">
      <c r="B295" s="334"/>
      <c r="C295" s="329"/>
      <c r="D295" s="335"/>
      <c r="E295" s="331"/>
      <c r="F295" s="332"/>
      <c r="G295" s="333"/>
      <c r="H295" s="264"/>
      <c r="I295" s="336"/>
    </row>
    <row r="296" spans="2:9" x14ac:dyDescent="0.2">
      <c r="B296" s="328"/>
      <c r="C296" s="329" t="s">
        <v>404</v>
      </c>
      <c r="D296" s="330"/>
      <c r="E296" s="331"/>
      <c r="F296" s="332"/>
      <c r="G296" s="333">
        <v>10</v>
      </c>
      <c r="H296" s="264"/>
      <c r="I296" s="264" t="s">
        <v>496</v>
      </c>
    </row>
    <row r="297" spans="2:9" x14ac:dyDescent="0.2">
      <c r="B297" s="328"/>
      <c r="C297" s="329" t="s">
        <v>497</v>
      </c>
      <c r="D297" s="338">
        <v>1</v>
      </c>
      <c r="E297" s="331" t="s">
        <v>498</v>
      </c>
      <c r="F297" s="332">
        <v>50</v>
      </c>
      <c r="G297" s="333">
        <f>+D297*F297</f>
        <v>50</v>
      </c>
      <c r="H297" s="264"/>
      <c r="I297" s="336">
        <f>G297</f>
        <v>50</v>
      </c>
    </row>
    <row r="298" spans="2:9" x14ac:dyDescent="0.2">
      <c r="B298" s="339"/>
      <c r="C298" s="340"/>
      <c r="D298" s="341"/>
      <c r="E298" s="342"/>
      <c r="F298" s="343"/>
      <c r="G298" s="344">
        <f>SUM(G290:G297)</f>
        <v>137.0676</v>
      </c>
      <c r="H298" s="264"/>
      <c r="I298" s="264"/>
    </row>
    <row r="312" spans="3:20" x14ac:dyDescent="0.2">
      <c r="C312" s="209" t="s">
        <v>967</v>
      </c>
      <c r="D312" s="210">
        <v>1</v>
      </c>
      <c r="E312" s="211" t="s">
        <v>267</v>
      </c>
      <c r="F312" s="212">
        <v>1.5</v>
      </c>
      <c r="G312" s="213" t="s">
        <v>269</v>
      </c>
      <c r="H312" s="214">
        <f>Partitions!H315</f>
        <v>0</v>
      </c>
      <c r="I312" s="215"/>
      <c r="J312" s="215"/>
      <c r="K312" s="215"/>
      <c r="L312" s="215"/>
      <c r="M312" s="215"/>
      <c r="N312" s="215"/>
      <c r="P312" s="72"/>
      <c r="Q312" s="72"/>
      <c r="R312" s="72"/>
    </row>
    <row r="313" spans="3:20" x14ac:dyDescent="0.2">
      <c r="P313" s="72" t="s">
        <v>282</v>
      </c>
      <c r="Q313" s="72" t="s">
        <v>283</v>
      </c>
      <c r="R313" s="72"/>
      <c r="S313" s="72" t="s">
        <v>284</v>
      </c>
    </row>
    <row r="314" spans="3:20" x14ac:dyDescent="0.2">
      <c r="P314" s="72"/>
      <c r="Q314" s="72">
        <v>1.05</v>
      </c>
      <c r="R314" s="72"/>
      <c r="S314" s="72"/>
    </row>
    <row r="315" spans="3:20" x14ac:dyDescent="0.2">
      <c r="C315" s="72" t="s">
        <v>968</v>
      </c>
      <c r="D315" s="207">
        <f>D312</f>
        <v>1</v>
      </c>
      <c r="E315" s="195" t="s">
        <v>116</v>
      </c>
      <c r="F315" s="134">
        <v>0.15</v>
      </c>
      <c r="G315" s="134">
        <f>D315*F315</f>
        <v>0.15</v>
      </c>
      <c r="H315" s="134">
        <f>$H$20*F315</f>
        <v>7.5</v>
      </c>
      <c r="I315" s="135">
        <f>G315*$H$20</f>
        <v>7.5</v>
      </c>
      <c r="J315" s="152">
        <f>T315</f>
        <v>3.2845000000000004</v>
      </c>
      <c r="K315" s="135">
        <f>D315*J315</f>
        <v>3.2845000000000004</v>
      </c>
      <c r="L315" s="136">
        <f>SUM(I315,K315)</f>
        <v>10.784500000000001</v>
      </c>
      <c r="M315" s="135">
        <f>L315/D315</f>
        <v>10.784500000000001</v>
      </c>
      <c r="N315" s="137">
        <f>D315*M315</f>
        <v>10.784500000000001</v>
      </c>
      <c r="P315" s="54">
        <f>T12</f>
        <v>2.89</v>
      </c>
      <c r="Q315" s="203">
        <f>P315*$Q$22</f>
        <v>3.0345000000000004</v>
      </c>
      <c r="R315" s="203">
        <f>Q315</f>
        <v>3.0345000000000004</v>
      </c>
      <c r="S315" s="203">
        <v>0.25</v>
      </c>
      <c r="T315" s="203">
        <f>SUM(R315:S315)</f>
        <v>3.2845000000000004</v>
      </c>
    </row>
    <row r="316" spans="3:20" x14ac:dyDescent="0.2">
      <c r="C316" s="72" t="s">
        <v>972</v>
      </c>
      <c r="D316" s="207">
        <f>D312/0.6</f>
        <v>1.6666666666666667</v>
      </c>
      <c r="E316" s="195" t="s">
        <v>148</v>
      </c>
      <c r="F316" s="134">
        <v>0.1</v>
      </c>
      <c r="G316" s="134">
        <f>D316*F316</f>
        <v>0.16666666666666669</v>
      </c>
      <c r="H316" s="134">
        <f>$H$20*F316</f>
        <v>5</v>
      </c>
      <c r="I316" s="135">
        <f>G316*$H$20</f>
        <v>8.3333333333333339</v>
      </c>
      <c r="J316" s="152">
        <v>1.7</v>
      </c>
      <c r="K316" s="135">
        <f>D316*J316</f>
        <v>2.8333333333333335</v>
      </c>
      <c r="L316" s="136">
        <f>SUM(I316,K316)</f>
        <v>11.166666666666668</v>
      </c>
      <c r="M316" s="135">
        <f>L316/D316</f>
        <v>6.7</v>
      </c>
      <c r="N316" s="137">
        <f>D316*M316</f>
        <v>11.166666666666668</v>
      </c>
      <c r="P316" s="203"/>
      <c r="Q316" s="203">
        <f>P316*$Q$22</f>
        <v>0</v>
      </c>
      <c r="R316" s="203">
        <f>Q316</f>
        <v>0</v>
      </c>
      <c r="S316" s="203"/>
      <c r="T316" s="203">
        <f>SUM(R316:S316)</f>
        <v>0</v>
      </c>
    </row>
    <row r="317" spans="3:20" x14ac:dyDescent="0.2">
      <c r="C317" s="204" t="s">
        <v>969</v>
      </c>
      <c r="D317" s="207">
        <f>(D312*1.66)*F312</f>
        <v>2.4899999999999998</v>
      </c>
      <c r="E317" s="195" t="s">
        <v>116</v>
      </c>
      <c r="F317" s="134">
        <v>0.1</v>
      </c>
      <c r="G317" s="134">
        <f>D317*F317</f>
        <v>0.249</v>
      </c>
      <c r="H317" s="134">
        <f>$H$20*F317</f>
        <v>5</v>
      </c>
      <c r="I317" s="135">
        <f>G317*$H$20</f>
        <v>12.45</v>
      </c>
      <c r="J317" s="152">
        <f>T317</f>
        <v>5.1955</v>
      </c>
      <c r="K317" s="135">
        <f>D317*J317</f>
        <v>12.936794999999998</v>
      </c>
      <c r="L317" s="136">
        <f>SUM(I317,K317)</f>
        <v>25.386794999999999</v>
      </c>
      <c r="M317" s="135">
        <f>L317/D317</f>
        <v>10.195500000000001</v>
      </c>
      <c r="N317" s="137">
        <f>D317*M317</f>
        <v>25.386794999999999</v>
      </c>
      <c r="P317" s="54">
        <f>T13</f>
        <v>4.71</v>
      </c>
      <c r="Q317" s="203">
        <f>P317*$Q$22</f>
        <v>4.9455</v>
      </c>
      <c r="R317" s="203">
        <f>Q317</f>
        <v>4.9455</v>
      </c>
      <c r="S317" s="203">
        <v>0.25</v>
      </c>
      <c r="T317" s="203">
        <f>SUM(R317:S317)</f>
        <v>5.1955</v>
      </c>
    </row>
    <row r="318" spans="3:20" x14ac:dyDescent="0.2">
      <c r="C318" s="204"/>
      <c r="D318" s="207"/>
      <c r="E318" s="195"/>
      <c r="F318" s="134"/>
      <c r="G318" s="134"/>
      <c r="H318" s="134"/>
      <c r="I318" s="135"/>
      <c r="J318" s="152"/>
      <c r="K318" s="135"/>
      <c r="L318" s="136"/>
      <c r="M318" s="135"/>
      <c r="N318" s="137"/>
      <c r="P318" s="54"/>
      <c r="Q318" s="203"/>
      <c r="R318" s="203"/>
      <c r="S318" s="203"/>
      <c r="T318" s="203"/>
    </row>
    <row r="319" spans="3:20" x14ac:dyDescent="0.2">
      <c r="C319" s="204" t="s">
        <v>970</v>
      </c>
      <c r="D319" s="207">
        <f>(D312/0.6)*0.3</f>
        <v>0.5</v>
      </c>
      <c r="E319" s="195" t="s">
        <v>116</v>
      </c>
      <c r="F319" s="134">
        <v>0.1</v>
      </c>
      <c r="G319" s="134">
        <f>D319*F319</f>
        <v>0.05</v>
      </c>
      <c r="H319" s="134">
        <f>$H$20*F319</f>
        <v>5</v>
      </c>
      <c r="I319" s="135">
        <f>G319*$H$20</f>
        <v>2.5</v>
      </c>
      <c r="J319" s="152">
        <f>T319</f>
        <v>5.1955</v>
      </c>
      <c r="K319" s="135">
        <f>D319*J319</f>
        <v>2.59775</v>
      </c>
      <c r="L319" s="136">
        <f>SUM(I319,K319)</f>
        <v>5.0977499999999996</v>
      </c>
      <c r="M319" s="135">
        <f>L319/D319</f>
        <v>10.195499999999999</v>
      </c>
      <c r="N319" s="137">
        <f>D319*M319</f>
        <v>5.0977499999999996</v>
      </c>
      <c r="P319" s="54">
        <v>4.71</v>
      </c>
      <c r="Q319" s="203">
        <f>P319*$Q$22</f>
        <v>4.9455</v>
      </c>
      <c r="R319" s="203">
        <f>Q319</f>
        <v>4.9455</v>
      </c>
      <c r="S319" s="203">
        <v>0.25</v>
      </c>
      <c r="T319" s="203">
        <f>SUM(R319:S319)</f>
        <v>5.1955</v>
      </c>
    </row>
    <row r="320" spans="3:20" x14ac:dyDescent="0.2">
      <c r="C320" s="204" t="s">
        <v>975</v>
      </c>
      <c r="D320" s="207">
        <f>D312*2</f>
        <v>2</v>
      </c>
      <c r="E320" s="195" t="s">
        <v>116</v>
      </c>
      <c r="F320" s="134">
        <v>0.1</v>
      </c>
      <c r="G320" s="134">
        <f>D320*F320</f>
        <v>0.2</v>
      </c>
      <c r="H320" s="134">
        <f>$H$20*F320</f>
        <v>5</v>
      </c>
      <c r="I320" s="135">
        <f>G320*$H$20</f>
        <v>10</v>
      </c>
      <c r="J320" s="152">
        <f>T320</f>
        <v>3.2845000000000004</v>
      </c>
      <c r="K320" s="135">
        <f>D320*J320</f>
        <v>6.5690000000000008</v>
      </c>
      <c r="L320" s="136">
        <f>SUM(I320,K320)</f>
        <v>16.569000000000003</v>
      </c>
      <c r="M320" s="135">
        <f>L320/D320</f>
        <v>8.2845000000000013</v>
      </c>
      <c r="N320" s="137">
        <f>D320*M320</f>
        <v>16.569000000000003</v>
      </c>
      <c r="P320" s="203">
        <v>2.89</v>
      </c>
      <c r="Q320" s="203">
        <f>P320*$Q$22</f>
        <v>3.0345000000000004</v>
      </c>
      <c r="R320" s="203">
        <f>Q320</f>
        <v>3.0345000000000004</v>
      </c>
      <c r="S320" s="203">
        <v>0.25</v>
      </c>
      <c r="T320" s="203">
        <f>SUM(R320:S320)</f>
        <v>3.2845000000000004</v>
      </c>
    </row>
    <row r="321" spans="3:21" x14ac:dyDescent="0.2">
      <c r="C321" s="204"/>
      <c r="D321" s="207"/>
      <c r="E321" s="195"/>
      <c r="F321" s="134"/>
      <c r="G321" s="134"/>
      <c r="H321" s="134"/>
      <c r="I321" s="135"/>
      <c r="J321" s="152"/>
      <c r="K321" s="135"/>
      <c r="L321" s="136"/>
      <c r="M321" s="135"/>
      <c r="N321" s="137"/>
      <c r="P321" s="203"/>
      <c r="Q321" s="203"/>
      <c r="R321" s="203"/>
      <c r="S321" s="203"/>
      <c r="T321" s="203"/>
    </row>
    <row r="322" spans="3:21" x14ac:dyDescent="0.2">
      <c r="C322" s="204" t="s">
        <v>736</v>
      </c>
      <c r="D322" s="207">
        <f>(D312/0.6)*1.5</f>
        <v>2.5</v>
      </c>
      <c r="E322" s="195" t="s">
        <v>116</v>
      </c>
      <c r="F322" s="134">
        <v>0.12</v>
      </c>
      <c r="G322" s="134">
        <f>D322*F322</f>
        <v>0.3</v>
      </c>
      <c r="H322" s="134">
        <f>$H$20*F322</f>
        <v>6</v>
      </c>
      <c r="I322" s="135">
        <f>G322*$H$20</f>
        <v>15</v>
      </c>
      <c r="J322" s="152">
        <f>T322</f>
        <v>5.1955</v>
      </c>
      <c r="K322" s="135">
        <f>D322*J322</f>
        <v>12.98875</v>
      </c>
      <c r="L322" s="136">
        <f>SUM(I322,K322)</f>
        <v>27.98875</v>
      </c>
      <c r="M322" s="135">
        <f>L322/D322</f>
        <v>11.195499999999999</v>
      </c>
      <c r="N322" s="137">
        <f>D322*M322</f>
        <v>27.988749999999996</v>
      </c>
      <c r="P322" s="203">
        <v>4.71</v>
      </c>
      <c r="Q322" s="203">
        <f>P322*$Q$22</f>
        <v>4.9455</v>
      </c>
      <c r="R322" s="203">
        <f>Q322</f>
        <v>4.9455</v>
      </c>
      <c r="S322" s="203">
        <v>0.25</v>
      </c>
      <c r="T322" s="203">
        <f>SUM(R322:S322)</f>
        <v>5.1955</v>
      </c>
    </row>
    <row r="323" spans="3:21" x14ac:dyDescent="0.2">
      <c r="C323" s="204" t="s">
        <v>971</v>
      </c>
      <c r="D323" s="207">
        <f>(D312/0.6)*2</f>
        <v>3.3333333333333335</v>
      </c>
      <c r="E323" s="195" t="s">
        <v>148</v>
      </c>
      <c r="F323" s="134">
        <v>0.05</v>
      </c>
      <c r="G323" s="134">
        <f>D323*F323</f>
        <v>0.16666666666666669</v>
      </c>
      <c r="H323" s="134">
        <f>$H$20*F323</f>
        <v>2.5</v>
      </c>
      <c r="I323" s="135">
        <f>G323*$H$20</f>
        <v>8.3333333333333339</v>
      </c>
      <c r="J323" s="152">
        <f>T323</f>
        <v>5.3425000000000002</v>
      </c>
      <c r="K323" s="135">
        <f>D323*J323</f>
        <v>17.808333333333334</v>
      </c>
      <c r="L323" s="136">
        <f>SUM(I323,K323)</f>
        <v>26.141666666666666</v>
      </c>
      <c r="M323" s="135">
        <f>L323/D323</f>
        <v>7.8424999999999994</v>
      </c>
      <c r="N323" s="137">
        <f>D323*M323</f>
        <v>26.141666666666666</v>
      </c>
      <c r="P323" s="54">
        <v>4.8499999999999996</v>
      </c>
      <c r="Q323" s="203">
        <f>P323*$Q$22</f>
        <v>5.0925000000000002</v>
      </c>
      <c r="R323" s="203">
        <f>Q323</f>
        <v>5.0925000000000002</v>
      </c>
      <c r="S323" s="203">
        <v>0.25</v>
      </c>
      <c r="T323" s="203">
        <f>SUM(R323:S323)</f>
        <v>5.3425000000000002</v>
      </c>
    </row>
    <row r="324" spans="3:21" x14ac:dyDescent="0.2">
      <c r="C324" s="72" t="s">
        <v>972</v>
      </c>
      <c r="D324" s="207">
        <f>D312/0.6</f>
        <v>1.6666666666666667</v>
      </c>
      <c r="E324" s="195" t="s">
        <v>148</v>
      </c>
      <c r="F324" s="134">
        <v>0.1</v>
      </c>
      <c r="G324" s="134">
        <f>D324*F324</f>
        <v>0.16666666666666669</v>
      </c>
      <c r="H324" s="134">
        <f>$H$20*F324</f>
        <v>5</v>
      </c>
      <c r="I324" s="135">
        <f>G324*$H$20</f>
        <v>8.3333333333333339</v>
      </c>
      <c r="J324" s="152">
        <v>1.7</v>
      </c>
      <c r="K324" s="135">
        <f>D324*J324</f>
        <v>2.8333333333333335</v>
      </c>
      <c r="L324" s="136">
        <f>SUM(I324,K324)</f>
        <v>11.166666666666668</v>
      </c>
      <c r="M324" s="135">
        <f>L324/D324</f>
        <v>6.7</v>
      </c>
      <c r="N324" s="137">
        <f>D324*M324</f>
        <v>11.166666666666668</v>
      </c>
      <c r="P324" s="54"/>
      <c r="Q324" s="203"/>
      <c r="R324" s="203"/>
      <c r="S324" s="203"/>
      <c r="T324" s="203"/>
    </row>
    <row r="325" spans="3:21" x14ac:dyDescent="0.2">
      <c r="C325" s="72"/>
      <c r="D325" s="207"/>
      <c r="E325" s="195"/>
      <c r="F325" s="134"/>
      <c r="G325" s="134"/>
      <c r="H325" s="134"/>
      <c r="I325" s="135"/>
      <c r="J325" s="152"/>
      <c r="K325" s="135"/>
      <c r="L325" s="136"/>
      <c r="M325" s="135"/>
      <c r="N325" s="137"/>
      <c r="P325" s="54"/>
      <c r="Q325" s="203"/>
      <c r="R325" s="203"/>
      <c r="S325" s="203"/>
      <c r="T325" s="203"/>
    </row>
    <row r="326" spans="3:21" x14ac:dyDescent="0.2">
      <c r="C326" s="204" t="s">
        <v>272</v>
      </c>
      <c r="D326" s="207">
        <v>40</v>
      </c>
      <c r="E326" s="195" t="s">
        <v>148</v>
      </c>
      <c r="F326" s="134">
        <v>0</v>
      </c>
      <c r="G326" s="134">
        <f>D326*F326</f>
        <v>0</v>
      </c>
      <c r="H326" s="134">
        <f>$H$20*F326</f>
        <v>0</v>
      </c>
      <c r="I326" s="135">
        <f>G326*$H$20</f>
        <v>0</v>
      </c>
      <c r="J326" s="257">
        <v>2.5999999999999999E-2</v>
      </c>
      <c r="K326" s="135">
        <f>D326*J326</f>
        <v>1.04</v>
      </c>
      <c r="L326" s="136">
        <f>SUM(I326,K326)</f>
        <v>1.04</v>
      </c>
      <c r="M326" s="135">
        <f>L326/D326</f>
        <v>2.6000000000000002E-2</v>
      </c>
      <c r="N326" s="137">
        <f>D326*M326</f>
        <v>1.04</v>
      </c>
      <c r="P326" s="54"/>
      <c r="Q326" s="203"/>
      <c r="R326" s="203"/>
      <c r="S326" s="203"/>
      <c r="T326" s="203"/>
    </row>
    <row r="327" spans="3:21" x14ac:dyDescent="0.2">
      <c r="C327" s="216"/>
      <c r="D327" s="216"/>
      <c r="E327" s="216"/>
      <c r="F327" s="258"/>
      <c r="G327" s="216"/>
      <c r="H327" s="216"/>
      <c r="I327" s="216"/>
      <c r="J327" s="216"/>
      <c r="K327" s="216"/>
      <c r="L327" s="216"/>
      <c r="M327" s="216"/>
      <c r="N327" s="216"/>
      <c r="O327" s="216"/>
      <c r="P327" s="216"/>
      <c r="Q327" s="216"/>
      <c r="R327" s="216"/>
      <c r="S327" s="216"/>
      <c r="T327" s="216"/>
      <c r="U327" s="216"/>
    </row>
    <row r="328" spans="3:21" ht="13.5" thickBot="1" x14ac:dyDescent="0.25">
      <c r="C328" s="221"/>
      <c r="D328" s="221"/>
      <c r="E328" s="221"/>
      <c r="F328" s="221"/>
      <c r="G328" s="222">
        <f>SUM(G315:G327)</f>
        <v>1.4490000000000003</v>
      </c>
      <c r="H328" s="223"/>
      <c r="I328" s="224">
        <f>SUM(I315:I327)</f>
        <v>72.449999999999989</v>
      </c>
      <c r="J328" s="224"/>
      <c r="K328" s="224">
        <f>SUM(K315:K327)</f>
        <v>62.891795000000002</v>
      </c>
      <c r="L328" s="224"/>
      <c r="M328" s="224"/>
      <c r="N328" s="224">
        <f>SUM(N315:N327)</f>
        <v>135.34179499999999</v>
      </c>
      <c r="O328" s="221"/>
      <c r="P328" s="221"/>
      <c r="Q328" s="221"/>
      <c r="R328" s="221"/>
      <c r="S328" s="221"/>
      <c r="T328" s="221"/>
      <c r="U328" s="221"/>
    </row>
    <row r="329" spans="3:21" ht="13.5" thickTop="1" x14ac:dyDescent="0.2"/>
    <row r="339" spans="3:20" x14ac:dyDescent="0.2">
      <c r="C339" s="209" t="s">
        <v>982</v>
      </c>
      <c r="D339" s="210">
        <v>1</v>
      </c>
      <c r="E339" s="211" t="s">
        <v>267</v>
      </c>
      <c r="F339" s="212">
        <v>1.5</v>
      </c>
      <c r="G339" s="213" t="s">
        <v>269</v>
      </c>
      <c r="H339" s="214">
        <f>Partitions!H342</f>
        <v>0</v>
      </c>
      <c r="I339" s="215"/>
      <c r="J339" s="215"/>
      <c r="K339" s="215"/>
      <c r="L339" s="215"/>
      <c r="M339" s="215"/>
      <c r="N339" s="215"/>
    </row>
    <row r="340" spans="3:20" x14ac:dyDescent="0.2">
      <c r="P340" s="72" t="s">
        <v>282</v>
      </c>
      <c r="Q340" s="72" t="s">
        <v>283</v>
      </c>
      <c r="R340" s="72"/>
      <c r="S340" s="72" t="s">
        <v>284</v>
      </c>
    </row>
    <row r="341" spans="3:20" x14ac:dyDescent="0.2">
      <c r="P341" s="72"/>
      <c r="Q341" s="72">
        <v>1.05</v>
      </c>
      <c r="R341" s="72"/>
      <c r="S341" s="72"/>
    </row>
    <row r="342" spans="3:20" x14ac:dyDescent="0.2">
      <c r="C342" s="72" t="s">
        <v>983</v>
      </c>
      <c r="D342" s="207">
        <f>D339*2</f>
        <v>2</v>
      </c>
      <c r="E342" s="195" t="s">
        <v>116</v>
      </c>
      <c r="F342" s="134">
        <v>0.15</v>
      </c>
      <c r="G342" s="134">
        <f>D342*F342</f>
        <v>0.3</v>
      </c>
      <c r="H342" s="134">
        <f>$H$20*F342</f>
        <v>7.5</v>
      </c>
      <c r="I342" s="135">
        <f>G342*$H$20</f>
        <v>15</v>
      </c>
      <c r="J342" s="152">
        <f>T342</f>
        <v>3.2845000000000004</v>
      </c>
      <c r="K342" s="135">
        <f>D342*J342</f>
        <v>6.5690000000000008</v>
      </c>
      <c r="L342" s="136">
        <f>SUM(I342,K342)</f>
        <v>21.569000000000003</v>
      </c>
      <c r="M342" s="135">
        <f>L342/D342</f>
        <v>10.784500000000001</v>
      </c>
      <c r="N342" s="137">
        <f>D342*M342</f>
        <v>21.569000000000003</v>
      </c>
      <c r="P342" s="54">
        <f>T12</f>
        <v>2.89</v>
      </c>
      <c r="Q342" s="203">
        <f>P342*$Q$22</f>
        <v>3.0345000000000004</v>
      </c>
      <c r="R342" s="203">
        <f>Q342</f>
        <v>3.0345000000000004</v>
      </c>
      <c r="S342" s="203">
        <v>0.25</v>
      </c>
      <c r="T342" s="203">
        <f>SUM(R342:S342)</f>
        <v>3.2845000000000004</v>
      </c>
    </row>
    <row r="343" spans="3:20" x14ac:dyDescent="0.2">
      <c r="C343" s="72" t="s">
        <v>972</v>
      </c>
      <c r="D343" s="207">
        <f>D339/0.6</f>
        <v>1.6666666666666667</v>
      </c>
      <c r="E343" s="195" t="s">
        <v>148</v>
      </c>
      <c r="F343" s="134">
        <v>0.1</v>
      </c>
      <c r="G343" s="134">
        <f>D343*F343</f>
        <v>0.16666666666666669</v>
      </c>
      <c r="H343" s="134">
        <f>$H$20*F343</f>
        <v>5</v>
      </c>
      <c r="I343" s="135">
        <f>G343*$H$20</f>
        <v>8.3333333333333339</v>
      </c>
      <c r="J343" s="152">
        <v>1.7</v>
      </c>
      <c r="K343" s="135">
        <f>D343*J343</f>
        <v>2.8333333333333335</v>
      </c>
      <c r="L343" s="136">
        <f>SUM(I343,K343)</f>
        <v>11.166666666666668</v>
      </c>
      <c r="M343" s="135">
        <f>L343/D343</f>
        <v>6.7</v>
      </c>
      <c r="N343" s="137">
        <f>D343*M343</f>
        <v>11.166666666666668</v>
      </c>
      <c r="P343" s="203"/>
      <c r="Q343" s="203">
        <f>P343*$Q$22</f>
        <v>0</v>
      </c>
      <c r="R343" s="203">
        <f>Q343</f>
        <v>0</v>
      </c>
      <c r="S343" s="203"/>
      <c r="T343" s="203">
        <f>SUM(R343:S343)</f>
        <v>0</v>
      </c>
    </row>
    <row r="344" spans="3:20" x14ac:dyDescent="0.2">
      <c r="C344" s="204" t="s">
        <v>969</v>
      </c>
      <c r="D344" s="207">
        <f>(D339*1.66)*F339</f>
        <v>2.4899999999999998</v>
      </c>
      <c r="E344" s="195" t="s">
        <v>116</v>
      </c>
      <c r="F344" s="134">
        <v>0.1</v>
      </c>
      <c r="G344" s="134">
        <f>D344*F344</f>
        <v>0.249</v>
      </c>
      <c r="H344" s="134">
        <f>$H$20*F344</f>
        <v>5</v>
      </c>
      <c r="I344" s="135">
        <f>G344*$H$20</f>
        <v>12.45</v>
      </c>
      <c r="J344" s="152">
        <f>T344</f>
        <v>5.1955</v>
      </c>
      <c r="K344" s="135">
        <f>D344*J344</f>
        <v>12.936794999999998</v>
      </c>
      <c r="L344" s="136">
        <f>SUM(I344,K344)</f>
        <v>25.386794999999999</v>
      </c>
      <c r="M344" s="135">
        <f>L344/D344</f>
        <v>10.195500000000001</v>
      </c>
      <c r="N344" s="137">
        <f>D344*M344</f>
        <v>25.386794999999999</v>
      </c>
      <c r="P344" s="54">
        <v>4.71</v>
      </c>
      <c r="Q344" s="203">
        <f>P344*$Q$22</f>
        <v>4.9455</v>
      </c>
      <c r="R344" s="203">
        <f>Q344</f>
        <v>4.9455</v>
      </c>
      <c r="S344" s="203">
        <v>0.25</v>
      </c>
      <c r="T344" s="203">
        <f>SUM(R344:S344)</f>
        <v>5.1955</v>
      </c>
    </row>
    <row r="345" spans="3:20" x14ac:dyDescent="0.2">
      <c r="D345" s="206"/>
      <c r="E345" s="206"/>
      <c r="F345" s="206"/>
      <c r="G345" s="206"/>
      <c r="H345" s="206"/>
      <c r="I345" s="206"/>
      <c r="J345" s="206"/>
      <c r="K345" s="206"/>
      <c r="L345" s="206"/>
      <c r="M345" s="206"/>
      <c r="N345" s="206"/>
      <c r="P345" s="54"/>
      <c r="Q345" s="203"/>
      <c r="R345" s="203"/>
      <c r="S345" s="203"/>
      <c r="T345" s="203"/>
    </row>
    <row r="346" spans="3:20" x14ac:dyDescent="0.2">
      <c r="C346" s="204" t="s">
        <v>984</v>
      </c>
      <c r="D346" s="134">
        <v>0.25</v>
      </c>
      <c r="E346" s="195" t="s">
        <v>116</v>
      </c>
      <c r="F346" s="134">
        <v>0.1</v>
      </c>
      <c r="G346" s="134">
        <f>D346*F346</f>
        <v>2.5000000000000001E-2</v>
      </c>
      <c r="H346" s="134">
        <f>$H$20*F346</f>
        <v>5</v>
      </c>
      <c r="I346" s="135">
        <f>G346*$H$20</f>
        <v>1.25</v>
      </c>
      <c r="J346" s="152">
        <f>T346</f>
        <v>5.1955</v>
      </c>
      <c r="K346" s="135">
        <f>D346*J346</f>
        <v>1.298875</v>
      </c>
      <c r="L346" s="136">
        <f>SUM(I346,K346)</f>
        <v>2.5488749999999998</v>
      </c>
      <c r="M346" s="135">
        <f>L346/D346</f>
        <v>10.195499999999999</v>
      </c>
      <c r="N346" s="137">
        <f>D346*M346</f>
        <v>2.5488749999999998</v>
      </c>
      <c r="P346" s="54">
        <v>4.71</v>
      </c>
      <c r="Q346" s="203">
        <f>P346*$Q$22</f>
        <v>4.9455</v>
      </c>
      <c r="R346" s="203">
        <f>Q346</f>
        <v>4.9455</v>
      </c>
      <c r="S346" s="203">
        <v>0.25</v>
      </c>
      <c r="T346" s="203">
        <f>SUM(R346:S346)</f>
        <v>5.1955</v>
      </c>
    </row>
    <row r="347" spans="3:20" x14ac:dyDescent="0.2">
      <c r="C347" s="204" t="s">
        <v>971</v>
      </c>
      <c r="D347" s="207">
        <f>D339/0.6</f>
        <v>1.6666666666666667</v>
      </c>
      <c r="E347" s="195" t="s">
        <v>148</v>
      </c>
      <c r="F347" s="134">
        <v>0.05</v>
      </c>
      <c r="G347" s="134">
        <f>D347*F347</f>
        <v>8.3333333333333343E-2</v>
      </c>
      <c r="H347" s="134">
        <f>$H$20*F347</f>
        <v>2.5</v>
      </c>
      <c r="I347" s="135">
        <f>G347*$H$20</f>
        <v>4.166666666666667</v>
      </c>
      <c r="J347" s="152">
        <f>T347</f>
        <v>3.2845000000000004</v>
      </c>
      <c r="K347" s="135">
        <f>D347*J347</f>
        <v>5.474166666666668</v>
      </c>
      <c r="L347" s="136">
        <f>SUM(I347,K347)</f>
        <v>9.6408333333333349</v>
      </c>
      <c r="M347" s="135">
        <f>L347/D347</f>
        <v>5.7845000000000004</v>
      </c>
      <c r="N347" s="137">
        <f>D347*M347</f>
        <v>9.6408333333333349</v>
      </c>
      <c r="P347" s="203">
        <v>2.89</v>
      </c>
      <c r="Q347" s="203">
        <f>P347*$Q$22</f>
        <v>3.0345000000000004</v>
      </c>
      <c r="R347" s="203">
        <f>Q347</f>
        <v>3.0345000000000004</v>
      </c>
      <c r="S347" s="203">
        <v>0.25</v>
      </c>
      <c r="T347" s="203">
        <f>SUM(R347:S347)</f>
        <v>3.2845000000000004</v>
      </c>
    </row>
    <row r="348" spans="3:20" x14ac:dyDescent="0.2">
      <c r="D348" s="206"/>
      <c r="E348" s="206"/>
      <c r="F348" s="206"/>
      <c r="G348" s="206"/>
      <c r="H348" s="206"/>
      <c r="I348" s="206"/>
      <c r="J348" s="206"/>
      <c r="K348" s="206"/>
      <c r="L348" s="206"/>
      <c r="M348" s="206"/>
      <c r="N348" s="206"/>
      <c r="P348" s="203"/>
      <c r="Q348" s="203"/>
      <c r="R348" s="203"/>
      <c r="S348" s="203"/>
      <c r="T348" s="203"/>
    </row>
    <row r="349" spans="3:20" x14ac:dyDescent="0.2">
      <c r="C349" s="204" t="s">
        <v>736</v>
      </c>
      <c r="D349" s="207">
        <f>(D339/0.6)*2.2</f>
        <v>3.666666666666667</v>
      </c>
      <c r="E349" s="195" t="s">
        <v>116</v>
      </c>
      <c r="F349" s="134">
        <v>0.12</v>
      </c>
      <c r="G349" s="134">
        <f>D349*F349</f>
        <v>0.44</v>
      </c>
      <c r="H349" s="134">
        <f>$H$20*F349</f>
        <v>6</v>
      </c>
      <c r="I349" s="135">
        <f>G349*$H$20</f>
        <v>22</v>
      </c>
      <c r="J349" s="152">
        <f>T349</f>
        <v>5.1955</v>
      </c>
      <c r="K349" s="135">
        <f>D349*J349</f>
        <v>19.050166666666669</v>
      </c>
      <c r="L349" s="136">
        <f>SUM(I349,K349)</f>
        <v>41.050166666666669</v>
      </c>
      <c r="M349" s="135">
        <f>L349/D349</f>
        <v>11.195499999999999</v>
      </c>
      <c r="N349" s="137">
        <f>D349*M349</f>
        <v>41.050166666666669</v>
      </c>
      <c r="P349" s="203">
        <v>4.71</v>
      </c>
      <c r="Q349" s="203">
        <f>P349*$Q$22</f>
        <v>4.9455</v>
      </c>
      <c r="R349" s="203">
        <f>Q349</f>
        <v>4.9455</v>
      </c>
      <c r="S349" s="203">
        <v>0.25</v>
      </c>
      <c r="T349" s="203">
        <f>SUM(R349:S349)</f>
        <v>5.1955</v>
      </c>
    </row>
    <row r="350" spans="3:20" x14ac:dyDescent="0.2">
      <c r="C350" s="204" t="s">
        <v>971</v>
      </c>
      <c r="D350" s="207">
        <f>(D339/0.6)*2</f>
        <v>3.3333333333333335</v>
      </c>
      <c r="E350" s="195" t="s">
        <v>148</v>
      </c>
      <c r="F350" s="134">
        <v>0.05</v>
      </c>
      <c r="G350" s="134">
        <f>D350*F350</f>
        <v>0.16666666666666669</v>
      </c>
      <c r="H350" s="134">
        <f>$H$20*F350</f>
        <v>2.5</v>
      </c>
      <c r="I350" s="135">
        <f>G350*$H$20</f>
        <v>8.3333333333333339</v>
      </c>
      <c r="J350" s="152">
        <f>T350</f>
        <v>5.3425000000000002</v>
      </c>
      <c r="K350" s="135">
        <f>D350*J350</f>
        <v>17.808333333333334</v>
      </c>
      <c r="L350" s="136">
        <f>SUM(I350,K350)</f>
        <v>26.141666666666666</v>
      </c>
      <c r="M350" s="135">
        <f>L350/D350</f>
        <v>7.8424999999999994</v>
      </c>
      <c r="N350" s="137">
        <f>D350*M350</f>
        <v>26.141666666666666</v>
      </c>
      <c r="P350" s="54">
        <v>4.8499999999999996</v>
      </c>
      <c r="Q350" s="203">
        <f>P350*$Q$22</f>
        <v>5.0925000000000002</v>
      </c>
      <c r="R350" s="203">
        <f>Q350</f>
        <v>5.0925000000000002</v>
      </c>
      <c r="S350" s="203">
        <v>0.25</v>
      </c>
      <c r="T350" s="203">
        <f>SUM(R350:S350)</f>
        <v>5.3425000000000002</v>
      </c>
    </row>
    <row r="351" spans="3:20" x14ac:dyDescent="0.2">
      <c r="C351" s="72" t="s">
        <v>972</v>
      </c>
      <c r="D351" s="207">
        <f>D339/0.6</f>
        <v>1.6666666666666667</v>
      </c>
      <c r="E351" s="195" t="s">
        <v>148</v>
      </c>
      <c r="F351" s="134">
        <v>0.1</v>
      </c>
      <c r="G351" s="134">
        <f>D351*F351</f>
        <v>0.16666666666666669</v>
      </c>
      <c r="H351" s="134">
        <f>$H$20*F351</f>
        <v>5</v>
      </c>
      <c r="I351" s="135">
        <f>G351*$H$20</f>
        <v>8.3333333333333339</v>
      </c>
      <c r="J351" s="152">
        <v>1.7</v>
      </c>
      <c r="K351" s="135">
        <f>D351*J351</f>
        <v>2.8333333333333335</v>
      </c>
      <c r="L351" s="136">
        <f>SUM(I351,K351)</f>
        <v>11.166666666666668</v>
      </c>
      <c r="M351" s="135">
        <f>L351/D351</f>
        <v>6.7</v>
      </c>
      <c r="N351" s="137">
        <f>D351*M351</f>
        <v>11.166666666666668</v>
      </c>
    </row>
    <row r="352" spans="3:20" x14ac:dyDescent="0.2">
      <c r="D352" s="206"/>
      <c r="E352" s="206"/>
      <c r="F352" s="206"/>
      <c r="G352" s="206"/>
      <c r="H352" s="206"/>
      <c r="I352" s="206"/>
      <c r="J352" s="206"/>
      <c r="K352" s="206"/>
      <c r="L352" s="206"/>
      <c r="M352" s="206"/>
      <c r="N352" s="206"/>
    </row>
    <row r="353" spans="3:14" x14ac:dyDescent="0.2">
      <c r="C353" s="204" t="s">
        <v>272</v>
      </c>
      <c r="D353" s="207">
        <v>34</v>
      </c>
      <c r="E353" s="195" t="s">
        <v>148</v>
      </c>
      <c r="F353" s="134">
        <v>0</v>
      </c>
      <c r="G353" s="134">
        <f>D353*F353</f>
        <v>0</v>
      </c>
      <c r="H353" s="134">
        <f>$H$20*F353</f>
        <v>0</v>
      </c>
      <c r="I353" s="135">
        <f>G353*$H$20</f>
        <v>0</v>
      </c>
      <c r="J353" s="257">
        <v>2.5999999999999999E-2</v>
      </c>
      <c r="K353" s="135">
        <f>D353*J353</f>
        <v>0.88400000000000001</v>
      </c>
      <c r="L353" s="136">
        <f>SUM(I353,K353)</f>
        <v>0.88400000000000001</v>
      </c>
      <c r="M353" s="135">
        <f>L353/D353</f>
        <v>2.5999999999999999E-2</v>
      </c>
      <c r="N353" s="137">
        <f>D353*M353</f>
        <v>0.88400000000000001</v>
      </c>
    </row>
    <row r="355" spans="3:14" ht="13.5" thickBot="1" x14ac:dyDescent="0.25">
      <c r="C355" s="221"/>
      <c r="D355" s="221"/>
      <c r="E355" s="221"/>
      <c r="F355" s="221"/>
      <c r="G355" s="222">
        <f>SUM(G340:G354)</f>
        <v>1.5973333333333335</v>
      </c>
      <c r="H355" s="223"/>
      <c r="I355" s="224">
        <f>SUM(I340:I354)</f>
        <v>79.86666666666666</v>
      </c>
      <c r="J355" s="224"/>
      <c r="K355" s="224">
        <f>SUM(K340:K354)</f>
        <v>69.688003333333342</v>
      </c>
      <c r="L355" s="224"/>
      <c r="M355" s="224"/>
      <c r="N355" s="224">
        <f>SUM(N340:N354)</f>
        <v>149.55466999999999</v>
      </c>
    </row>
    <row r="356" spans="3:14" ht="13.5" thickTop="1" x14ac:dyDescent="0.2"/>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F1FA9-9D98-4729-9D67-E8D1E6741446}">
  <dimension ref="B2:U298"/>
  <sheetViews>
    <sheetView topLeftCell="C4" workbookViewId="0">
      <selection activeCell="P23" sqref="P23"/>
    </sheetView>
  </sheetViews>
  <sheetFormatPr defaultRowHeight="12.75" x14ac:dyDescent="0.2"/>
  <cols>
    <col min="3" max="3" width="40.5703125" customWidth="1"/>
    <col min="4" max="4" width="25.42578125" customWidth="1"/>
    <col min="6" max="6" width="15.28515625" customWidth="1"/>
    <col min="7" max="7" width="10.42578125" customWidth="1"/>
    <col min="15" max="15" width="24.28515625" customWidth="1"/>
    <col min="16" max="16" width="21.7109375" customWidth="1"/>
    <col min="19" max="19" width="10.85546875" customWidth="1"/>
    <col min="21" max="21" width="10.28515625" customWidth="1"/>
  </cols>
  <sheetData>
    <row r="2" spans="3:21" x14ac:dyDescent="0.2">
      <c r="R2" s="255" t="s">
        <v>382</v>
      </c>
      <c r="S2" s="255"/>
      <c r="T2" s="205" t="s">
        <v>383</v>
      </c>
      <c r="U2" s="256"/>
    </row>
    <row r="3" spans="3:21" x14ac:dyDescent="0.2">
      <c r="R3" s="255" t="s">
        <v>384</v>
      </c>
      <c r="S3" s="255" t="s">
        <v>385</v>
      </c>
      <c r="T3" s="205" t="s">
        <v>384</v>
      </c>
      <c r="U3" s="205" t="s">
        <v>385</v>
      </c>
    </row>
    <row r="4" spans="3:21" x14ac:dyDescent="0.2">
      <c r="O4" s="72" t="s">
        <v>380</v>
      </c>
      <c r="P4" s="72"/>
      <c r="R4" s="203"/>
      <c r="S4" s="203"/>
      <c r="T4" s="203">
        <v>10.17</v>
      </c>
      <c r="U4" s="203"/>
    </row>
    <row r="5" spans="3:21" x14ac:dyDescent="0.2">
      <c r="C5" s="72" t="s">
        <v>749</v>
      </c>
      <c r="D5" s="72" t="s">
        <v>752</v>
      </c>
      <c r="E5">
        <v>1</v>
      </c>
      <c r="F5" s="72" t="s">
        <v>750</v>
      </c>
      <c r="G5" s="203">
        <v>75</v>
      </c>
      <c r="H5" s="203">
        <f>E5*G5</f>
        <v>75</v>
      </c>
      <c r="O5" s="72" t="s">
        <v>386</v>
      </c>
      <c r="P5" s="72" t="s">
        <v>527</v>
      </c>
      <c r="R5" s="203"/>
      <c r="S5" s="203"/>
      <c r="T5" s="203">
        <v>11.4</v>
      </c>
      <c r="U5" s="203"/>
    </row>
    <row r="6" spans="3:21" x14ac:dyDescent="0.2">
      <c r="D6" s="72" t="s">
        <v>753</v>
      </c>
      <c r="E6">
        <v>14</v>
      </c>
      <c r="F6" s="72" t="s">
        <v>751</v>
      </c>
      <c r="G6" s="203">
        <v>4.34</v>
      </c>
      <c r="H6" s="203">
        <f>E6*G6</f>
        <v>60.76</v>
      </c>
      <c r="O6" s="72" t="s">
        <v>451</v>
      </c>
      <c r="P6" s="72"/>
      <c r="R6" s="203"/>
      <c r="S6" s="203"/>
      <c r="T6" s="203">
        <v>6.13</v>
      </c>
      <c r="U6" s="203"/>
    </row>
    <row r="7" spans="3:21" x14ac:dyDescent="0.2">
      <c r="C7" s="216"/>
      <c r="D7" s="418" t="s">
        <v>404</v>
      </c>
      <c r="E7" s="216">
        <v>1</v>
      </c>
      <c r="F7" s="418" t="s">
        <v>75</v>
      </c>
      <c r="G7" s="519">
        <v>2.5</v>
      </c>
      <c r="H7" s="519">
        <f>E7*G7</f>
        <v>2.5</v>
      </c>
      <c r="I7" s="216"/>
      <c r="O7" s="72" t="s">
        <v>381</v>
      </c>
      <c r="P7" s="72" t="s">
        <v>526</v>
      </c>
      <c r="R7" s="203"/>
      <c r="S7" s="203"/>
      <c r="T7" s="203">
        <v>5.23</v>
      </c>
      <c r="U7" s="203"/>
    </row>
    <row r="8" spans="3:21" x14ac:dyDescent="0.2">
      <c r="H8" s="203">
        <f>SUM(H5:H7)</f>
        <v>138.26</v>
      </c>
      <c r="O8" s="72" t="s">
        <v>446</v>
      </c>
      <c r="P8" s="72" t="s">
        <v>527</v>
      </c>
      <c r="R8" s="203"/>
      <c r="S8" s="203"/>
      <c r="T8" s="203">
        <v>5.23</v>
      </c>
      <c r="U8" s="203"/>
    </row>
    <row r="9" spans="3:21" x14ac:dyDescent="0.2">
      <c r="O9" s="72" t="s">
        <v>442</v>
      </c>
      <c r="R9" s="203"/>
      <c r="S9" s="203"/>
      <c r="T9" s="203">
        <v>8.48</v>
      </c>
      <c r="U9" s="203"/>
    </row>
    <row r="10" spans="3:21" x14ac:dyDescent="0.2">
      <c r="O10" s="72" t="s">
        <v>449</v>
      </c>
      <c r="R10" s="203"/>
      <c r="S10" s="203"/>
      <c r="T10" s="203">
        <v>5.67</v>
      </c>
      <c r="U10" s="203"/>
    </row>
    <row r="11" spans="3:21" x14ac:dyDescent="0.2">
      <c r="O11" s="72" t="s">
        <v>443</v>
      </c>
      <c r="R11" s="203"/>
      <c r="S11" s="203"/>
      <c r="T11" s="203">
        <v>6.5</v>
      </c>
      <c r="U11" s="203"/>
    </row>
    <row r="12" spans="3:21" x14ac:dyDescent="0.2">
      <c r="O12" s="72" t="s">
        <v>266</v>
      </c>
      <c r="R12" s="203"/>
      <c r="S12" s="203"/>
      <c r="T12" s="203">
        <v>2.89</v>
      </c>
      <c r="U12" s="203"/>
    </row>
    <row r="13" spans="3:21" x14ac:dyDescent="0.2">
      <c r="O13" s="72" t="s">
        <v>389</v>
      </c>
      <c r="R13" s="203"/>
      <c r="S13" s="203"/>
      <c r="T13" s="203">
        <v>4.71</v>
      </c>
      <c r="U13" s="203"/>
    </row>
    <row r="14" spans="3:21" x14ac:dyDescent="0.2">
      <c r="O14" s="72" t="s">
        <v>274</v>
      </c>
      <c r="R14" s="203"/>
      <c r="S14" s="203"/>
      <c r="T14" s="203">
        <v>4.8499999999999996</v>
      </c>
      <c r="U14" s="203"/>
    </row>
    <row r="15" spans="3:21" x14ac:dyDescent="0.2">
      <c r="O15" s="72" t="s">
        <v>346</v>
      </c>
      <c r="R15" s="203"/>
      <c r="S15" s="203"/>
      <c r="T15" s="203">
        <v>4.8499999999999996</v>
      </c>
      <c r="U15" s="203"/>
    </row>
    <row r="16" spans="3:21" x14ac:dyDescent="0.2">
      <c r="O16" s="72" t="s">
        <v>387</v>
      </c>
      <c r="Q16" s="203">
        <v>3.8</v>
      </c>
      <c r="R16" s="203"/>
      <c r="S16" s="203"/>
      <c r="T16" s="203"/>
      <c r="U16" s="203"/>
    </row>
    <row r="17" spans="3:21" x14ac:dyDescent="0.2">
      <c r="O17" s="72" t="s">
        <v>388</v>
      </c>
      <c r="Q17" s="203">
        <v>1.7</v>
      </c>
      <c r="R17" s="203"/>
      <c r="S17" s="203"/>
      <c r="T17" s="203"/>
      <c r="U17" s="203"/>
    </row>
    <row r="20" spans="3:21" x14ac:dyDescent="0.2">
      <c r="C20" s="209" t="s">
        <v>301</v>
      </c>
      <c r="D20" s="210">
        <v>1</v>
      </c>
      <c r="E20" s="211" t="s">
        <v>267</v>
      </c>
      <c r="F20" s="212">
        <v>1</v>
      </c>
      <c r="G20" s="213" t="s">
        <v>269</v>
      </c>
      <c r="H20" s="214">
        <f>Partitions!H11</f>
        <v>50</v>
      </c>
      <c r="I20" s="215"/>
      <c r="J20" s="215"/>
      <c r="K20" s="215"/>
      <c r="L20" s="215"/>
      <c r="M20" s="215"/>
      <c r="N20" s="215"/>
      <c r="P20" s="72"/>
      <c r="Q20" s="72"/>
      <c r="R20" s="72"/>
    </row>
    <row r="21" spans="3:21" x14ac:dyDescent="0.2">
      <c r="P21" s="72" t="s">
        <v>282</v>
      </c>
      <c r="Q21" s="72" t="s">
        <v>283</v>
      </c>
      <c r="R21" s="72"/>
      <c r="S21" s="72" t="s">
        <v>284</v>
      </c>
    </row>
    <row r="22" spans="3:21" x14ac:dyDescent="0.2">
      <c r="P22" s="72"/>
      <c r="Q22" s="72">
        <v>1.05</v>
      </c>
      <c r="R22" s="72"/>
      <c r="S22" s="72"/>
    </row>
    <row r="23" spans="3:21" x14ac:dyDescent="0.2">
      <c r="C23" s="72" t="s">
        <v>265</v>
      </c>
      <c r="D23" s="207">
        <f>D20</f>
        <v>1</v>
      </c>
      <c r="E23" s="195" t="s">
        <v>116</v>
      </c>
      <c r="F23" s="134">
        <v>0.15</v>
      </c>
      <c r="G23" s="134">
        <f>D23*F23</f>
        <v>0.15</v>
      </c>
      <c r="H23" s="134">
        <f>$H$20*F23</f>
        <v>7.5</v>
      </c>
      <c r="I23" s="135">
        <f>G23*$H$20</f>
        <v>7.5</v>
      </c>
      <c r="J23" s="152">
        <f>T23</f>
        <v>10.9285</v>
      </c>
      <c r="K23" s="135">
        <f>D23*J23</f>
        <v>10.9285</v>
      </c>
      <c r="L23" s="136">
        <f>SUM(I23,K23)</f>
        <v>18.4285</v>
      </c>
      <c r="M23" s="135">
        <f>L23/D23</f>
        <v>18.4285</v>
      </c>
      <c r="N23" s="137">
        <f>D23*M23</f>
        <v>18.4285</v>
      </c>
      <c r="P23" s="203">
        <f>T4</f>
        <v>10.17</v>
      </c>
      <c r="Q23" s="203">
        <f>P23*$Q$22</f>
        <v>10.6785</v>
      </c>
      <c r="R23" s="203">
        <f>Q23</f>
        <v>10.6785</v>
      </c>
      <c r="S23" s="203">
        <v>0.25</v>
      </c>
      <c r="T23" s="203">
        <f>SUM(R23:S23)</f>
        <v>10.9285</v>
      </c>
    </row>
    <row r="24" spans="3:21" x14ac:dyDescent="0.2">
      <c r="C24" s="72" t="s">
        <v>268</v>
      </c>
      <c r="D24" s="207">
        <f>D23/0.6</f>
        <v>1.6666666666666667</v>
      </c>
      <c r="E24" s="195" t="s">
        <v>148</v>
      </c>
      <c r="F24" s="134">
        <v>0.1</v>
      </c>
      <c r="G24" s="134">
        <f>D24*F24</f>
        <v>0.16666666666666669</v>
      </c>
      <c r="H24" s="134">
        <f>$H$20*F24</f>
        <v>5</v>
      </c>
      <c r="I24" s="135">
        <f>G24*$H$20</f>
        <v>8.3333333333333339</v>
      </c>
      <c r="J24" s="152">
        <f>Q17</f>
        <v>1.7</v>
      </c>
      <c r="K24" s="135">
        <f>D24*J24</f>
        <v>2.8333333333333335</v>
      </c>
      <c r="L24" s="136">
        <f>SUM(I24,K24)</f>
        <v>11.166666666666668</v>
      </c>
      <c r="M24" s="135">
        <f>L24/D24</f>
        <v>6.7</v>
      </c>
      <c r="N24" s="137">
        <f>D24*M24</f>
        <v>11.166666666666668</v>
      </c>
      <c r="P24" s="203"/>
      <c r="Q24" s="203">
        <f>P24*$Q$22</f>
        <v>0</v>
      </c>
      <c r="R24" s="203">
        <f t="shared" ref="R24:R39" si="0">Q24</f>
        <v>0</v>
      </c>
      <c r="S24" s="203"/>
      <c r="T24" s="203">
        <f t="shared" ref="T24:T39" si="1">SUM(R24:S24)</f>
        <v>0</v>
      </c>
    </row>
    <row r="25" spans="3:21" x14ac:dyDescent="0.2">
      <c r="C25" s="204" t="s">
        <v>271</v>
      </c>
      <c r="D25" s="207">
        <f>(D20/0.6)*F20</f>
        <v>1.6666666666666667</v>
      </c>
      <c r="E25" s="195" t="s">
        <v>116</v>
      </c>
      <c r="F25" s="134">
        <v>0.1</v>
      </c>
      <c r="G25" s="134">
        <f>D25*F25</f>
        <v>0.16666666666666669</v>
      </c>
      <c r="H25" s="134">
        <f>$H$20*F25</f>
        <v>5</v>
      </c>
      <c r="I25" s="135">
        <f>G25*$H$20</f>
        <v>8.3333333333333339</v>
      </c>
      <c r="J25" s="152">
        <f>T25</f>
        <v>5.7415000000000003</v>
      </c>
      <c r="K25" s="135">
        <f>D25*J25</f>
        <v>9.5691666666666677</v>
      </c>
      <c r="L25" s="136">
        <f>SUM(I25,K25)</f>
        <v>17.902500000000003</v>
      </c>
      <c r="M25" s="135">
        <f>L25/D25</f>
        <v>10.741500000000002</v>
      </c>
      <c r="N25" s="137">
        <f>D25*M25</f>
        <v>17.902500000000003</v>
      </c>
      <c r="P25" s="203">
        <f>T7</f>
        <v>5.23</v>
      </c>
      <c r="Q25" s="203">
        <f>P25*$Q$22</f>
        <v>5.4915000000000003</v>
      </c>
      <c r="R25" s="203">
        <f t="shared" si="0"/>
        <v>5.4915000000000003</v>
      </c>
      <c r="S25" s="203">
        <v>0.25</v>
      </c>
      <c r="T25" s="203">
        <f t="shared" si="1"/>
        <v>5.7415000000000003</v>
      </c>
    </row>
    <row r="26" spans="3:21" x14ac:dyDescent="0.2">
      <c r="C26" s="72"/>
      <c r="D26" s="207"/>
      <c r="E26" s="195"/>
      <c r="F26" s="134"/>
      <c r="G26" s="134"/>
      <c r="H26" s="134"/>
      <c r="I26" s="135"/>
      <c r="J26" s="152"/>
      <c r="K26" s="135"/>
      <c r="L26" s="136"/>
      <c r="M26" s="135"/>
      <c r="N26" s="137"/>
      <c r="P26" s="203"/>
      <c r="Q26" s="203"/>
      <c r="R26" s="203"/>
      <c r="S26" s="203"/>
      <c r="T26" s="203"/>
    </row>
    <row r="27" spans="3:21" x14ac:dyDescent="0.2">
      <c r="C27" s="72" t="s">
        <v>266</v>
      </c>
      <c r="D27" s="207">
        <f>D20</f>
        <v>1</v>
      </c>
      <c r="E27" s="195" t="s">
        <v>116</v>
      </c>
      <c r="F27" s="134">
        <v>0.15</v>
      </c>
      <c r="G27" s="134">
        <f>D27*F27</f>
        <v>0.15</v>
      </c>
      <c r="H27" s="134">
        <f>$H$20*F27</f>
        <v>7.5</v>
      </c>
      <c r="I27" s="135">
        <f>G27*$H$20</f>
        <v>7.5</v>
      </c>
      <c r="J27" s="152">
        <f>T27</f>
        <v>3.2845000000000004</v>
      </c>
      <c r="K27" s="135">
        <f>D27*J27</f>
        <v>3.2845000000000004</v>
      </c>
      <c r="L27" s="136">
        <f>SUM(I27,K27)</f>
        <v>10.784500000000001</v>
      </c>
      <c r="M27" s="135">
        <f>L27/D27</f>
        <v>10.784500000000001</v>
      </c>
      <c r="N27" s="137">
        <f>D27*M27</f>
        <v>10.784500000000001</v>
      </c>
      <c r="P27" s="203">
        <f>T12</f>
        <v>2.89</v>
      </c>
      <c r="Q27" s="203">
        <f>P27*$Q$22</f>
        <v>3.0345000000000004</v>
      </c>
      <c r="R27" s="203">
        <f t="shared" si="0"/>
        <v>3.0345000000000004</v>
      </c>
      <c r="S27" s="203">
        <v>0.25</v>
      </c>
      <c r="T27" s="203">
        <f t="shared" si="1"/>
        <v>3.2845000000000004</v>
      </c>
    </row>
    <row r="28" spans="3:21" x14ac:dyDescent="0.2">
      <c r="C28" s="72" t="s">
        <v>268</v>
      </c>
      <c r="D28" s="207">
        <f>D27/0.6</f>
        <v>1.6666666666666667</v>
      </c>
      <c r="E28" s="195" t="s">
        <v>148</v>
      </c>
      <c r="F28" s="134">
        <v>0.1</v>
      </c>
      <c r="G28" s="134">
        <f>D28*F28</f>
        <v>0.16666666666666669</v>
      </c>
      <c r="H28" s="134">
        <f>$H$20*F28</f>
        <v>5</v>
      </c>
      <c r="I28" s="135">
        <f>G28*$H$20</f>
        <v>8.3333333333333339</v>
      </c>
      <c r="J28" s="152">
        <f>Q17</f>
        <v>1.7</v>
      </c>
      <c r="K28" s="135">
        <f>D28*J28</f>
        <v>2.8333333333333335</v>
      </c>
      <c r="L28" s="136">
        <f>SUM(I28,K28)</f>
        <v>11.166666666666668</v>
      </c>
      <c r="M28" s="135">
        <f>L28/D28</f>
        <v>6.7</v>
      </c>
      <c r="N28" s="137">
        <f>D28*M28</f>
        <v>11.166666666666668</v>
      </c>
      <c r="P28" s="203"/>
      <c r="Q28" s="203">
        <f>P28*$Q$22</f>
        <v>0</v>
      </c>
      <c r="R28" s="203">
        <f t="shared" si="0"/>
        <v>0</v>
      </c>
      <c r="S28" s="203"/>
      <c r="T28" s="203">
        <f t="shared" si="1"/>
        <v>0</v>
      </c>
    </row>
    <row r="29" spans="3:21" x14ac:dyDescent="0.2">
      <c r="C29" s="204" t="s">
        <v>270</v>
      </c>
      <c r="D29" s="207">
        <f>(D20/0.6)*F20</f>
        <v>1.6666666666666667</v>
      </c>
      <c r="E29" s="195" t="s">
        <v>116</v>
      </c>
      <c r="F29" s="134">
        <v>0.1</v>
      </c>
      <c r="G29" s="134">
        <f>D29*F29</f>
        <v>0.16666666666666669</v>
      </c>
      <c r="H29" s="134">
        <f>$H$20*F29</f>
        <v>5</v>
      </c>
      <c r="I29" s="135">
        <f>G29*$H$20</f>
        <v>8.3333333333333339</v>
      </c>
      <c r="J29" s="152">
        <f>T29</f>
        <v>5.1955</v>
      </c>
      <c r="K29" s="135">
        <f>D29*J29</f>
        <v>8.6591666666666676</v>
      </c>
      <c r="L29" s="136">
        <f>SUM(I29,K29)</f>
        <v>16.9925</v>
      </c>
      <c r="M29" s="135">
        <f>L29/D29</f>
        <v>10.195499999999999</v>
      </c>
      <c r="N29" s="137">
        <f>D29*M29</f>
        <v>16.9925</v>
      </c>
      <c r="P29" s="203">
        <f>T13</f>
        <v>4.71</v>
      </c>
      <c r="Q29" s="203">
        <f>P29*$Q$22</f>
        <v>4.9455</v>
      </c>
      <c r="R29" s="203">
        <f t="shared" si="0"/>
        <v>4.9455</v>
      </c>
      <c r="S29" s="203">
        <v>0.25</v>
      </c>
      <c r="T29" s="203">
        <f t="shared" si="1"/>
        <v>5.1955</v>
      </c>
    </row>
    <row r="30" spans="3:21" x14ac:dyDescent="0.2">
      <c r="D30" s="208"/>
      <c r="E30" s="206"/>
      <c r="F30" s="260"/>
      <c r="G30" s="206"/>
      <c r="H30" s="134"/>
      <c r="I30" s="206"/>
      <c r="J30" s="206"/>
      <c r="K30" s="206"/>
      <c r="L30" s="206"/>
      <c r="M30" s="206"/>
      <c r="N30" s="206"/>
      <c r="P30" s="203"/>
      <c r="Q30" s="203"/>
      <c r="R30" s="203"/>
      <c r="S30" s="203"/>
      <c r="T30" s="203"/>
    </row>
    <row r="31" spans="3:21" x14ac:dyDescent="0.2">
      <c r="C31" s="72" t="s">
        <v>273</v>
      </c>
      <c r="D31" s="208">
        <f>(D20/0.6)*0.242</f>
        <v>0.40333333333333332</v>
      </c>
      <c r="E31" s="195" t="s">
        <v>116</v>
      </c>
      <c r="F31" s="134">
        <v>0.1</v>
      </c>
      <c r="G31" s="134">
        <f>D31*F31</f>
        <v>4.0333333333333332E-2</v>
      </c>
      <c r="H31" s="134">
        <f>$H$20*F31</f>
        <v>5</v>
      </c>
      <c r="I31" s="135">
        <f>G31*$H$20</f>
        <v>2.0166666666666666</v>
      </c>
      <c r="J31" s="152">
        <f>T31</f>
        <v>5.7415000000000003</v>
      </c>
      <c r="K31" s="135">
        <f>D31*J31</f>
        <v>2.3157383333333335</v>
      </c>
      <c r="L31" s="136">
        <f>SUM(I31,K31)</f>
        <v>4.3324049999999996</v>
      </c>
      <c r="M31" s="135">
        <f>L31/D31</f>
        <v>10.741499999999998</v>
      </c>
      <c r="N31" s="137">
        <f>D31*M31</f>
        <v>4.3324049999999996</v>
      </c>
      <c r="P31" s="203">
        <f>T7</f>
        <v>5.23</v>
      </c>
      <c r="Q31" s="203">
        <f>P31*$Q$22</f>
        <v>5.4915000000000003</v>
      </c>
      <c r="R31" s="203">
        <f t="shared" si="0"/>
        <v>5.4915000000000003</v>
      </c>
      <c r="S31" s="203">
        <v>0.25</v>
      </c>
      <c r="T31" s="203">
        <f t="shared" si="1"/>
        <v>5.7415000000000003</v>
      </c>
    </row>
    <row r="32" spans="3:21" x14ac:dyDescent="0.2">
      <c r="C32" s="72" t="s">
        <v>274</v>
      </c>
      <c r="D32" s="208">
        <f>(D20/0.6)*2</f>
        <v>3.3333333333333335</v>
      </c>
      <c r="E32" s="195" t="s">
        <v>148</v>
      </c>
      <c r="F32" s="260">
        <v>0.15</v>
      </c>
      <c r="G32" s="134">
        <f>D32*F32</f>
        <v>0.5</v>
      </c>
      <c r="H32" s="134">
        <f>$H$20*F32</f>
        <v>7.5</v>
      </c>
      <c r="I32" s="135">
        <f>G32*$H$20</f>
        <v>25</v>
      </c>
      <c r="J32" s="152">
        <f>T32</f>
        <v>5.0925000000000002</v>
      </c>
      <c r="K32" s="135">
        <f>D32*J32</f>
        <v>16.975000000000001</v>
      </c>
      <c r="L32" s="136">
        <f>SUM(I32,K32)</f>
        <v>41.975000000000001</v>
      </c>
      <c r="M32" s="135">
        <f>L32/D32</f>
        <v>12.592499999999999</v>
      </c>
      <c r="N32" s="137">
        <f>D32*M32</f>
        <v>41.975000000000001</v>
      </c>
      <c r="P32" s="203">
        <f>T14</f>
        <v>4.8499999999999996</v>
      </c>
      <c r="Q32" s="203">
        <f>P32*$Q$22</f>
        <v>5.0925000000000002</v>
      </c>
      <c r="R32" s="203">
        <f t="shared" si="0"/>
        <v>5.0925000000000002</v>
      </c>
      <c r="S32" s="203"/>
      <c r="T32" s="203">
        <f t="shared" si="1"/>
        <v>5.0925000000000002</v>
      </c>
    </row>
    <row r="33" spans="3:21" x14ac:dyDescent="0.2">
      <c r="C33" s="72"/>
      <c r="D33" s="208"/>
      <c r="E33" s="195"/>
      <c r="F33" s="260"/>
      <c r="G33" s="134"/>
      <c r="H33" s="134"/>
      <c r="I33" s="135"/>
      <c r="J33" s="152"/>
      <c r="K33" s="135"/>
      <c r="L33" s="136"/>
      <c r="M33" s="135"/>
      <c r="N33" s="137"/>
      <c r="P33" s="203"/>
      <c r="Q33" s="203"/>
      <c r="R33" s="203"/>
      <c r="S33" s="203"/>
      <c r="T33" s="203"/>
    </row>
    <row r="34" spans="3:21" x14ac:dyDescent="0.2">
      <c r="C34" s="72" t="s">
        <v>275</v>
      </c>
      <c r="D34" s="208">
        <f>D20</f>
        <v>1</v>
      </c>
      <c r="E34" s="195" t="s">
        <v>116</v>
      </c>
      <c r="F34" s="260">
        <v>0.2</v>
      </c>
      <c r="G34" s="134">
        <f>D34*F34</f>
        <v>0.2</v>
      </c>
      <c r="H34" s="134">
        <f>$H$20*F34</f>
        <v>10</v>
      </c>
      <c r="I34" s="135">
        <f>G34*$H$20</f>
        <v>10</v>
      </c>
      <c r="J34" s="152">
        <f>T34*2</f>
        <v>11.983000000000001</v>
      </c>
      <c r="K34" s="135">
        <f>D34*J34</f>
        <v>11.983000000000001</v>
      </c>
      <c r="L34" s="136">
        <f>SUM(I34,K34)</f>
        <v>21.983000000000001</v>
      </c>
      <c r="M34" s="135">
        <f>L34/D34</f>
        <v>21.983000000000001</v>
      </c>
      <c r="N34" s="137">
        <f>D34*M34</f>
        <v>21.983000000000001</v>
      </c>
      <c r="O34" s="72" t="s">
        <v>276</v>
      </c>
      <c r="P34" s="203">
        <f>T7</f>
        <v>5.23</v>
      </c>
      <c r="Q34" s="203">
        <f>P34*$Q$22</f>
        <v>5.4915000000000003</v>
      </c>
      <c r="R34" s="203">
        <f t="shared" si="0"/>
        <v>5.4915000000000003</v>
      </c>
      <c r="S34" s="203">
        <v>0.5</v>
      </c>
      <c r="T34" s="203">
        <f t="shared" si="1"/>
        <v>5.9915000000000003</v>
      </c>
    </row>
    <row r="35" spans="3:21" x14ac:dyDescent="0.2">
      <c r="C35" s="72" t="s">
        <v>277</v>
      </c>
      <c r="D35" s="208">
        <f>D20</f>
        <v>1</v>
      </c>
      <c r="E35" s="195" t="s">
        <v>116</v>
      </c>
      <c r="F35" s="260">
        <v>0.1</v>
      </c>
      <c r="G35" s="134">
        <f>D35*F35</f>
        <v>0.1</v>
      </c>
      <c r="H35" s="134">
        <f>$H$20*F35</f>
        <v>5</v>
      </c>
      <c r="I35" s="135">
        <f>G35*$H$20</f>
        <v>5</v>
      </c>
      <c r="J35" s="152">
        <f>T35</f>
        <v>12.22</v>
      </c>
      <c r="K35" s="135">
        <f>D35*J35</f>
        <v>12.22</v>
      </c>
      <c r="L35" s="136">
        <f>SUM(I35,K35)</f>
        <v>17.22</v>
      </c>
      <c r="M35" s="135">
        <f>L35/D35</f>
        <v>17.22</v>
      </c>
      <c r="N35" s="137">
        <f>D35*M35</f>
        <v>17.22</v>
      </c>
      <c r="P35" s="203">
        <f>T5</f>
        <v>11.4</v>
      </c>
      <c r="Q35" s="203">
        <f>P35*$Q$22</f>
        <v>11.97</v>
      </c>
      <c r="R35" s="203">
        <f t="shared" si="0"/>
        <v>11.97</v>
      </c>
      <c r="S35" s="203">
        <v>0.25</v>
      </c>
      <c r="T35" s="203">
        <f t="shared" si="1"/>
        <v>12.22</v>
      </c>
    </row>
    <row r="36" spans="3:21" x14ac:dyDescent="0.2">
      <c r="C36" s="72"/>
      <c r="D36" s="208"/>
      <c r="E36" s="195"/>
      <c r="F36" s="260"/>
      <c r="G36" s="134"/>
      <c r="H36" s="134"/>
      <c r="I36" s="135"/>
      <c r="J36" s="152"/>
      <c r="K36" s="135"/>
      <c r="L36" s="136"/>
      <c r="M36" s="135"/>
      <c r="N36" s="137"/>
      <c r="P36" s="203"/>
      <c r="Q36" s="203"/>
      <c r="R36" s="203"/>
      <c r="S36" s="203"/>
      <c r="T36" s="203"/>
    </row>
    <row r="37" spans="3:21" x14ac:dyDescent="0.2">
      <c r="C37" s="72" t="s">
        <v>281</v>
      </c>
      <c r="D37" s="208">
        <f>D20</f>
        <v>1</v>
      </c>
      <c r="E37" s="195" t="s">
        <v>116</v>
      </c>
      <c r="F37" s="260">
        <v>0.17</v>
      </c>
      <c r="G37" s="134">
        <f>D37*F37</f>
        <v>0.17</v>
      </c>
      <c r="H37" s="134">
        <f>$H$20*F37</f>
        <v>8.5</v>
      </c>
      <c r="I37" s="135">
        <f>G37*$H$20</f>
        <v>8.5</v>
      </c>
      <c r="J37" s="152">
        <f>T37</f>
        <v>4.24</v>
      </c>
      <c r="K37" s="135">
        <f>D37*J37</f>
        <v>4.24</v>
      </c>
      <c r="L37" s="136">
        <f>SUM(I37,K37)</f>
        <v>12.74</v>
      </c>
      <c r="M37" s="135">
        <f>L37/D37</f>
        <v>12.74</v>
      </c>
      <c r="N37" s="137">
        <f>D37*M37</f>
        <v>12.74</v>
      </c>
      <c r="P37" s="203">
        <f>Q16</f>
        <v>3.8</v>
      </c>
      <c r="Q37" s="203">
        <f>P37*$Q$22</f>
        <v>3.9899999999999998</v>
      </c>
      <c r="R37" s="203">
        <f t="shared" si="0"/>
        <v>3.9899999999999998</v>
      </c>
      <c r="S37" s="203">
        <v>0.25</v>
      </c>
      <c r="T37" s="203">
        <f t="shared" si="1"/>
        <v>4.24</v>
      </c>
    </row>
    <row r="38" spans="3:21" x14ac:dyDescent="0.2">
      <c r="D38" s="208"/>
      <c r="E38" s="206"/>
      <c r="F38" s="260"/>
      <c r="G38" s="206"/>
      <c r="H38" s="134"/>
      <c r="I38" s="206"/>
      <c r="J38" s="206"/>
      <c r="K38" s="206"/>
      <c r="L38" s="206"/>
      <c r="M38" s="206"/>
      <c r="N38" s="206"/>
      <c r="P38" s="203"/>
      <c r="Q38" s="203"/>
      <c r="R38" s="203"/>
      <c r="S38" s="203"/>
      <c r="T38" s="203"/>
    </row>
    <row r="39" spans="3:21" x14ac:dyDescent="0.2">
      <c r="C39" s="204" t="s">
        <v>272</v>
      </c>
      <c r="D39" s="207">
        <f>(D20/0.6)*30</f>
        <v>50</v>
      </c>
      <c r="E39" s="195" t="s">
        <v>148</v>
      </c>
      <c r="F39" s="134">
        <v>0</v>
      </c>
      <c r="G39" s="134">
        <f>D39*F39</f>
        <v>0</v>
      </c>
      <c r="H39" s="134">
        <f>$H$20*F39</f>
        <v>0</v>
      </c>
      <c r="I39" s="135">
        <f>G39*$H$20</f>
        <v>0</v>
      </c>
      <c r="J39" s="257">
        <v>2.5999999999999999E-2</v>
      </c>
      <c r="K39" s="135">
        <f>D39*J39</f>
        <v>1.3</v>
      </c>
      <c r="L39" s="136">
        <f>SUM(I39,K39)</f>
        <v>1.3</v>
      </c>
      <c r="M39" s="135">
        <f>L39/D39</f>
        <v>2.6000000000000002E-2</v>
      </c>
      <c r="N39" s="137">
        <f>D39*M39</f>
        <v>1.3</v>
      </c>
      <c r="P39" s="203"/>
      <c r="Q39" s="203">
        <f>P39*$Q$22</f>
        <v>0</v>
      </c>
      <c r="R39" s="203">
        <f t="shared" si="0"/>
        <v>0</v>
      </c>
      <c r="S39" s="203"/>
      <c r="T39" s="203">
        <f t="shared" si="1"/>
        <v>0</v>
      </c>
    </row>
    <row r="40" spans="3:21" x14ac:dyDescent="0.2">
      <c r="C40" s="216"/>
      <c r="D40" s="216"/>
      <c r="E40" s="216"/>
      <c r="F40" s="258"/>
      <c r="G40" s="216"/>
      <c r="H40" s="216"/>
      <c r="I40" s="216"/>
      <c r="J40" s="216"/>
      <c r="K40" s="216"/>
      <c r="L40" s="216"/>
      <c r="M40" s="216"/>
      <c r="N40" s="216"/>
      <c r="O40" s="216"/>
      <c r="P40" s="216"/>
      <c r="Q40" s="216"/>
      <c r="R40" s="216"/>
      <c r="S40" s="216"/>
      <c r="T40" s="216"/>
      <c r="U40" s="216"/>
    </row>
    <row r="41" spans="3:21" ht="13.5" thickBot="1" x14ac:dyDescent="0.25">
      <c r="C41" s="221"/>
      <c r="D41" s="221"/>
      <c r="E41" s="221"/>
      <c r="F41" s="221"/>
      <c r="G41" s="222">
        <f>SUM(G23:G40)</f>
        <v>1.9770000000000001</v>
      </c>
      <c r="H41" s="223"/>
      <c r="I41" s="224">
        <f>SUM(I23:I40)</f>
        <v>98.85</v>
      </c>
      <c r="J41" s="224"/>
      <c r="K41" s="224">
        <f>SUM(K23:K40)</f>
        <v>87.141738333333336</v>
      </c>
      <c r="L41" s="224"/>
      <c r="M41" s="224"/>
      <c r="N41" s="224">
        <f>SUM(N23:N40)</f>
        <v>185.99173833333336</v>
      </c>
      <c r="O41" s="221"/>
      <c r="P41" s="221"/>
      <c r="Q41" s="221"/>
      <c r="R41" s="221"/>
      <c r="S41" s="221"/>
      <c r="T41" s="221"/>
      <c r="U41" s="221"/>
    </row>
    <row r="42" spans="3:21" ht="13.5" thickTop="1" x14ac:dyDescent="0.2"/>
    <row r="43" spans="3:21" x14ac:dyDescent="0.2">
      <c r="C43" s="209" t="s">
        <v>345</v>
      </c>
      <c r="D43" s="210">
        <v>1</v>
      </c>
      <c r="E43" s="211" t="s">
        <v>267</v>
      </c>
      <c r="F43" s="212">
        <v>1</v>
      </c>
      <c r="G43" s="213" t="s">
        <v>269</v>
      </c>
      <c r="H43" s="214">
        <f>Partitions!H11</f>
        <v>50</v>
      </c>
      <c r="I43" s="215"/>
      <c r="J43" s="215"/>
      <c r="K43" s="215"/>
      <c r="L43" s="215"/>
      <c r="M43" s="215"/>
      <c r="N43" s="215"/>
      <c r="P43" s="72"/>
      <c r="Q43" s="72"/>
      <c r="R43" s="72"/>
    </row>
    <row r="44" spans="3:21" x14ac:dyDescent="0.2">
      <c r="P44" s="72" t="s">
        <v>282</v>
      </c>
      <c r="Q44" s="72" t="s">
        <v>283</v>
      </c>
      <c r="R44" s="72"/>
      <c r="S44" s="72" t="s">
        <v>284</v>
      </c>
    </row>
    <row r="45" spans="3:21" x14ac:dyDescent="0.2">
      <c r="F45" s="259"/>
      <c r="P45" s="72"/>
      <c r="Q45" s="72">
        <v>1.05</v>
      </c>
      <c r="R45" s="72"/>
      <c r="S45" s="72"/>
    </row>
    <row r="46" spans="3:21" x14ac:dyDescent="0.2">
      <c r="C46" s="72" t="s">
        <v>265</v>
      </c>
      <c r="D46" s="207">
        <f>D43</f>
        <v>1</v>
      </c>
      <c r="E46" s="195" t="s">
        <v>116</v>
      </c>
      <c r="F46" s="134">
        <v>0.15</v>
      </c>
      <c r="G46" s="134">
        <f>D46*F46</f>
        <v>0.15</v>
      </c>
      <c r="H46" s="134">
        <f>$H$43*F46</f>
        <v>7.5</v>
      </c>
      <c r="I46" s="135">
        <f>G46*$H$20</f>
        <v>7.5</v>
      </c>
      <c r="J46" s="152">
        <f>T46</f>
        <v>10.9285</v>
      </c>
      <c r="K46" s="135">
        <f>D46*J46</f>
        <v>10.9285</v>
      </c>
      <c r="L46" s="136">
        <f>SUM(I46,K46)</f>
        <v>18.4285</v>
      </c>
      <c r="M46" s="135">
        <f>L46/D46</f>
        <v>18.4285</v>
      </c>
      <c r="N46" s="137">
        <f>D46*M46</f>
        <v>18.4285</v>
      </c>
      <c r="P46" s="203">
        <f>T4</f>
        <v>10.17</v>
      </c>
      <c r="Q46" s="203">
        <f>P46*$Q$22</f>
        <v>10.6785</v>
      </c>
      <c r="R46" s="203">
        <f>Q46</f>
        <v>10.6785</v>
      </c>
      <c r="S46" s="203">
        <v>0.25</v>
      </c>
      <c r="T46" s="203">
        <f>SUM(R46:S46)</f>
        <v>10.9285</v>
      </c>
    </row>
    <row r="47" spans="3:21" x14ac:dyDescent="0.2">
      <c r="C47" s="72" t="s">
        <v>268</v>
      </c>
      <c r="D47" s="207">
        <f>D43/0.6</f>
        <v>1.6666666666666667</v>
      </c>
      <c r="E47" s="195" t="s">
        <v>148</v>
      </c>
      <c r="F47" s="134">
        <v>0.1</v>
      </c>
      <c r="G47" s="134">
        <f>D47*F47</f>
        <v>0.16666666666666669</v>
      </c>
      <c r="H47" s="134">
        <f>$H$43*F47</f>
        <v>5</v>
      </c>
      <c r="I47" s="135">
        <f>G47*$H$20</f>
        <v>8.3333333333333339</v>
      </c>
      <c r="J47" s="152">
        <f>Q17</f>
        <v>1.7</v>
      </c>
      <c r="K47" s="135">
        <f>D47*J47</f>
        <v>2.8333333333333335</v>
      </c>
      <c r="L47" s="136">
        <f>SUM(I47,K47)</f>
        <v>11.166666666666668</v>
      </c>
      <c r="M47" s="135">
        <f>L47/D47</f>
        <v>6.7</v>
      </c>
      <c r="N47" s="137">
        <f>D47*M47</f>
        <v>11.166666666666668</v>
      </c>
      <c r="P47" s="203"/>
      <c r="Q47" s="203">
        <f>P47*$Q$22</f>
        <v>0</v>
      </c>
      <c r="R47" s="203">
        <f t="shared" ref="R47:R60" si="2">Q47</f>
        <v>0</v>
      </c>
      <c r="S47" s="203"/>
      <c r="T47" s="203">
        <f>SUM(R47:S47)</f>
        <v>0</v>
      </c>
    </row>
    <row r="48" spans="3:21" x14ac:dyDescent="0.2">
      <c r="C48" s="204" t="s">
        <v>271</v>
      </c>
      <c r="D48" s="207">
        <f>(D43/0.6)*F43</f>
        <v>1.6666666666666667</v>
      </c>
      <c r="E48" s="195" t="s">
        <v>116</v>
      </c>
      <c r="F48" s="134">
        <v>0.1</v>
      </c>
      <c r="G48" s="134">
        <f>D48*F48</f>
        <v>0.16666666666666669</v>
      </c>
      <c r="H48" s="134">
        <f>$H$43*F48</f>
        <v>5</v>
      </c>
      <c r="I48" s="135">
        <f>G48*$H$20</f>
        <v>8.3333333333333339</v>
      </c>
      <c r="J48" s="152">
        <f>T48</f>
        <v>5.7415000000000003</v>
      </c>
      <c r="K48" s="135">
        <f>D48*J48</f>
        <v>9.5691666666666677</v>
      </c>
      <c r="L48" s="136">
        <f>SUM(I48,K48)</f>
        <v>17.902500000000003</v>
      </c>
      <c r="M48" s="135">
        <f>L48/D48</f>
        <v>10.741500000000002</v>
      </c>
      <c r="N48" s="137">
        <f>D48*M48</f>
        <v>17.902500000000003</v>
      </c>
      <c r="P48" s="203">
        <f>T7</f>
        <v>5.23</v>
      </c>
      <c r="Q48" s="203">
        <f>P48*$Q$22</f>
        <v>5.4915000000000003</v>
      </c>
      <c r="R48" s="203">
        <f t="shared" si="2"/>
        <v>5.4915000000000003</v>
      </c>
      <c r="S48" s="203">
        <v>0.25</v>
      </c>
      <c r="T48" s="203">
        <f>SUM(R48:S48)</f>
        <v>5.7415000000000003</v>
      </c>
    </row>
    <row r="49" spans="3:21" x14ac:dyDescent="0.2">
      <c r="C49" s="204"/>
      <c r="D49" s="207"/>
      <c r="E49" s="195"/>
      <c r="F49" s="134"/>
      <c r="G49" s="134"/>
      <c r="H49" s="134"/>
      <c r="I49" s="135"/>
      <c r="J49" s="152"/>
      <c r="K49" s="135"/>
      <c r="L49" s="136"/>
      <c r="M49" s="135"/>
      <c r="N49" s="137"/>
      <c r="P49" s="203"/>
      <c r="Q49" s="203"/>
      <c r="R49" s="203"/>
      <c r="S49" s="203"/>
      <c r="T49" s="203"/>
    </row>
    <row r="50" spans="3:21" x14ac:dyDescent="0.2">
      <c r="C50" s="72" t="s">
        <v>274</v>
      </c>
      <c r="D50" s="208">
        <f>D43/0.6</f>
        <v>1.6666666666666667</v>
      </c>
      <c r="E50" s="195" t="s">
        <v>148</v>
      </c>
      <c r="F50" s="260">
        <v>7.0000000000000007E-2</v>
      </c>
      <c r="G50" s="134">
        <f>D50*F50</f>
        <v>0.11666666666666668</v>
      </c>
      <c r="H50" s="134">
        <f>$H$43*F50</f>
        <v>3.5000000000000004</v>
      </c>
      <c r="I50" s="135">
        <f>G50*$H$20</f>
        <v>5.8333333333333339</v>
      </c>
      <c r="J50" s="152">
        <f>T50</f>
        <v>5.0925000000000002</v>
      </c>
      <c r="K50" s="135">
        <f>D50*J50</f>
        <v>8.4875000000000007</v>
      </c>
      <c r="L50" s="136">
        <f>SUM(I50,K50)</f>
        <v>14.320833333333335</v>
      </c>
      <c r="M50" s="135">
        <f>L50/D50</f>
        <v>8.5925000000000011</v>
      </c>
      <c r="N50" s="137">
        <f>D50*M50</f>
        <v>14.320833333333336</v>
      </c>
      <c r="P50" s="203">
        <f>T14</f>
        <v>4.8499999999999996</v>
      </c>
      <c r="Q50" s="203">
        <f>P50*$Q$22</f>
        <v>5.0925000000000002</v>
      </c>
      <c r="R50" s="203">
        <f t="shared" si="2"/>
        <v>5.0925000000000002</v>
      </c>
      <c r="S50" s="203"/>
      <c r="T50" s="203">
        <f>SUM(R50:S50)</f>
        <v>5.0925000000000002</v>
      </c>
    </row>
    <row r="51" spans="3:21" x14ac:dyDescent="0.2">
      <c r="D51" s="206"/>
      <c r="E51" s="195"/>
      <c r="F51" s="260"/>
      <c r="G51" s="206"/>
      <c r="H51" s="134"/>
      <c r="I51" s="206"/>
      <c r="J51" s="206"/>
      <c r="K51" s="206"/>
      <c r="L51" s="206"/>
      <c r="M51" s="206"/>
      <c r="N51" s="206"/>
      <c r="Q51" s="203"/>
      <c r="R51" s="203"/>
    </row>
    <row r="52" spans="3:21" x14ac:dyDescent="0.2">
      <c r="C52" s="72" t="s">
        <v>346</v>
      </c>
      <c r="D52" s="208">
        <f>(D43/1.8)*2</f>
        <v>1.1111111111111112</v>
      </c>
      <c r="E52" s="195" t="s">
        <v>148</v>
      </c>
      <c r="F52" s="260">
        <v>7.0000000000000007E-2</v>
      </c>
      <c r="G52" s="134">
        <f>D52*F52</f>
        <v>7.7777777777777793E-2</v>
      </c>
      <c r="H52" s="134">
        <f>$H$43*F52</f>
        <v>3.5000000000000004</v>
      </c>
      <c r="I52" s="135">
        <f>G52*$H$20</f>
        <v>3.8888888888888897</v>
      </c>
      <c r="J52" s="152">
        <f>T52</f>
        <v>5.0925000000000002</v>
      </c>
      <c r="K52" s="135">
        <f>D52*J52</f>
        <v>5.6583333333333341</v>
      </c>
      <c r="L52" s="136">
        <f>SUM(I52,K52)</f>
        <v>9.5472222222222243</v>
      </c>
      <c r="M52" s="135">
        <f>L52/D52</f>
        <v>8.5925000000000011</v>
      </c>
      <c r="N52" s="137">
        <f>D52*M52</f>
        <v>9.5472222222222243</v>
      </c>
      <c r="P52" s="203">
        <f>T15</f>
        <v>4.8499999999999996</v>
      </c>
      <c r="Q52" s="203">
        <f>P52*$Q$22</f>
        <v>5.0925000000000002</v>
      </c>
      <c r="R52" s="203">
        <f t="shared" si="2"/>
        <v>5.0925000000000002</v>
      </c>
      <c r="S52" s="203"/>
      <c r="T52" s="203">
        <f>SUM(R52:S52)</f>
        <v>5.0925000000000002</v>
      </c>
    </row>
    <row r="53" spans="3:21" x14ac:dyDescent="0.2">
      <c r="C53" s="72" t="s">
        <v>347</v>
      </c>
      <c r="D53" s="252">
        <f>(D43/1.8)*2.2</f>
        <v>1.2222222222222223</v>
      </c>
      <c r="E53" s="195" t="s">
        <v>116</v>
      </c>
      <c r="F53" s="260">
        <v>0.1</v>
      </c>
      <c r="G53" s="134">
        <f>D53*F53</f>
        <v>0.12222222222222223</v>
      </c>
      <c r="H53" s="134">
        <f>$H$43*F53</f>
        <v>5</v>
      </c>
      <c r="I53" s="135">
        <f>G53*$H$20</f>
        <v>6.1111111111111116</v>
      </c>
      <c r="J53" s="152">
        <f>T53</f>
        <v>5.7415000000000003</v>
      </c>
      <c r="K53" s="135">
        <f>D53*J53</f>
        <v>7.01738888888889</v>
      </c>
      <c r="L53" s="136">
        <f>SUM(I53,K53)</f>
        <v>13.128500000000003</v>
      </c>
      <c r="M53" s="135">
        <f>L53/D53</f>
        <v>10.741500000000002</v>
      </c>
      <c r="N53" s="137">
        <f>D53*M53</f>
        <v>13.128500000000004</v>
      </c>
      <c r="P53" s="203">
        <f>T7</f>
        <v>5.23</v>
      </c>
      <c r="Q53" s="203">
        <f>P53*$Q$22</f>
        <v>5.4915000000000003</v>
      </c>
      <c r="R53" s="203">
        <f t="shared" si="2"/>
        <v>5.4915000000000003</v>
      </c>
      <c r="S53" s="203">
        <v>0.25</v>
      </c>
      <c r="T53" s="203">
        <f>SUM(R53:S53)</f>
        <v>5.7415000000000003</v>
      </c>
    </row>
    <row r="54" spans="3:21" x14ac:dyDescent="0.2">
      <c r="D54" s="206"/>
      <c r="E54" s="206"/>
      <c r="F54" s="260"/>
      <c r="G54" s="206"/>
      <c r="H54" s="134"/>
      <c r="I54" s="206"/>
      <c r="J54" s="206"/>
      <c r="K54" s="206"/>
      <c r="L54" s="206"/>
      <c r="M54" s="206"/>
      <c r="N54" s="206"/>
      <c r="Q54" s="203"/>
      <c r="R54" s="203"/>
    </row>
    <row r="55" spans="3:21" x14ac:dyDescent="0.2">
      <c r="C55" s="72" t="s">
        <v>275</v>
      </c>
      <c r="D55" s="208">
        <f>D43</f>
        <v>1</v>
      </c>
      <c r="E55" s="195" t="s">
        <v>116</v>
      </c>
      <c r="F55" s="260">
        <v>0.2</v>
      </c>
      <c r="G55" s="134">
        <f>D55*F55</f>
        <v>0.2</v>
      </c>
      <c r="H55" s="134">
        <f>$H$43*F55</f>
        <v>10</v>
      </c>
      <c r="I55" s="135">
        <f>G55*$H$20</f>
        <v>10</v>
      </c>
      <c r="J55" s="152">
        <f>T55</f>
        <v>5.9915000000000003</v>
      </c>
      <c r="K55" s="135">
        <f>D55*J55</f>
        <v>5.9915000000000003</v>
      </c>
      <c r="L55" s="136">
        <f>SUM(I55,K55)</f>
        <v>15.9915</v>
      </c>
      <c r="M55" s="135">
        <f>L55/D55</f>
        <v>15.9915</v>
      </c>
      <c r="N55" s="137">
        <f>D55*M55</f>
        <v>15.9915</v>
      </c>
      <c r="O55" s="72" t="s">
        <v>276</v>
      </c>
      <c r="P55" s="203">
        <f>T7</f>
        <v>5.23</v>
      </c>
      <c r="Q55" s="203">
        <f>P55*$Q$22</f>
        <v>5.4915000000000003</v>
      </c>
      <c r="R55" s="203">
        <f t="shared" si="2"/>
        <v>5.4915000000000003</v>
      </c>
      <c r="S55" s="203">
        <v>0.5</v>
      </c>
      <c r="T55" s="203">
        <f>SUM(R55:S55)</f>
        <v>5.9915000000000003</v>
      </c>
    </row>
    <row r="56" spans="3:21" x14ac:dyDescent="0.2">
      <c r="C56" s="72" t="s">
        <v>277</v>
      </c>
      <c r="D56" s="208">
        <f>D43</f>
        <v>1</v>
      </c>
      <c r="E56" s="195" t="s">
        <v>116</v>
      </c>
      <c r="F56" s="260">
        <v>0.1</v>
      </c>
      <c r="G56" s="134">
        <f>D56*F56</f>
        <v>0.1</v>
      </c>
      <c r="H56" s="134">
        <f>$H$43*F56</f>
        <v>5</v>
      </c>
      <c r="I56" s="135">
        <f>G56*$H$20</f>
        <v>5</v>
      </c>
      <c r="J56" s="152">
        <f>T56</f>
        <v>12.22</v>
      </c>
      <c r="K56" s="135">
        <f>D56*J56</f>
        <v>12.22</v>
      </c>
      <c r="L56" s="136">
        <f>SUM(I56,K56)</f>
        <v>17.22</v>
      </c>
      <c r="M56" s="135">
        <f>L56/D56</f>
        <v>17.22</v>
      </c>
      <c r="N56" s="137">
        <f>D56*M56</f>
        <v>17.22</v>
      </c>
      <c r="P56" s="203">
        <f>T5</f>
        <v>11.4</v>
      </c>
      <c r="Q56" s="203">
        <f>P56*$Q$22</f>
        <v>11.97</v>
      </c>
      <c r="R56" s="203">
        <f t="shared" si="2"/>
        <v>11.97</v>
      </c>
      <c r="S56" s="203">
        <v>0.25</v>
      </c>
      <c r="T56" s="203">
        <f>SUM(R56:S56)</f>
        <v>12.22</v>
      </c>
    </row>
    <row r="57" spans="3:21" x14ac:dyDescent="0.2">
      <c r="D57" s="206"/>
      <c r="E57" s="206"/>
      <c r="F57" s="260"/>
      <c r="G57" s="206"/>
      <c r="H57" s="134"/>
      <c r="I57" s="206"/>
      <c r="J57" s="206"/>
      <c r="K57" s="206"/>
      <c r="L57" s="206"/>
      <c r="M57" s="206"/>
      <c r="N57" s="206"/>
      <c r="Q57" s="203"/>
      <c r="R57" s="203"/>
    </row>
    <row r="58" spans="3:21" x14ac:dyDescent="0.2">
      <c r="C58" s="72" t="s">
        <v>281</v>
      </c>
      <c r="D58" s="208">
        <f>D43</f>
        <v>1</v>
      </c>
      <c r="E58" s="195" t="s">
        <v>116</v>
      </c>
      <c r="F58" s="260">
        <v>0.17</v>
      </c>
      <c r="G58" s="134">
        <f>D58*F58</f>
        <v>0.17</v>
      </c>
      <c r="H58" s="134">
        <f>$H$43*F58</f>
        <v>8.5</v>
      </c>
      <c r="I58" s="135">
        <f>G58*$H$20</f>
        <v>8.5</v>
      </c>
      <c r="J58" s="152">
        <f>T58</f>
        <v>4.24</v>
      </c>
      <c r="K58" s="135">
        <f>D58*J58</f>
        <v>4.24</v>
      </c>
      <c r="L58" s="136">
        <f>SUM(I58,K58)</f>
        <v>12.74</v>
      </c>
      <c r="M58" s="135">
        <f>L58/D58</f>
        <v>12.74</v>
      </c>
      <c r="N58" s="137">
        <f>D58*M58</f>
        <v>12.74</v>
      </c>
      <c r="P58" s="203">
        <f>Q16</f>
        <v>3.8</v>
      </c>
      <c r="Q58" s="203">
        <f>P58*$Q$22</f>
        <v>3.9899999999999998</v>
      </c>
      <c r="R58" s="203">
        <f t="shared" si="2"/>
        <v>3.9899999999999998</v>
      </c>
      <c r="S58" s="203">
        <v>0.25</v>
      </c>
      <c r="T58" s="203">
        <f>SUM(R58:S58)</f>
        <v>4.24</v>
      </c>
    </row>
    <row r="59" spans="3:21" x14ac:dyDescent="0.2">
      <c r="D59" s="208"/>
      <c r="E59" s="206"/>
      <c r="F59" s="260"/>
      <c r="G59" s="206"/>
      <c r="H59" s="134"/>
      <c r="I59" s="206"/>
      <c r="J59" s="206"/>
      <c r="K59" s="206"/>
      <c r="L59" s="206"/>
      <c r="M59" s="206"/>
      <c r="N59" s="206"/>
      <c r="P59" s="203"/>
      <c r="Q59" s="203"/>
      <c r="R59" s="203"/>
      <c r="S59" s="203"/>
      <c r="T59" s="203"/>
    </row>
    <row r="60" spans="3:21" x14ac:dyDescent="0.2">
      <c r="C60" s="204" t="s">
        <v>272</v>
      </c>
      <c r="D60" s="207">
        <f>(D43/0.6)*25</f>
        <v>41.666666666666671</v>
      </c>
      <c r="E60" s="195" t="s">
        <v>148</v>
      </c>
      <c r="F60" s="134">
        <v>0</v>
      </c>
      <c r="G60" s="134">
        <f>D60*F60</f>
        <v>0</v>
      </c>
      <c r="H60" s="134">
        <f>$H$43*F60</f>
        <v>0</v>
      </c>
      <c r="I60" s="135">
        <f>G60*$H$20</f>
        <v>0</v>
      </c>
      <c r="J60" s="257">
        <v>2.5999999999999999E-2</v>
      </c>
      <c r="K60" s="135">
        <f>D60*J60</f>
        <v>1.0833333333333335</v>
      </c>
      <c r="L60" s="136">
        <f>SUM(I60,K60)</f>
        <v>1.0833333333333335</v>
      </c>
      <c r="M60" s="135">
        <f>L60/D60</f>
        <v>2.6000000000000002E-2</v>
      </c>
      <c r="N60" s="137">
        <f>D60*M60</f>
        <v>1.0833333333333335</v>
      </c>
      <c r="P60" s="203"/>
      <c r="Q60" s="203">
        <f>P60*$Q$22</f>
        <v>0</v>
      </c>
      <c r="R60" s="203">
        <f t="shared" si="2"/>
        <v>0</v>
      </c>
      <c r="S60" s="203"/>
      <c r="T60" s="203">
        <f>SUM(R60:S60)</f>
        <v>0</v>
      </c>
    </row>
    <row r="61" spans="3:21" x14ac:dyDescent="0.2">
      <c r="C61" s="216"/>
      <c r="D61" s="216"/>
      <c r="E61" s="216"/>
      <c r="F61" s="216"/>
      <c r="G61" s="216"/>
      <c r="H61" s="216"/>
      <c r="I61" s="216"/>
      <c r="J61" s="216"/>
      <c r="K61" s="216"/>
      <c r="L61" s="216"/>
      <c r="M61" s="216"/>
      <c r="N61" s="216"/>
      <c r="O61" s="216"/>
      <c r="P61" s="216"/>
      <c r="Q61" s="216"/>
      <c r="R61" s="216"/>
      <c r="S61" s="216"/>
      <c r="T61" s="216"/>
      <c r="U61" s="216"/>
    </row>
    <row r="62" spans="3:21" ht="13.5" thickBot="1" x14ac:dyDescent="0.25">
      <c r="C62" s="221"/>
      <c r="D62" s="221"/>
      <c r="E62" s="221"/>
      <c r="F62" s="221"/>
      <c r="G62" s="222">
        <f>SUM(G44:G61)</f>
        <v>1.27</v>
      </c>
      <c r="H62" s="223"/>
      <c r="I62" s="224">
        <f>SUM(I44:I61)</f>
        <v>63.500000000000007</v>
      </c>
      <c r="J62" s="224"/>
      <c r="K62" s="224">
        <f>SUM(K44:K61)</f>
        <v>68.029055555555558</v>
      </c>
      <c r="L62" s="224"/>
      <c r="M62" s="224"/>
      <c r="N62" s="224">
        <f>SUM(N44:N61)</f>
        <v>131.5290555555556</v>
      </c>
      <c r="O62" s="221"/>
      <c r="P62" s="221"/>
      <c r="Q62" s="221"/>
      <c r="R62" s="221"/>
      <c r="S62" s="221"/>
      <c r="T62" s="221"/>
      <c r="U62" s="221"/>
    </row>
    <row r="63" spans="3:21" ht="13.5" thickTop="1" x14ac:dyDescent="0.2"/>
    <row r="64" spans="3:21" x14ac:dyDescent="0.2">
      <c r="C64" s="209" t="s">
        <v>296</v>
      </c>
      <c r="D64" s="210">
        <v>1</v>
      </c>
      <c r="E64" s="211" t="s">
        <v>267</v>
      </c>
      <c r="F64" s="212">
        <v>1</v>
      </c>
      <c r="G64" s="213" t="s">
        <v>269</v>
      </c>
      <c r="H64" s="214">
        <f>Partitions!H11</f>
        <v>50</v>
      </c>
      <c r="I64" s="215"/>
      <c r="J64" s="215"/>
      <c r="K64" s="215"/>
      <c r="L64" s="215"/>
      <c r="M64" s="215"/>
      <c r="N64" s="215"/>
      <c r="P64" s="72"/>
      <c r="Q64" s="72"/>
      <c r="R64" s="72"/>
    </row>
    <row r="65" spans="3:21" x14ac:dyDescent="0.2">
      <c r="P65" s="72" t="s">
        <v>282</v>
      </c>
      <c r="Q65" s="72" t="s">
        <v>283</v>
      </c>
      <c r="R65" s="72"/>
      <c r="S65" s="72" t="s">
        <v>284</v>
      </c>
    </row>
    <row r="66" spans="3:21" x14ac:dyDescent="0.2">
      <c r="P66" s="72"/>
      <c r="Q66" s="72">
        <v>1.05</v>
      </c>
      <c r="R66" s="72"/>
      <c r="S66" s="72"/>
    </row>
    <row r="67" spans="3:21" x14ac:dyDescent="0.2">
      <c r="C67" s="72" t="s">
        <v>450</v>
      </c>
      <c r="D67" s="207">
        <f>D64</f>
        <v>1</v>
      </c>
      <c r="E67" s="195" t="s">
        <v>116</v>
      </c>
      <c r="F67" s="134">
        <v>0.15</v>
      </c>
      <c r="G67" s="134">
        <f>D67*F67</f>
        <v>0.15</v>
      </c>
      <c r="H67" s="134">
        <f>$H$64*F67</f>
        <v>7.5</v>
      </c>
      <c r="I67" s="135">
        <f>G67*$H$20</f>
        <v>7.5</v>
      </c>
      <c r="J67" s="152">
        <f>T67</f>
        <v>6.2035</v>
      </c>
      <c r="K67" s="135">
        <f>D67*J67</f>
        <v>6.2035</v>
      </c>
      <c r="L67" s="136">
        <f>SUM(I67,K67)</f>
        <v>13.7035</v>
      </c>
      <c r="M67" s="135">
        <f>L67/D67</f>
        <v>13.7035</v>
      </c>
      <c r="N67" s="137">
        <f>D67*M67</f>
        <v>13.7035</v>
      </c>
      <c r="P67" s="203">
        <f>T10</f>
        <v>5.67</v>
      </c>
      <c r="Q67" s="203">
        <f>P67*$Q$22</f>
        <v>5.9535</v>
      </c>
      <c r="R67" s="203">
        <f>Q67</f>
        <v>5.9535</v>
      </c>
      <c r="S67" s="203">
        <v>0.25</v>
      </c>
      <c r="T67" s="203">
        <f>SUM(R67:S67)</f>
        <v>6.2035</v>
      </c>
    </row>
    <row r="68" spans="3:21" x14ac:dyDescent="0.2">
      <c r="C68" s="72" t="s">
        <v>268</v>
      </c>
      <c r="D68" s="207">
        <f>D64/0.6</f>
        <v>1.6666666666666667</v>
      </c>
      <c r="E68" s="195" t="s">
        <v>148</v>
      </c>
      <c r="F68" s="134">
        <v>0.1</v>
      </c>
      <c r="G68" s="134">
        <f>D68*F68</f>
        <v>0.16666666666666669</v>
      </c>
      <c r="H68" s="134">
        <f>$H$64*F68</f>
        <v>5</v>
      </c>
      <c r="I68" s="135">
        <f>G68*$H$20</f>
        <v>8.3333333333333339</v>
      </c>
      <c r="J68" s="152">
        <f>Q17</f>
        <v>1.7</v>
      </c>
      <c r="K68" s="135">
        <f>D68*J68</f>
        <v>2.8333333333333335</v>
      </c>
      <c r="L68" s="136">
        <f>SUM(I68,K68)</f>
        <v>11.166666666666668</v>
      </c>
      <c r="M68" s="135">
        <f>L68/D68</f>
        <v>6.7</v>
      </c>
      <c r="N68" s="137">
        <f>D68*M68</f>
        <v>11.166666666666668</v>
      </c>
      <c r="P68" s="203"/>
      <c r="Q68" s="203"/>
      <c r="R68" s="203">
        <f t="shared" ref="R68:R74" si="3">Q68</f>
        <v>0</v>
      </c>
      <c r="S68" s="203"/>
      <c r="T68" s="203">
        <f>SUM(R68:S68)</f>
        <v>0</v>
      </c>
    </row>
    <row r="69" spans="3:21" x14ac:dyDescent="0.2">
      <c r="C69" s="204" t="s">
        <v>270</v>
      </c>
      <c r="D69" s="207">
        <f>(D64/0.4)*F64</f>
        <v>2.5</v>
      </c>
      <c r="E69" s="195" t="s">
        <v>116</v>
      </c>
      <c r="F69" s="134">
        <v>0.1</v>
      </c>
      <c r="G69" s="134">
        <f>D69*F69</f>
        <v>0.25</v>
      </c>
      <c r="H69" s="134">
        <f>$H$64*F69</f>
        <v>5</v>
      </c>
      <c r="I69" s="135">
        <f>G69*$H$20</f>
        <v>12.5</v>
      </c>
      <c r="J69" s="152">
        <f>T69</f>
        <v>5.1955</v>
      </c>
      <c r="K69" s="135">
        <f>D69*J69</f>
        <v>12.98875</v>
      </c>
      <c r="L69" s="136">
        <f>SUM(I69,K69)</f>
        <v>25.48875</v>
      </c>
      <c r="M69" s="135">
        <f>L69/D69</f>
        <v>10.195499999999999</v>
      </c>
      <c r="N69" s="137">
        <f>D69*M69</f>
        <v>25.488749999999996</v>
      </c>
      <c r="P69" s="203">
        <f>T13</f>
        <v>4.71</v>
      </c>
      <c r="Q69" s="203">
        <f>P69*$Q$22</f>
        <v>4.9455</v>
      </c>
      <c r="R69" s="203">
        <f t="shared" si="3"/>
        <v>4.9455</v>
      </c>
      <c r="S69" s="203">
        <v>0.25</v>
      </c>
      <c r="T69" s="203">
        <f>SUM(R69:S69)</f>
        <v>5.1955</v>
      </c>
    </row>
    <row r="70" spans="3:21" x14ac:dyDescent="0.2">
      <c r="C70" s="204" t="s">
        <v>298</v>
      </c>
      <c r="D70" s="207">
        <f>D64</f>
        <v>1</v>
      </c>
      <c r="E70" s="195" t="s">
        <v>116</v>
      </c>
      <c r="F70" s="134">
        <v>0.1</v>
      </c>
      <c r="G70" s="134">
        <f>D70*F70</f>
        <v>0.1</v>
      </c>
      <c r="H70" s="134">
        <f>$H$64*F70</f>
        <v>5</v>
      </c>
      <c r="I70" s="135">
        <f>G70*$H$20</f>
        <v>5</v>
      </c>
      <c r="J70" s="152">
        <f>T70</f>
        <v>7.0750000000000002</v>
      </c>
      <c r="K70" s="135">
        <f>D70*J70</f>
        <v>7.0750000000000002</v>
      </c>
      <c r="L70" s="136">
        <f>SUM(I70,K70)</f>
        <v>12.074999999999999</v>
      </c>
      <c r="M70" s="135">
        <f>L70/D70</f>
        <v>12.074999999999999</v>
      </c>
      <c r="N70" s="137">
        <f>D70*M70</f>
        <v>12.074999999999999</v>
      </c>
      <c r="P70" s="203">
        <f>T11</f>
        <v>6.5</v>
      </c>
      <c r="Q70" s="203">
        <f>P70*$Q$22</f>
        <v>6.8250000000000002</v>
      </c>
      <c r="R70" s="203">
        <f t="shared" si="3"/>
        <v>6.8250000000000002</v>
      </c>
      <c r="S70" s="203">
        <v>0.25</v>
      </c>
      <c r="T70" s="203">
        <f>SUM(R70:S70)</f>
        <v>7.0750000000000002</v>
      </c>
    </row>
    <row r="71" spans="3:21" x14ac:dyDescent="0.2">
      <c r="C71" s="72"/>
      <c r="D71" s="207"/>
      <c r="E71" s="195"/>
      <c r="F71" s="134"/>
      <c r="G71" s="134"/>
      <c r="H71" s="134"/>
      <c r="I71" s="135"/>
      <c r="J71" s="152"/>
      <c r="K71" s="135"/>
      <c r="L71" s="136"/>
      <c r="M71" s="135"/>
      <c r="N71" s="137"/>
      <c r="P71" s="203"/>
      <c r="Q71" s="203"/>
      <c r="R71" s="203"/>
      <c r="S71" s="203"/>
      <c r="T71" s="203"/>
    </row>
    <row r="72" spans="3:21" x14ac:dyDescent="0.2">
      <c r="C72" s="72" t="s">
        <v>293</v>
      </c>
      <c r="D72" s="207">
        <f>(D64/0.4) *0.215</f>
        <v>0.53749999999999998</v>
      </c>
      <c r="E72" s="195" t="s">
        <v>116</v>
      </c>
      <c r="F72" s="134">
        <v>0.1</v>
      </c>
      <c r="G72" s="134">
        <f>D72*F72</f>
        <v>5.3749999999999999E-2</v>
      </c>
      <c r="H72" s="134">
        <f>$H$64*F72</f>
        <v>5</v>
      </c>
      <c r="I72" s="135">
        <f>G72*$H$20</f>
        <v>2.6875</v>
      </c>
      <c r="J72" s="152">
        <f>T72</f>
        <v>4.24</v>
      </c>
      <c r="K72" s="135">
        <f>D72*J72</f>
        <v>2.2789999999999999</v>
      </c>
      <c r="L72" s="136">
        <f>SUM(I72,K72)</f>
        <v>4.9664999999999999</v>
      </c>
      <c r="M72" s="135">
        <f>L72/D72</f>
        <v>9.24</v>
      </c>
      <c r="N72" s="137">
        <f>D72*M72</f>
        <v>4.9664999999999999</v>
      </c>
      <c r="P72" s="203">
        <f>Q16</f>
        <v>3.8</v>
      </c>
      <c r="Q72" s="203">
        <f>P72*$Q$22</f>
        <v>3.9899999999999998</v>
      </c>
      <c r="R72" s="203">
        <f t="shared" si="3"/>
        <v>3.9899999999999998</v>
      </c>
      <c r="S72" s="203">
        <v>0.25</v>
      </c>
      <c r="T72" s="203">
        <f>SUM(R72:S72)</f>
        <v>4.24</v>
      </c>
    </row>
    <row r="73" spans="3:21" x14ac:dyDescent="0.2">
      <c r="C73" s="72"/>
      <c r="D73" s="207"/>
      <c r="E73" s="195"/>
      <c r="F73" s="134"/>
      <c r="G73" s="134"/>
      <c r="H73" s="134"/>
      <c r="I73" s="135"/>
      <c r="J73" s="152"/>
      <c r="K73" s="135"/>
      <c r="L73" s="136"/>
      <c r="M73" s="135"/>
      <c r="N73" s="137"/>
      <c r="P73" s="203"/>
      <c r="Q73" s="203"/>
      <c r="R73" s="203"/>
      <c r="S73" s="203"/>
      <c r="T73" s="203"/>
    </row>
    <row r="74" spans="3:21" x14ac:dyDescent="0.2">
      <c r="C74" s="204" t="s">
        <v>272</v>
      </c>
      <c r="D74" s="207">
        <f>(D64/0.4)*10</f>
        <v>25</v>
      </c>
      <c r="E74" s="195" t="s">
        <v>148</v>
      </c>
      <c r="F74" s="134">
        <v>0</v>
      </c>
      <c r="G74" s="134">
        <f>D74*F74</f>
        <v>0</v>
      </c>
      <c r="H74" s="134">
        <f>$H$64*F74</f>
        <v>0</v>
      </c>
      <c r="I74" s="135">
        <f>G74*$H$20</f>
        <v>0</v>
      </c>
      <c r="J74" s="257">
        <v>2.5999999999999999E-2</v>
      </c>
      <c r="K74" s="135">
        <f>D74*J74</f>
        <v>0.65</v>
      </c>
      <c r="L74" s="136">
        <f>SUM(I74,K74)</f>
        <v>0.65</v>
      </c>
      <c r="M74" s="135">
        <f>L74/D74</f>
        <v>2.6000000000000002E-2</v>
      </c>
      <c r="N74" s="137">
        <f>D74*M74</f>
        <v>0.65</v>
      </c>
      <c r="P74" s="203"/>
      <c r="Q74" s="203"/>
      <c r="R74" s="203">
        <f t="shared" si="3"/>
        <v>0</v>
      </c>
      <c r="S74" s="203"/>
      <c r="T74" s="203">
        <f>SUM(R74:S74)</f>
        <v>0</v>
      </c>
    </row>
    <row r="75" spans="3:21" x14ac:dyDescent="0.2">
      <c r="C75" s="216"/>
      <c r="D75" s="216"/>
      <c r="E75" s="216"/>
      <c r="F75" s="216"/>
      <c r="G75" s="216"/>
      <c r="H75" s="216"/>
      <c r="I75" s="216"/>
      <c r="J75" s="216"/>
      <c r="K75" s="216"/>
      <c r="L75" s="216"/>
      <c r="M75" s="216"/>
      <c r="N75" s="216"/>
      <c r="O75" s="216"/>
      <c r="P75" s="216"/>
      <c r="Q75" s="216"/>
      <c r="R75" s="216"/>
      <c r="S75" s="216"/>
      <c r="T75" s="216"/>
      <c r="U75" s="216"/>
    </row>
    <row r="76" spans="3:21" ht="13.5" thickBot="1" x14ac:dyDescent="0.25">
      <c r="C76" s="221"/>
      <c r="D76" s="221"/>
      <c r="E76" s="221"/>
      <c r="F76" s="221"/>
      <c r="G76" s="222">
        <f>SUM(G67:G75)</f>
        <v>0.72041666666666659</v>
      </c>
      <c r="H76" s="223"/>
      <c r="I76" s="224">
        <f>SUM(I67:I75)</f>
        <v>36.020833333333336</v>
      </c>
      <c r="J76" s="224"/>
      <c r="K76" s="224">
        <f>SUM(K67:K75)</f>
        <v>32.029583333333335</v>
      </c>
      <c r="L76" s="224"/>
      <c r="M76" s="224"/>
      <c r="N76" s="224">
        <f>SUM(N67:N75)</f>
        <v>68.050416666666663</v>
      </c>
      <c r="O76" s="221"/>
      <c r="P76" s="221"/>
      <c r="Q76" s="221"/>
      <c r="R76" s="221"/>
      <c r="S76" s="221"/>
      <c r="T76" s="221"/>
      <c r="U76" s="221"/>
    </row>
    <row r="77" spans="3:21" ht="13.5" thickTop="1" x14ac:dyDescent="0.2"/>
    <row r="78" spans="3:21" x14ac:dyDescent="0.2">
      <c r="C78" s="209" t="s">
        <v>292</v>
      </c>
      <c r="D78" s="210">
        <v>1</v>
      </c>
      <c r="E78" s="211" t="s">
        <v>267</v>
      </c>
      <c r="F78" s="212">
        <v>1</v>
      </c>
      <c r="G78" s="213" t="s">
        <v>269</v>
      </c>
      <c r="H78" s="214">
        <f>Partitions!H11</f>
        <v>50</v>
      </c>
      <c r="I78" s="215"/>
      <c r="J78" s="215"/>
      <c r="K78" s="215"/>
      <c r="L78" s="215"/>
      <c r="M78" s="215"/>
      <c r="N78" s="215"/>
      <c r="P78" s="72"/>
      <c r="Q78" s="72"/>
      <c r="R78" s="72"/>
    </row>
    <row r="79" spans="3:21" x14ac:dyDescent="0.2">
      <c r="P79" s="72" t="s">
        <v>282</v>
      </c>
      <c r="Q79" s="72" t="s">
        <v>283</v>
      </c>
      <c r="R79" s="72"/>
      <c r="S79" s="72" t="s">
        <v>284</v>
      </c>
    </row>
    <row r="80" spans="3:21" x14ac:dyDescent="0.2">
      <c r="P80" s="72"/>
      <c r="Q80" s="72">
        <v>1.05</v>
      </c>
      <c r="R80" s="72"/>
      <c r="S80" s="72"/>
    </row>
    <row r="81" spans="3:21" x14ac:dyDescent="0.2">
      <c r="C81" s="72" t="s">
        <v>266</v>
      </c>
      <c r="D81" s="207">
        <f>D78*2</f>
        <v>2</v>
      </c>
      <c r="E81" s="195" t="s">
        <v>116</v>
      </c>
      <c r="F81" s="134">
        <v>0.15</v>
      </c>
      <c r="G81" s="134">
        <f>D81*F81</f>
        <v>0.3</v>
      </c>
      <c r="H81" s="134">
        <f>$H$78*F81</f>
        <v>7.5</v>
      </c>
      <c r="I81" s="135">
        <f>G81*$H$20</f>
        <v>15</v>
      </c>
      <c r="J81" s="152">
        <f>T81</f>
        <v>3.2845000000000004</v>
      </c>
      <c r="K81" s="135">
        <f>D81*J81</f>
        <v>6.5690000000000008</v>
      </c>
      <c r="L81" s="136">
        <f>SUM(I81,K81)</f>
        <v>21.569000000000003</v>
      </c>
      <c r="M81" s="135">
        <f>L81/D81</f>
        <v>10.784500000000001</v>
      </c>
      <c r="N81" s="137">
        <f>D81*M81</f>
        <v>21.569000000000003</v>
      </c>
      <c r="P81" s="203">
        <f>T12</f>
        <v>2.89</v>
      </c>
      <c r="Q81" s="203">
        <f>P81*$Q$80</f>
        <v>3.0345000000000004</v>
      </c>
      <c r="R81" s="203">
        <f>Q81</f>
        <v>3.0345000000000004</v>
      </c>
      <c r="S81" s="203">
        <v>0.25</v>
      </c>
      <c r="T81" s="203">
        <f>SUM(R81:S81)</f>
        <v>3.2845000000000004</v>
      </c>
    </row>
    <row r="82" spans="3:21" x14ac:dyDescent="0.2">
      <c r="C82" s="72" t="s">
        <v>268</v>
      </c>
      <c r="D82" s="207">
        <f>(D78/0.6)*2</f>
        <v>3.3333333333333335</v>
      </c>
      <c r="E82" s="195" t="s">
        <v>148</v>
      </c>
      <c r="F82" s="134">
        <v>0.1</v>
      </c>
      <c r="G82" s="134">
        <f>D82*F82</f>
        <v>0.33333333333333337</v>
      </c>
      <c r="H82" s="134">
        <f>$H$78*F82</f>
        <v>5</v>
      </c>
      <c r="I82" s="135">
        <f>G82*$H$20</f>
        <v>16.666666666666668</v>
      </c>
      <c r="J82" s="152">
        <f>Q17</f>
        <v>1.7</v>
      </c>
      <c r="K82" s="135">
        <f>D82*J82</f>
        <v>5.666666666666667</v>
      </c>
      <c r="L82" s="136">
        <f>SUM(I82,K82)</f>
        <v>22.333333333333336</v>
      </c>
      <c r="M82" s="135">
        <f>L82/D82</f>
        <v>6.7</v>
      </c>
      <c r="N82" s="137">
        <f>D82*M82</f>
        <v>22.333333333333336</v>
      </c>
      <c r="P82" s="203"/>
      <c r="Q82" s="203">
        <f t="shared" ref="Q82:Q87" si="4">P82*$Q$80</f>
        <v>0</v>
      </c>
      <c r="R82" s="203">
        <f t="shared" ref="R82:R87" si="5">Q82</f>
        <v>0</v>
      </c>
      <c r="S82" s="203"/>
      <c r="T82" s="203">
        <f t="shared" ref="T82:T87" si="6">SUM(R82:S82)</f>
        <v>0</v>
      </c>
    </row>
    <row r="83" spans="3:21" x14ac:dyDescent="0.2">
      <c r="C83" s="204" t="s">
        <v>270</v>
      </c>
      <c r="D83" s="207">
        <f>2*(D78/0.6)*F78</f>
        <v>3.3333333333333335</v>
      </c>
      <c r="E83" s="195" t="s">
        <v>116</v>
      </c>
      <c r="F83" s="134">
        <v>0.1</v>
      </c>
      <c r="G83" s="134">
        <f>D83*F83</f>
        <v>0.33333333333333337</v>
      </c>
      <c r="H83" s="134">
        <f>$H$78*F83</f>
        <v>5</v>
      </c>
      <c r="I83" s="135">
        <f>G83*$H$20</f>
        <v>16.666666666666668</v>
      </c>
      <c r="J83" s="152">
        <f>T83</f>
        <v>5.1955</v>
      </c>
      <c r="K83" s="135">
        <f>D83*J83</f>
        <v>17.318333333333335</v>
      </c>
      <c r="L83" s="136">
        <f>SUM(I83,K83)</f>
        <v>33.984999999999999</v>
      </c>
      <c r="M83" s="135">
        <f>L83/D83</f>
        <v>10.195499999999999</v>
      </c>
      <c r="N83" s="137">
        <f>D83*M83</f>
        <v>33.984999999999999</v>
      </c>
      <c r="P83" s="203">
        <f>T13</f>
        <v>4.71</v>
      </c>
      <c r="Q83" s="203">
        <f t="shared" si="4"/>
        <v>4.9455</v>
      </c>
      <c r="R83" s="203">
        <f t="shared" si="5"/>
        <v>4.9455</v>
      </c>
      <c r="S83" s="203">
        <v>0.25</v>
      </c>
      <c r="T83" s="203">
        <f t="shared" si="6"/>
        <v>5.1955</v>
      </c>
    </row>
    <row r="84" spans="3:21" x14ac:dyDescent="0.2">
      <c r="C84" s="72"/>
      <c r="D84" s="207"/>
      <c r="E84" s="195"/>
      <c r="F84" s="134"/>
      <c r="G84" s="134"/>
      <c r="H84" s="134"/>
      <c r="I84" s="135"/>
      <c r="J84" s="152"/>
      <c r="K84" s="135"/>
      <c r="L84" s="136"/>
      <c r="M84" s="135"/>
      <c r="N84" s="137"/>
      <c r="P84" s="203"/>
      <c r="Q84" s="203"/>
      <c r="R84" s="203"/>
      <c r="S84" s="203"/>
      <c r="T84" s="203"/>
    </row>
    <row r="85" spans="3:21" x14ac:dyDescent="0.2">
      <c r="C85" s="72" t="s">
        <v>293</v>
      </c>
      <c r="D85" s="207">
        <f>(D78/0.6)*0.23</f>
        <v>0.38333333333333336</v>
      </c>
      <c r="E85" s="195" t="s">
        <v>116</v>
      </c>
      <c r="F85" s="134">
        <v>0.1</v>
      </c>
      <c r="G85" s="134">
        <f>D85*F85</f>
        <v>3.8333333333333337E-2</v>
      </c>
      <c r="H85" s="134">
        <f>$H$78*F85</f>
        <v>5</v>
      </c>
      <c r="I85" s="135">
        <f>G85*$H$20</f>
        <v>1.916666666666667</v>
      </c>
      <c r="J85" s="152">
        <f>T85</f>
        <v>5.1955</v>
      </c>
      <c r="K85" s="135">
        <f>D85*J85</f>
        <v>1.9916083333333334</v>
      </c>
      <c r="L85" s="136">
        <f>SUM(I85,K85)</f>
        <v>3.9082750000000006</v>
      </c>
      <c r="M85" s="135">
        <f>L85/D85</f>
        <v>10.195500000000001</v>
      </c>
      <c r="N85" s="137">
        <f>D85*M85</f>
        <v>3.9082750000000006</v>
      </c>
      <c r="P85" s="203">
        <f>T13</f>
        <v>4.71</v>
      </c>
      <c r="Q85" s="203">
        <f t="shared" si="4"/>
        <v>4.9455</v>
      </c>
      <c r="R85" s="203">
        <f t="shared" si="5"/>
        <v>4.9455</v>
      </c>
      <c r="S85" s="203">
        <v>0.25</v>
      </c>
      <c r="T85" s="203">
        <f t="shared" si="6"/>
        <v>5.1955</v>
      </c>
    </row>
    <row r="86" spans="3:21" x14ac:dyDescent="0.2">
      <c r="C86" s="72"/>
      <c r="D86" s="207"/>
      <c r="E86" s="195"/>
      <c r="F86" s="134"/>
      <c r="G86" s="134"/>
      <c r="H86" s="134"/>
      <c r="I86" s="135"/>
      <c r="J86" s="152"/>
      <c r="K86" s="135"/>
      <c r="L86" s="136"/>
      <c r="M86" s="135"/>
      <c r="N86" s="137"/>
      <c r="P86" s="203"/>
      <c r="Q86" s="203"/>
      <c r="R86" s="203"/>
      <c r="S86" s="203"/>
      <c r="T86" s="203"/>
    </row>
    <row r="87" spans="3:21" x14ac:dyDescent="0.2">
      <c r="C87" s="204" t="s">
        <v>272</v>
      </c>
      <c r="D87" s="207">
        <f>(D78/0.6)*16</f>
        <v>26.666666666666668</v>
      </c>
      <c r="E87" s="195" t="s">
        <v>148</v>
      </c>
      <c r="F87" s="134">
        <v>0</v>
      </c>
      <c r="G87" s="134">
        <f>D87*F87</f>
        <v>0</v>
      </c>
      <c r="H87" s="134">
        <f>$H$78*F87</f>
        <v>0</v>
      </c>
      <c r="I87" s="135">
        <f>G87*$H$20</f>
        <v>0</v>
      </c>
      <c r="J87" s="257">
        <v>2.5999999999999999E-2</v>
      </c>
      <c r="K87" s="135">
        <f>D87*J87</f>
        <v>0.69333333333333336</v>
      </c>
      <c r="L87" s="136">
        <f>SUM(I87,K87)</f>
        <v>0.69333333333333336</v>
      </c>
      <c r="M87" s="135">
        <f>L87/D87</f>
        <v>2.5999999999999999E-2</v>
      </c>
      <c r="N87" s="137">
        <f>D87*M87</f>
        <v>0.69333333333333336</v>
      </c>
      <c r="P87" s="203"/>
      <c r="Q87" s="203">
        <f t="shared" si="4"/>
        <v>0</v>
      </c>
      <c r="R87" s="203">
        <f t="shared" si="5"/>
        <v>0</v>
      </c>
      <c r="S87" s="203"/>
      <c r="T87" s="203">
        <f t="shared" si="6"/>
        <v>0</v>
      </c>
    </row>
    <row r="88" spans="3:21" x14ac:dyDescent="0.2">
      <c r="C88" s="216"/>
      <c r="D88" s="216"/>
      <c r="E88" s="216"/>
      <c r="F88" s="216"/>
      <c r="G88" s="216"/>
      <c r="H88" s="216"/>
      <c r="I88" s="216"/>
      <c r="J88" s="216"/>
      <c r="K88" s="216"/>
      <c r="L88" s="216"/>
      <c r="M88" s="216"/>
      <c r="N88" s="216"/>
      <c r="O88" s="216"/>
      <c r="P88" s="216"/>
      <c r="Q88" s="216"/>
      <c r="R88" s="216"/>
      <c r="S88" s="216"/>
      <c r="T88" s="216"/>
      <c r="U88" s="216"/>
    </row>
    <row r="89" spans="3:21" ht="13.5" thickBot="1" x14ac:dyDescent="0.25">
      <c r="C89" s="221"/>
      <c r="D89" s="221"/>
      <c r="E89" s="221"/>
      <c r="F89" s="221"/>
      <c r="G89" s="222">
        <f>SUM(G81:G88)</f>
        <v>1.0050000000000001</v>
      </c>
      <c r="H89" s="223"/>
      <c r="I89" s="224">
        <f>SUM(I81:I88)</f>
        <v>50.25</v>
      </c>
      <c r="J89" s="224"/>
      <c r="K89" s="224">
        <f>SUM(K81:K88)</f>
        <v>32.238941666666669</v>
      </c>
      <c r="L89" s="224"/>
      <c r="M89" s="224"/>
      <c r="N89" s="224">
        <f>SUM(N81:N88)</f>
        <v>82.488941666666676</v>
      </c>
      <c r="O89" s="221"/>
      <c r="P89" s="221"/>
      <c r="Q89" s="221"/>
      <c r="R89" s="221"/>
      <c r="S89" s="221"/>
      <c r="T89" s="221"/>
      <c r="U89" s="221"/>
    </row>
    <row r="90" spans="3:21" ht="13.5" thickTop="1" x14ac:dyDescent="0.2"/>
    <row r="98" spans="3:16" x14ac:dyDescent="0.2">
      <c r="C98" s="261"/>
      <c r="D98" s="261"/>
      <c r="E98" s="261"/>
      <c r="F98" s="261"/>
      <c r="G98" s="261"/>
      <c r="H98" s="261"/>
      <c r="I98" s="261"/>
      <c r="J98" s="261"/>
      <c r="K98" s="261"/>
      <c r="L98" s="261"/>
      <c r="M98" s="261"/>
    </row>
    <row r="99" spans="3:16" x14ac:dyDescent="0.2">
      <c r="D99" s="262" t="s">
        <v>440</v>
      </c>
      <c r="E99" s="263">
        <v>0.4</v>
      </c>
      <c r="F99" s="262" t="s">
        <v>391</v>
      </c>
      <c r="G99" s="262" t="s">
        <v>392</v>
      </c>
      <c r="H99" s="264"/>
      <c r="I99" s="264"/>
    </row>
    <row r="100" spans="3:16" x14ac:dyDescent="0.2">
      <c r="D100" s="264"/>
      <c r="E100" s="264"/>
      <c r="F100" s="264"/>
      <c r="G100" s="264"/>
      <c r="H100" s="264"/>
      <c r="I100" s="264"/>
    </row>
    <row r="101" spans="3:16" ht="15" x14ac:dyDescent="0.25">
      <c r="D101" s="265" t="s">
        <v>393</v>
      </c>
      <c r="E101" s="264"/>
      <c r="F101" s="266" t="s">
        <v>394</v>
      </c>
      <c r="G101" s="266" t="s">
        <v>395</v>
      </c>
      <c r="H101" s="266" t="s">
        <v>396</v>
      </c>
      <c r="I101" s="266" t="s">
        <v>397</v>
      </c>
      <c r="J101" s="267" t="s">
        <v>398</v>
      </c>
    </row>
    <row r="102" spans="3:16" x14ac:dyDescent="0.2">
      <c r="D102" s="264"/>
      <c r="E102" s="265" t="s">
        <v>399</v>
      </c>
      <c r="F102" s="268">
        <v>11</v>
      </c>
      <c r="G102" s="269">
        <v>2.9</v>
      </c>
      <c r="H102" s="270">
        <f>SUM(F111*G102)</f>
        <v>82.649999999999991</v>
      </c>
      <c r="I102" s="268">
        <f>F102*2</f>
        <v>22</v>
      </c>
      <c r="J102" s="271">
        <f>F102*G102</f>
        <v>31.9</v>
      </c>
    </row>
    <row r="103" spans="3:16" x14ac:dyDescent="0.2">
      <c r="C103" t="s">
        <v>400</v>
      </c>
      <c r="D103" s="264" t="s">
        <v>441</v>
      </c>
      <c r="E103" s="272">
        <f>T7</f>
        <v>5.23</v>
      </c>
      <c r="F103" s="264"/>
      <c r="G103" s="264"/>
      <c r="H103" s="264"/>
      <c r="I103" s="264"/>
    </row>
    <row r="104" spans="3:16" x14ac:dyDescent="0.2">
      <c r="D104" s="264" t="s">
        <v>401</v>
      </c>
      <c r="E104" s="203">
        <f>H105/H102</f>
        <v>1.128614640048397</v>
      </c>
      <c r="F104" s="273">
        <f>T9</f>
        <v>8.48</v>
      </c>
      <c r="G104" s="264" t="s">
        <v>116</v>
      </c>
      <c r="H104" s="274">
        <f>SUM(F104*F102)</f>
        <v>93.28</v>
      </c>
      <c r="I104" s="264"/>
    </row>
    <row r="105" spans="3:16" x14ac:dyDescent="0.2">
      <c r="D105" s="264"/>
      <c r="E105" s="275"/>
      <c r="F105" s="264" t="s">
        <v>402</v>
      </c>
      <c r="G105" s="268">
        <v>1</v>
      </c>
      <c r="H105" s="276">
        <f>G105*H104</f>
        <v>93.28</v>
      </c>
      <c r="I105" s="264"/>
    </row>
    <row r="106" spans="3:16" x14ac:dyDescent="0.2">
      <c r="D106" s="264"/>
      <c r="F106" s="264"/>
      <c r="G106" s="264"/>
      <c r="H106" s="264"/>
      <c r="I106" s="264"/>
    </row>
    <row r="107" spans="3:16" x14ac:dyDescent="0.2">
      <c r="D107" s="264" t="s">
        <v>403</v>
      </c>
      <c r="E107" s="275">
        <v>0.09</v>
      </c>
      <c r="F107" s="264"/>
      <c r="G107" s="264"/>
      <c r="H107" s="264"/>
      <c r="I107" s="264"/>
      <c r="P107" s="175"/>
    </row>
    <row r="108" spans="3:16" x14ac:dyDescent="0.2">
      <c r="D108" s="265" t="s">
        <v>404</v>
      </c>
      <c r="E108" s="277"/>
      <c r="F108" s="264"/>
      <c r="G108" s="264"/>
      <c r="H108" s="264"/>
      <c r="I108" s="264"/>
    </row>
    <row r="109" spans="3:16" x14ac:dyDescent="0.2">
      <c r="D109" s="264" t="s">
        <v>405</v>
      </c>
      <c r="E109" s="277"/>
      <c r="F109" s="264"/>
      <c r="G109" s="264"/>
      <c r="H109" s="264"/>
      <c r="I109" s="264"/>
    </row>
    <row r="110" spans="3:16" x14ac:dyDescent="0.2">
      <c r="D110" s="262" t="s">
        <v>406</v>
      </c>
      <c r="E110" s="264"/>
      <c r="F110" s="278">
        <f>SUM(F102/E99)</f>
        <v>27.5</v>
      </c>
      <c r="G110" s="264"/>
      <c r="H110" s="264"/>
      <c r="I110" s="264"/>
    </row>
    <row r="111" spans="3:16" x14ac:dyDescent="0.2">
      <c r="D111" s="264" t="s">
        <v>407</v>
      </c>
      <c r="E111" s="277"/>
      <c r="F111" s="279">
        <f>F110+1</f>
        <v>28.5</v>
      </c>
      <c r="G111" s="264" t="s">
        <v>408</v>
      </c>
      <c r="H111" s="264"/>
      <c r="I111" s="264"/>
    </row>
    <row r="112" spans="3:16" x14ac:dyDescent="0.2">
      <c r="D112" s="262" t="s">
        <v>409</v>
      </c>
      <c r="E112" s="264"/>
      <c r="F112" s="278">
        <f>SUM(F111*4)</f>
        <v>114</v>
      </c>
      <c r="G112" s="264" t="s">
        <v>410</v>
      </c>
      <c r="H112" s="280">
        <v>1.4999999999999999E-2</v>
      </c>
      <c r="I112" s="280"/>
    </row>
    <row r="113" spans="3:12" x14ac:dyDescent="0.2">
      <c r="D113" s="264" t="s">
        <v>411</v>
      </c>
      <c r="E113" s="281">
        <f>SUM(F112*H112)/H102</f>
        <v>2.0689655172413796E-2</v>
      </c>
      <c r="F113" s="282" t="s">
        <v>412</v>
      </c>
      <c r="G113" s="264"/>
      <c r="H113" s="264"/>
      <c r="I113" s="264"/>
    </row>
    <row r="114" spans="3:12" x14ac:dyDescent="0.2">
      <c r="D114" s="264"/>
      <c r="E114" s="265"/>
      <c r="F114" s="264"/>
      <c r="G114" s="264"/>
      <c r="H114" s="264"/>
      <c r="I114" s="264"/>
    </row>
    <row r="115" spans="3:12" x14ac:dyDescent="0.2">
      <c r="D115" s="264"/>
      <c r="E115" s="283">
        <f>SUM(E103:E114)</f>
        <v>6.4693042952208115</v>
      </c>
      <c r="F115" s="264"/>
      <c r="G115" s="264"/>
      <c r="H115" s="264"/>
      <c r="I115" s="264"/>
    </row>
    <row r="116" spans="3:12" x14ac:dyDescent="0.2">
      <c r="D116" s="264" t="s">
        <v>413</v>
      </c>
      <c r="E116" s="284">
        <f>E115*5%</f>
        <v>0.32346521476104062</v>
      </c>
      <c r="F116" s="264"/>
      <c r="G116" s="264"/>
      <c r="I116" s="264"/>
    </row>
    <row r="117" spans="3:12" ht="15" x14ac:dyDescent="0.25">
      <c r="D117" s="264"/>
      <c r="E117" s="112">
        <f>SUM(E115:E116)</f>
        <v>6.7927695099818521</v>
      </c>
      <c r="F117" s="264"/>
      <c r="G117" s="264"/>
      <c r="I117" s="111"/>
      <c r="J117" s="113"/>
      <c r="K117" s="285"/>
    </row>
    <row r="118" spans="3:12" x14ac:dyDescent="0.2">
      <c r="C118" t="s">
        <v>414</v>
      </c>
      <c r="D118" s="265" t="s">
        <v>415</v>
      </c>
      <c r="E118" s="264"/>
      <c r="F118" s="262" t="s">
        <v>416</v>
      </c>
      <c r="G118" s="264"/>
      <c r="H118" s="264"/>
      <c r="I118" s="264"/>
    </row>
    <row r="119" spans="3:12" x14ac:dyDescent="0.2">
      <c r="D119" s="265" t="s">
        <v>417</v>
      </c>
      <c r="E119" s="264"/>
      <c r="F119" s="305">
        <f>Partitions!H11</f>
        <v>50</v>
      </c>
      <c r="G119" s="264"/>
      <c r="H119" s="264"/>
      <c r="I119" s="264"/>
    </row>
    <row r="120" spans="3:12" x14ac:dyDescent="0.2">
      <c r="D120" s="111">
        <v>12</v>
      </c>
      <c r="E120" s="287">
        <f>F119/D120</f>
        <v>4.166666666666667</v>
      </c>
      <c r="F120" s="264"/>
      <c r="G120" s="264"/>
      <c r="H120" s="264"/>
      <c r="I120" s="264"/>
      <c r="K120" s="203"/>
    </row>
    <row r="121" spans="3:12" x14ac:dyDescent="0.2">
      <c r="D121" s="111"/>
      <c r="E121" s="287"/>
      <c r="F121" s="264"/>
      <c r="G121" s="264"/>
      <c r="H121" s="264"/>
      <c r="I121" s="264"/>
      <c r="K121" s="203"/>
    </row>
    <row r="122" spans="3:12" x14ac:dyDescent="0.2">
      <c r="D122" s="111"/>
      <c r="E122" s="287"/>
      <c r="F122" s="264"/>
      <c r="G122" s="264"/>
      <c r="H122" s="264"/>
      <c r="I122" s="264"/>
      <c r="K122" s="203"/>
    </row>
    <row r="123" spans="3:12" ht="15" x14ac:dyDescent="0.25">
      <c r="D123" s="264"/>
      <c r="E123" s="112">
        <f>SUM(E117:E120)</f>
        <v>10.95943617664852</v>
      </c>
      <c r="F123" s="264"/>
      <c r="G123" s="264"/>
      <c r="H123" s="264"/>
      <c r="I123" s="288" t="s">
        <v>418</v>
      </c>
      <c r="K123" s="288"/>
      <c r="L123" s="72" t="s">
        <v>419</v>
      </c>
    </row>
    <row r="124" spans="3:12" ht="15" x14ac:dyDescent="0.25">
      <c r="D124" s="265" t="s">
        <v>420</v>
      </c>
      <c r="E124" s="264"/>
      <c r="F124" s="264"/>
      <c r="G124" s="264"/>
      <c r="H124" s="264"/>
      <c r="I124" s="274">
        <f>E126-I126</f>
        <v>4.8091384754990933</v>
      </c>
      <c r="K124" s="288">
        <f>H102*I124</f>
        <v>397.47529500000002</v>
      </c>
      <c r="L124" s="203">
        <f>K124/J102</f>
        <v>12.460040595611286</v>
      </c>
    </row>
    <row r="125" spans="3:12" x14ac:dyDescent="0.2">
      <c r="D125" s="289">
        <v>0.05</v>
      </c>
      <c r="E125" s="287">
        <f>E123*5%</f>
        <v>0.54797180883242602</v>
      </c>
      <c r="F125" s="264"/>
      <c r="G125" s="264"/>
      <c r="H125" s="264"/>
      <c r="I125" s="264" t="s">
        <v>421</v>
      </c>
    </row>
    <row r="126" spans="3:12" x14ac:dyDescent="0.2">
      <c r="D126" s="264"/>
      <c r="E126" s="290">
        <f>SUM(E123:E125)</f>
        <v>11.507407985480945</v>
      </c>
      <c r="F126" s="262" t="s">
        <v>422</v>
      </c>
      <c r="G126" s="264"/>
      <c r="H126" s="264"/>
      <c r="I126" s="274">
        <f>SUM(E103+E104+E113)*1.05</f>
        <v>6.6982695099818521</v>
      </c>
      <c r="K126" s="203">
        <f>H102*I126</f>
        <v>553.61197500000003</v>
      </c>
      <c r="L126" s="203">
        <f>K126/J102</f>
        <v>17.354607366771162</v>
      </c>
    </row>
    <row r="127" spans="3:12" x14ac:dyDescent="0.2">
      <c r="D127" s="291" t="s">
        <v>423</v>
      </c>
      <c r="E127" s="292"/>
      <c r="F127" s="293">
        <f>E126*H102</f>
        <v>951.08726999999999</v>
      </c>
      <c r="G127" s="264"/>
      <c r="H127" s="264"/>
      <c r="I127" s="274"/>
      <c r="J127" s="203"/>
    </row>
    <row r="128" spans="3:12" x14ac:dyDescent="0.2">
      <c r="D128" s="264"/>
      <c r="E128" s="265"/>
      <c r="F128" s="264" t="s">
        <v>424</v>
      </c>
      <c r="G128" s="264"/>
      <c r="H128" s="264"/>
    </row>
    <row r="129" spans="3:12" x14ac:dyDescent="0.2">
      <c r="C129" t="s">
        <v>425</v>
      </c>
      <c r="D129" s="72">
        <v>92</v>
      </c>
      <c r="E129" s="294">
        <f>I130</f>
        <v>8.3150000000000013</v>
      </c>
      <c r="F129" s="295" t="s">
        <v>444</v>
      </c>
      <c r="G129" s="264" t="s">
        <v>445</v>
      </c>
      <c r="H129" s="266"/>
      <c r="I129" t="s">
        <v>427</v>
      </c>
    </row>
    <row r="130" spans="3:12" ht="15" x14ac:dyDescent="0.25">
      <c r="D130" s="264" t="s">
        <v>428</v>
      </c>
      <c r="E130" s="272">
        <v>0.31</v>
      </c>
      <c r="F130" s="302">
        <f>T5</f>
        <v>11.4</v>
      </c>
      <c r="G130" s="302">
        <f>T8</f>
        <v>5.23</v>
      </c>
      <c r="H130" s="302">
        <f>SUM(F130:G130)</f>
        <v>16.630000000000003</v>
      </c>
      <c r="I130" s="304">
        <f>H130/2</f>
        <v>8.3150000000000013</v>
      </c>
    </row>
    <row r="131" spans="3:12" x14ac:dyDescent="0.2">
      <c r="D131" s="264" t="s">
        <v>403</v>
      </c>
      <c r="E131" s="275">
        <v>0.09</v>
      </c>
      <c r="F131" s="264"/>
      <c r="G131" s="264"/>
      <c r="H131" s="264"/>
      <c r="I131" s="264"/>
    </row>
    <row r="132" spans="3:12" x14ac:dyDescent="0.2">
      <c r="D132" s="262"/>
      <c r="E132" s="281"/>
      <c r="F132" s="282"/>
      <c r="G132" s="264"/>
      <c r="H132" s="264"/>
      <c r="I132" s="264"/>
      <c r="J132" s="280"/>
    </row>
    <row r="133" spans="3:12" x14ac:dyDescent="0.2">
      <c r="D133" s="265" t="s">
        <v>429</v>
      </c>
      <c r="G133" s="264"/>
      <c r="H133" s="264"/>
      <c r="I133" s="264"/>
      <c r="J133" s="281"/>
    </row>
    <row r="134" spans="3:12" ht="14.25" customHeight="1" x14ac:dyDescent="0.2">
      <c r="D134" s="264" t="s">
        <v>430</v>
      </c>
      <c r="E134" s="264"/>
      <c r="F134" s="278">
        <f>F102/E99</f>
        <v>27.5</v>
      </c>
      <c r="G134" s="264"/>
      <c r="H134" s="264"/>
      <c r="I134" s="264"/>
    </row>
    <row r="135" spans="3:12" x14ac:dyDescent="0.2">
      <c r="D135" s="264" t="s">
        <v>431</v>
      </c>
      <c r="E135" s="264"/>
      <c r="F135" s="278">
        <f>F134+2</f>
        <v>29.5</v>
      </c>
      <c r="G135" s="264" t="s">
        <v>432</v>
      </c>
      <c r="H135" s="280">
        <v>1.7</v>
      </c>
      <c r="I135" s="280"/>
    </row>
    <row r="136" spans="3:12" x14ac:dyDescent="0.2">
      <c r="D136" s="264"/>
      <c r="E136" s="281">
        <f>SUM(F135*H135)/I102</f>
        <v>2.2795454545454543</v>
      </c>
      <c r="F136" s="282" t="s">
        <v>412</v>
      </c>
      <c r="G136" s="264"/>
      <c r="H136" s="264"/>
      <c r="I136" s="264"/>
    </row>
    <row r="137" spans="3:12" x14ac:dyDescent="0.2">
      <c r="D137" s="264"/>
      <c r="E137" s="281"/>
      <c r="F137" s="282"/>
      <c r="G137" s="264"/>
      <c r="H137" s="264"/>
    </row>
    <row r="138" spans="3:12" x14ac:dyDescent="0.2">
      <c r="D138" s="264"/>
      <c r="E138" s="283">
        <f>SUM(E129:E136)</f>
        <v>10.994545454545456</v>
      </c>
      <c r="F138" s="264"/>
      <c r="G138" s="264"/>
      <c r="H138" s="264"/>
      <c r="J138" s="259"/>
    </row>
    <row r="139" spans="3:12" x14ac:dyDescent="0.2">
      <c r="D139" s="264" t="s">
        <v>413</v>
      </c>
      <c r="E139" s="284">
        <f>E138*5%</f>
        <v>0.54972727272727284</v>
      </c>
      <c r="F139" s="264"/>
      <c r="G139" s="264"/>
      <c r="H139" s="264"/>
      <c r="I139" s="264"/>
      <c r="K139" s="203"/>
    </row>
    <row r="140" spans="3:12" ht="15" x14ac:dyDescent="0.25">
      <c r="D140" s="264"/>
      <c r="E140" s="112">
        <f>SUM(E138:E139)</f>
        <v>11.544272727272729</v>
      </c>
      <c r="F140" s="264"/>
      <c r="G140" s="264"/>
      <c r="H140" s="264"/>
      <c r="I140" s="288"/>
      <c r="K140" s="288"/>
    </row>
    <row r="141" spans="3:12" ht="15" x14ac:dyDescent="0.25">
      <c r="C141" t="s">
        <v>425</v>
      </c>
      <c r="D141" s="265" t="s">
        <v>415</v>
      </c>
      <c r="E141" s="264"/>
      <c r="F141" s="262" t="s">
        <v>416</v>
      </c>
      <c r="G141" s="264"/>
      <c r="H141" s="264"/>
      <c r="I141" s="274"/>
      <c r="K141" s="288"/>
    </row>
    <row r="142" spans="3:12" ht="15" x14ac:dyDescent="0.25">
      <c r="D142" s="72" t="s">
        <v>417</v>
      </c>
      <c r="F142" s="305">
        <f>Partitions!H11</f>
        <v>50</v>
      </c>
      <c r="G142" s="264"/>
      <c r="H142" s="264"/>
      <c r="I142" s="274"/>
      <c r="K142" s="288"/>
    </row>
    <row r="143" spans="3:12" x14ac:dyDescent="0.2">
      <c r="D143" s="259">
        <v>4</v>
      </c>
      <c r="E143" s="296">
        <f>F142/D143</f>
        <v>12.5</v>
      </c>
      <c r="G143" s="264"/>
      <c r="H143" s="264"/>
      <c r="I143" s="264"/>
    </row>
    <row r="144" spans="3:12" ht="15" x14ac:dyDescent="0.25">
      <c r="D144" s="264"/>
      <c r="E144" s="112">
        <f>SUM(E140:E143)</f>
        <v>24.044272727272727</v>
      </c>
      <c r="F144" s="264"/>
      <c r="G144" s="264"/>
      <c r="H144" s="264"/>
      <c r="I144" s="288" t="s">
        <v>418</v>
      </c>
      <c r="K144" s="288"/>
      <c r="L144" s="72" t="s">
        <v>419</v>
      </c>
    </row>
    <row r="145" spans="3:14" ht="15" x14ac:dyDescent="0.25">
      <c r="D145" s="265" t="s">
        <v>420</v>
      </c>
      <c r="E145" s="264"/>
      <c r="F145" s="264"/>
      <c r="G145" s="264"/>
      <c r="H145" s="264"/>
      <c r="I145" s="274">
        <f>E147-I147</f>
        <v>13.796713636363636</v>
      </c>
      <c r="K145" s="288">
        <f>I102*I145</f>
        <v>303.52769999999998</v>
      </c>
      <c r="L145" s="203">
        <f>K145/J102</f>
        <v>9.5149749216300936</v>
      </c>
    </row>
    <row r="146" spans="3:14" x14ac:dyDescent="0.2">
      <c r="D146" s="289">
        <v>0.05</v>
      </c>
      <c r="E146" s="287">
        <f>E144*5%</f>
        <v>1.2022136363636364</v>
      </c>
      <c r="F146" s="264"/>
      <c r="G146" s="264"/>
      <c r="H146" s="264"/>
      <c r="I146" s="264" t="s">
        <v>421</v>
      </c>
    </row>
    <row r="147" spans="3:14" x14ac:dyDescent="0.2">
      <c r="D147" s="264"/>
      <c r="E147" s="290">
        <f>SUM(E144:E146)</f>
        <v>25.246486363636365</v>
      </c>
      <c r="F147" s="262" t="s">
        <v>422</v>
      </c>
      <c r="G147" s="264"/>
      <c r="H147" s="264"/>
      <c r="I147" s="274">
        <f>SUM(E129,E130,E136)*1.05</f>
        <v>11.449772727272729</v>
      </c>
      <c r="K147" s="203">
        <f>I147*I102</f>
        <v>251.89500000000004</v>
      </c>
      <c r="L147" s="203">
        <f>K147/J102</f>
        <v>7.8963949843260206</v>
      </c>
    </row>
    <row r="148" spans="3:14" ht="15" x14ac:dyDescent="0.25">
      <c r="D148" s="291" t="s">
        <v>433</v>
      </c>
      <c r="E148" s="297"/>
      <c r="F148" s="293">
        <f>SUM(E147*I102)</f>
        <v>555.42270000000008</v>
      </c>
      <c r="G148" s="264"/>
      <c r="H148" s="264"/>
      <c r="J148" s="285"/>
      <c r="K148" s="285"/>
    </row>
    <row r="149" spans="3:14" ht="15" x14ac:dyDescent="0.25">
      <c r="D149" t="s">
        <v>434</v>
      </c>
      <c r="F149" s="259">
        <f>SUM(F127+F148)</f>
        <v>1506.5099700000001</v>
      </c>
      <c r="G149" t="s">
        <v>435</v>
      </c>
      <c r="J149" s="298"/>
      <c r="K149" s="298"/>
      <c r="L149" s="299"/>
    </row>
    <row r="150" spans="3:14" ht="15.75" thickBot="1" x14ac:dyDescent="0.3">
      <c r="F150" s="300">
        <f>SUM(F149/J102)</f>
        <v>47.226017868338559</v>
      </c>
      <c r="G150" s="285" t="s">
        <v>151</v>
      </c>
    </row>
    <row r="151" spans="3:14" ht="15.75" thickTop="1" x14ac:dyDescent="0.25">
      <c r="F151" s="301">
        <f>F149/F102</f>
        <v>136.95545181818181</v>
      </c>
      <c r="G151" s="285" t="s">
        <v>116</v>
      </c>
      <c r="I151" s="285"/>
      <c r="L151" s="72" t="s">
        <v>436</v>
      </c>
      <c r="M151" s="203">
        <f>SUM(L145,L124)</f>
        <v>21.975015517241381</v>
      </c>
      <c r="N151" s="299">
        <f>M151/F142</f>
        <v>0.43950031034482762</v>
      </c>
    </row>
    <row r="152" spans="3:14" x14ac:dyDescent="0.2">
      <c r="D152" t="s">
        <v>437</v>
      </c>
      <c r="F152" s="203">
        <f>J149</f>
        <v>0</v>
      </c>
      <c r="G152" t="s">
        <v>151</v>
      </c>
      <c r="I152" s="259"/>
      <c r="L152" s="72" t="s">
        <v>438</v>
      </c>
      <c r="M152" s="203">
        <f>SUM(L126,L147)</f>
        <v>25.251002351097185</v>
      </c>
    </row>
    <row r="153" spans="3:14" x14ac:dyDescent="0.2">
      <c r="D153" t="s">
        <v>439</v>
      </c>
      <c r="F153" s="203">
        <f>F150-F152</f>
        <v>47.226017868338559</v>
      </c>
      <c r="G153" t="s">
        <v>151</v>
      </c>
      <c r="I153" s="259"/>
    </row>
    <row r="154" spans="3:14" ht="15" x14ac:dyDescent="0.25">
      <c r="F154" s="113"/>
      <c r="G154" s="285"/>
      <c r="I154" s="259"/>
      <c r="M154" s="203"/>
    </row>
    <row r="155" spans="3:14" ht="15" x14ac:dyDescent="0.25">
      <c r="F155" s="113"/>
      <c r="G155" s="285"/>
      <c r="I155" s="259"/>
    </row>
    <row r="156" spans="3:14" ht="15" x14ac:dyDescent="0.25">
      <c r="F156" s="113"/>
      <c r="G156" s="285"/>
    </row>
    <row r="157" spans="3:14" x14ac:dyDescent="0.2">
      <c r="C157" s="261"/>
      <c r="D157" s="261"/>
      <c r="E157" s="261"/>
      <c r="F157" s="261"/>
      <c r="G157" s="261"/>
      <c r="H157" s="261"/>
      <c r="I157" s="261"/>
      <c r="J157" s="261"/>
      <c r="K157" s="261"/>
      <c r="L157" s="261"/>
      <c r="M157" s="261"/>
    </row>
    <row r="166" spans="3:8" x14ac:dyDescent="0.2">
      <c r="D166" s="308" t="s">
        <v>452</v>
      </c>
      <c r="F166" s="308" t="s">
        <v>453</v>
      </c>
      <c r="G166" s="264"/>
      <c r="H166" s="264"/>
    </row>
    <row r="167" spans="3:8" x14ac:dyDescent="0.2">
      <c r="D167" s="72" t="s">
        <v>454</v>
      </c>
      <c r="F167" s="309">
        <v>52</v>
      </c>
      <c r="G167" s="264"/>
      <c r="H167" s="264"/>
    </row>
    <row r="168" spans="3:8" x14ac:dyDescent="0.2">
      <c r="C168" s="72" t="s">
        <v>480</v>
      </c>
      <c r="D168" s="72" t="s">
        <v>455</v>
      </c>
      <c r="E168" s="310">
        <v>57</v>
      </c>
      <c r="F168" t="s">
        <v>456</v>
      </c>
    </row>
    <row r="169" spans="3:8" ht="15" x14ac:dyDescent="0.25">
      <c r="D169" t="s">
        <v>457</v>
      </c>
      <c r="E169" s="311">
        <v>82</v>
      </c>
      <c r="G169">
        <v>0.3</v>
      </c>
      <c r="H169" t="s">
        <v>458</v>
      </c>
    </row>
    <row r="170" spans="3:8" x14ac:dyDescent="0.2">
      <c r="F170" t="s">
        <v>459</v>
      </c>
      <c r="G170" s="271">
        <v>1.2</v>
      </c>
    </row>
    <row r="171" spans="3:8" x14ac:dyDescent="0.2">
      <c r="D171" s="264"/>
      <c r="E171" s="264"/>
      <c r="F171" t="s">
        <v>460</v>
      </c>
      <c r="G171" s="271">
        <v>2.4</v>
      </c>
    </row>
    <row r="172" spans="3:8" x14ac:dyDescent="0.2">
      <c r="D172" s="264"/>
      <c r="E172" s="264"/>
      <c r="G172">
        <f>G170/G169</f>
        <v>4</v>
      </c>
    </row>
    <row r="173" spans="3:8" x14ac:dyDescent="0.2">
      <c r="D173" s="264"/>
      <c r="E173" s="264"/>
      <c r="F173" t="s">
        <v>461</v>
      </c>
      <c r="G173">
        <f>G172*G171</f>
        <v>9.6</v>
      </c>
    </row>
    <row r="174" spans="3:8" x14ac:dyDescent="0.2">
      <c r="D174" s="308" t="s">
        <v>462</v>
      </c>
      <c r="F174" s="264"/>
      <c r="H174" s="264"/>
    </row>
    <row r="175" spans="3:8" x14ac:dyDescent="0.2">
      <c r="D175" t="s">
        <v>463</v>
      </c>
      <c r="G175" s="264"/>
      <c r="H175" s="264"/>
    </row>
    <row r="176" spans="3:8" ht="15" x14ac:dyDescent="0.25">
      <c r="E176" s="301">
        <f>ROUNDUP(SUM(E169/G173),0)</f>
        <v>9</v>
      </c>
      <c r="G176" s="264"/>
      <c r="H176" s="264"/>
    </row>
    <row r="177" spans="4:8" ht="15" x14ac:dyDescent="0.25">
      <c r="D177" s="72" t="s">
        <v>464</v>
      </c>
      <c r="E177" s="308">
        <f>E176*E168</f>
        <v>513</v>
      </c>
      <c r="G177" s="264"/>
      <c r="H177" s="285"/>
    </row>
    <row r="178" spans="4:8" x14ac:dyDescent="0.2">
      <c r="D178" s="72"/>
      <c r="E178" s="308"/>
      <c r="G178" s="264"/>
      <c r="H178" s="264"/>
    </row>
    <row r="179" spans="4:8" x14ac:dyDescent="0.2">
      <c r="D179" s="72" t="s">
        <v>465</v>
      </c>
      <c r="E179" s="259">
        <f>E177/E169</f>
        <v>6.2560975609756095</v>
      </c>
      <c r="H179" s="264"/>
    </row>
    <row r="180" spans="4:8" x14ac:dyDescent="0.2">
      <c r="E180" s="259"/>
    </row>
    <row r="181" spans="4:8" x14ac:dyDescent="0.2">
      <c r="D181" s="72" t="s">
        <v>466</v>
      </c>
      <c r="E181" s="259">
        <v>1.3</v>
      </c>
      <c r="G181" s="264"/>
    </row>
    <row r="182" spans="4:8" x14ac:dyDescent="0.2">
      <c r="D182" s="72" t="s">
        <v>467</v>
      </c>
      <c r="E182" s="312">
        <v>1</v>
      </c>
      <c r="G182" s="264"/>
    </row>
    <row r="183" spans="4:8" x14ac:dyDescent="0.2">
      <c r="E183" s="259">
        <f>SUM(E179:E182)</f>
        <v>8.5560975609756085</v>
      </c>
    </row>
    <row r="184" spans="4:8" x14ac:dyDescent="0.2">
      <c r="D184" s="72" t="s">
        <v>468</v>
      </c>
      <c r="E184" s="312">
        <f>E183*0.1</f>
        <v>0.85560975609756085</v>
      </c>
      <c r="G184" s="72" t="s">
        <v>469</v>
      </c>
    </row>
    <row r="185" spans="4:8" x14ac:dyDescent="0.2">
      <c r="D185" s="72" t="s">
        <v>470</v>
      </c>
      <c r="E185" s="313">
        <f>SUM(E183:E184)</f>
        <v>9.4117073170731693</v>
      </c>
      <c r="G185" s="111">
        <f>E185</f>
        <v>9.4117073170731693</v>
      </c>
    </row>
    <row r="186" spans="4:8" x14ac:dyDescent="0.2">
      <c r="D186" s="314" t="s">
        <v>471</v>
      </c>
      <c r="E186" s="259"/>
      <c r="G186" s="259"/>
    </row>
    <row r="187" spans="4:8" x14ac:dyDescent="0.2">
      <c r="D187" s="72" t="s">
        <v>472</v>
      </c>
      <c r="E187" s="259"/>
      <c r="F187" s="72" t="s">
        <v>473</v>
      </c>
    </row>
    <row r="188" spans="4:8" x14ac:dyDescent="0.2">
      <c r="D188">
        <v>10</v>
      </c>
      <c r="E188" s="264"/>
      <c r="F188" s="259">
        <f>G188*F167</f>
        <v>8.6666666666666661</v>
      </c>
      <c r="G188" s="259">
        <f>D188/60</f>
        <v>0.16666666666666666</v>
      </c>
    </row>
    <row r="189" spans="4:8" x14ac:dyDescent="0.2">
      <c r="D189" s="72" t="s">
        <v>474</v>
      </c>
      <c r="E189" s="259"/>
      <c r="F189">
        <f>E169/G171</f>
        <v>34.166666666666671</v>
      </c>
      <c r="G189" s="259"/>
    </row>
    <row r="190" spans="4:8" x14ac:dyDescent="0.2">
      <c r="D190" s="264"/>
      <c r="E190" s="264"/>
      <c r="F190" s="111">
        <f>F188*F189</f>
        <v>296.11111111111114</v>
      </c>
      <c r="G190" s="264"/>
    </row>
    <row r="191" spans="4:8" x14ac:dyDescent="0.2">
      <c r="D191" s="264" t="s">
        <v>475</v>
      </c>
      <c r="E191" s="111">
        <f>F190/E169</f>
        <v>3.6111111111111116</v>
      </c>
      <c r="F191" s="264"/>
      <c r="G191" s="264"/>
    </row>
    <row r="192" spans="4:8" x14ac:dyDescent="0.2">
      <c r="D192" s="72" t="s">
        <v>476</v>
      </c>
      <c r="E192" s="259"/>
      <c r="G192" s="264"/>
    </row>
    <row r="193" spans="2:12" x14ac:dyDescent="0.2">
      <c r="D193" s="72" t="s">
        <v>477</v>
      </c>
      <c r="E193" s="259"/>
      <c r="G193" s="72" t="s">
        <v>471</v>
      </c>
      <c r="H193" s="264"/>
    </row>
    <row r="194" spans="2:12" x14ac:dyDescent="0.2">
      <c r="D194" s="72">
        <v>0.16</v>
      </c>
      <c r="E194" s="259">
        <f>D194*F167</f>
        <v>8.32</v>
      </c>
      <c r="G194" s="259">
        <f>E194+E191</f>
        <v>11.931111111111111</v>
      </c>
      <c r="H194" s="264"/>
      <c r="I194" s="259"/>
    </row>
    <row r="195" spans="2:12" ht="15.75" thickBot="1" x14ac:dyDescent="0.3">
      <c r="D195" s="308" t="s">
        <v>34</v>
      </c>
      <c r="E195" s="315">
        <f>SUM(E185:E194)</f>
        <v>21.34281842818428</v>
      </c>
      <c r="F195" s="308" t="s">
        <v>478</v>
      </c>
      <c r="G195" s="113">
        <f>SUM(G194*E169)/F167</f>
        <v>18.814444444444444</v>
      </c>
      <c r="H195" s="285" t="s">
        <v>479</v>
      </c>
      <c r="I195" s="259"/>
    </row>
    <row r="196" spans="2:12" x14ac:dyDescent="0.2">
      <c r="D196" s="72"/>
      <c r="E196" s="312"/>
      <c r="I196" s="259"/>
    </row>
    <row r="197" spans="2:12" x14ac:dyDescent="0.2">
      <c r="D197" s="72" t="s">
        <v>481</v>
      </c>
      <c r="E197">
        <v>2.5</v>
      </c>
    </row>
    <row r="198" spans="2:12" x14ac:dyDescent="0.2">
      <c r="E198" s="259">
        <f>SUM(E195,E197)</f>
        <v>23.84281842818428</v>
      </c>
    </row>
    <row r="205" spans="2:12" x14ac:dyDescent="0.2">
      <c r="B205" s="317"/>
      <c r="C205" s="317"/>
      <c r="D205" s="317"/>
      <c r="E205" s="317"/>
      <c r="F205" s="317"/>
      <c r="G205" s="317"/>
      <c r="H205" s="317"/>
      <c r="I205" s="317"/>
      <c r="J205" s="317"/>
      <c r="K205" s="317"/>
      <c r="L205" s="317"/>
    </row>
    <row r="206" spans="2:12" x14ac:dyDescent="0.2">
      <c r="C206" s="262" t="s">
        <v>482</v>
      </c>
      <c r="D206" s="263">
        <v>0.4</v>
      </c>
      <c r="E206" s="262" t="s">
        <v>391</v>
      </c>
      <c r="F206" s="264"/>
      <c r="G206" s="264"/>
      <c r="H206" s="264"/>
    </row>
    <row r="207" spans="2:12" x14ac:dyDescent="0.2">
      <c r="C207" s="264"/>
      <c r="D207" s="264"/>
      <c r="E207" s="264"/>
      <c r="F207" s="264"/>
      <c r="G207" s="264"/>
      <c r="H207" s="264"/>
      <c r="L207" s="72"/>
    </row>
    <row r="208" spans="2:12" ht="15" x14ac:dyDescent="0.25">
      <c r="C208" s="265" t="s">
        <v>393</v>
      </c>
      <c r="D208" s="264"/>
      <c r="E208" s="266" t="s">
        <v>394</v>
      </c>
      <c r="F208" s="266" t="s">
        <v>395</v>
      </c>
      <c r="G208" s="266" t="s">
        <v>396</v>
      </c>
      <c r="H208" s="266" t="s">
        <v>397</v>
      </c>
      <c r="I208" s="267" t="s">
        <v>398</v>
      </c>
    </row>
    <row r="209" spans="2:9" ht="15" x14ac:dyDescent="0.25">
      <c r="C209" s="264"/>
      <c r="D209" s="265" t="s">
        <v>399</v>
      </c>
      <c r="E209" s="263">
        <v>7</v>
      </c>
      <c r="F209" s="318">
        <v>4.4000000000000004</v>
      </c>
      <c r="G209" s="319">
        <f>SUM(E219*F209)</f>
        <v>81.400000000000006</v>
      </c>
      <c r="H209" s="262">
        <f>E209*2</f>
        <v>14</v>
      </c>
      <c r="I209" s="285">
        <f>E209*F209</f>
        <v>30.800000000000004</v>
      </c>
    </row>
    <row r="210" spans="2:9" x14ac:dyDescent="0.2">
      <c r="B210" t="s">
        <v>400</v>
      </c>
      <c r="C210" s="264" t="s">
        <v>483</v>
      </c>
      <c r="D210" s="272">
        <f>T13</f>
        <v>4.71</v>
      </c>
      <c r="E210" s="264">
        <v>55</v>
      </c>
      <c r="F210" s="264"/>
      <c r="G210" s="264"/>
      <c r="H210" s="264"/>
    </row>
    <row r="211" spans="2:9" x14ac:dyDescent="0.2">
      <c r="C211" s="264" t="s">
        <v>401</v>
      </c>
      <c r="D211" s="203">
        <f>G212/G209</f>
        <v>1.1179361179361178</v>
      </c>
      <c r="E211" s="273">
        <v>6.5</v>
      </c>
      <c r="F211" s="264" t="s">
        <v>116</v>
      </c>
      <c r="G211" s="274">
        <f>SUM(E211*E209)</f>
        <v>45.5</v>
      </c>
      <c r="H211" s="264"/>
    </row>
    <row r="212" spans="2:9" x14ac:dyDescent="0.2">
      <c r="C212" s="264"/>
      <c r="D212" s="275"/>
      <c r="E212" s="264" t="s">
        <v>402</v>
      </c>
      <c r="F212" s="268">
        <v>2</v>
      </c>
      <c r="G212" s="276">
        <f>F212*G211</f>
        <v>91</v>
      </c>
      <c r="H212" s="264"/>
    </row>
    <row r="213" spans="2:9" x14ac:dyDescent="0.2">
      <c r="C213" s="264"/>
      <c r="D213" s="275"/>
      <c r="E213" s="264"/>
      <c r="F213" s="266"/>
      <c r="G213" s="266"/>
      <c r="H213" s="266"/>
    </row>
    <row r="214" spans="2:9" x14ac:dyDescent="0.2">
      <c r="C214" s="264" t="s">
        <v>403</v>
      </c>
      <c r="D214" s="275">
        <v>0.09</v>
      </c>
      <c r="E214" s="264"/>
      <c r="F214" s="264"/>
      <c r="G214" s="264"/>
      <c r="H214" s="264"/>
    </row>
    <row r="215" spans="2:9" x14ac:dyDescent="0.2">
      <c r="E215" s="264"/>
      <c r="F215" s="264"/>
      <c r="G215" s="264"/>
      <c r="H215" s="264"/>
    </row>
    <row r="216" spans="2:9" x14ac:dyDescent="0.2">
      <c r="C216" s="265" t="s">
        <v>404</v>
      </c>
      <c r="D216" s="277"/>
      <c r="E216" s="264"/>
      <c r="F216" s="264"/>
      <c r="G216" s="264"/>
      <c r="H216" s="264"/>
    </row>
    <row r="217" spans="2:9" x14ac:dyDescent="0.2">
      <c r="C217" s="264" t="s">
        <v>405</v>
      </c>
      <c r="D217" s="277"/>
      <c r="E217" s="264"/>
      <c r="F217" s="264"/>
      <c r="G217" s="264"/>
      <c r="H217" s="264"/>
    </row>
    <row r="218" spans="2:9" x14ac:dyDescent="0.2">
      <c r="C218" s="262" t="s">
        <v>406</v>
      </c>
      <c r="D218" s="264"/>
      <c r="E218" s="278">
        <f>SUM(E209/D206)</f>
        <v>17.5</v>
      </c>
      <c r="F218" s="264"/>
      <c r="G218" s="264"/>
      <c r="H218" s="264"/>
    </row>
    <row r="219" spans="2:9" x14ac:dyDescent="0.2">
      <c r="C219" s="264" t="s">
        <v>407</v>
      </c>
      <c r="D219" s="277"/>
      <c r="E219" s="279">
        <f>E218+1</f>
        <v>18.5</v>
      </c>
      <c r="F219" s="264" t="s">
        <v>408</v>
      </c>
      <c r="G219" s="264"/>
      <c r="H219" s="264"/>
    </row>
    <row r="220" spans="2:9" x14ac:dyDescent="0.2">
      <c r="C220" s="262" t="s">
        <v>409</v>
      </c>
      <c r="D220" s="264"/>
      <c r="E220" s="278">
        <f>SUM(E219*4)</f>
        <v>74</v>
      </c>
      <c r="F220" s="264" t="s">
        <v>410</v>
      </c>
      <c r="G220" s="320">
        <v>1.4999999999999999E-2</v>
      </c>
      <c r="H220" s="280"/>
    </row>
    <row r="221" spans="2:9" x14ac:dyDescent="0.2">
      <c r="C221" s="264" t="s">
        <v>484</v>
      </c>
      <c r="D221" s="281">
        <f>SUM(E220*G220)/G209</f>
        <v>1.3636363636363634E-2</v>
      </c>
      <c r="E221" s="282" t="s">
        <v>412</v>
      </c>
      <c r="F221" s="264"/>
      <c r="G221" s="264"/>
      <c r="H221" s="264"/>
    </row>
    <row r="222" spans="2:9" x14ac:dyDescent="0.2">
      <c r="C222" s="264"/>
      <c r="D222" s="265"/>
      <c r="E222" s="264"/>
      <c r="F222" s="264"/>
      <c r="G222" s="264"/>
      <c r="H222" s="264"/>
    </row>
    <row r="223" spans="2:9" x14ac:dyDescent="0.2">
      <c r="C223" s="264"/>
      <c r="D223" s="283">
        <f>SUM(D210:D222)</f>
        <v>5.9315724815724815</v>
      </c>
      <c r="E223" s="264"/>
      <c r="F223" s="264"/>
      <c r="G223" s="264"/>
      <c r="H223" s="264"/>
    </row>
    <row r="224" spans="2:9" x14ac:dyDescent="0.2">
      <c r="C224" s="264" t="s">
        <v>413</v>
      </c>
      <c r="D224" s="284">
        <f>SUM(D223*0.05)</f>
        <v>0.29657862407862406</v>
      </c>
      <c r="E224" s="264"/>
      <c r="F224" s="264"/>
      <c r="G224" s="264"/>
      <c r="H224" s="264"/>
    </row>
    <row r="225" spans="2:12" ht="15" x14ac:dyDescent="0.25">
      <c r="C225" s="264"/>
      <c r="D225" s="112">
        <f>SUM(D223:D224)</f>
        <v>6.2281511056511052</v>
      </c>
      <c r="E225" s="264"/>
      <c r="F225" s="264"/>
      <c r="G225" s="264"/>
      <c r="H225" s="111"/>
      <c r="I225" s="113"/>
      <c r="J225" s="285"/>
    </row>
    <row r="226" spans="2:12" x14ac:dyDescent="0.2">
      <c r="B226" t="s">
        <v>414</v>
      </c>
      <c r="C226" s="265" t="s">
        <v>415</v>
      </c>
      <c r="D226" s="264"/>
      <c r="E226" s="262" t="s">
        <v>416</v>
      </c>
      <c r="F226" s="264"/>
      <c r="G226" s="264"/>
      <c r="H226" s="264"/>
    </row>
    <row r="227" spans="2:12" x14ac:dyDescent="0.2">
      <c r="C227" s="265" t="s">
        <v>417</v>
      </c>
      <c r="D227" s="264"/>
      <c r="E227" s="286">
        <v>55</v>
      </c>
      <c r="F227" s="264"/>
      <c r="G227" s="264"/>
      <c r="H227" s="264"/>
    </row>
    <row r="228" spans="2:12" x14ac:dyDescent="0.2">
      <c r="C228" s="111">
        <v>20</v>
      </c>
      <c r="D228" s="287">
        <f>E227/C228</f>
        <v>2.75</v>
      </c>
      <c r="E228" s="264"/>
      <c r="F228" s="264"/>
      <c r="G228" s="264"/>
      <c r="H228" s="264"/>
      <c r="J228" s="203"/>
    </row>
    <row r="229" spans="2:12" ht="15" x14ac:dyDescent="0.25">
      <c r="C229" s="264"/>
      <c r="D229" s="112">
        <f>SUM(D225:D228)</f>
        <v>8.9781511056511043</v>
      </c>
      <c r="E229" s="264"/>
      <c r="F229" s="264"/>
      <c r="G229" s="264"/>
      <c r="H229" s="288"/>
      <c r="J229" s="288"/>
    </row>
    <row r="230" spans="2:12" ht="15" x14ac:dyDescent="0.25">
      <c r="H230" s="274"/>
      <c r="J230" s="288"/>
    </row>
    <row r="231" spans="2:12" ht="15" x14ac:dyDescent="0.25">
      <c r="C231" s="265" t="s">
        <v>420</v>
      </c>
      <c r="D231" s="264"/>
      <c r="H231" s="264"/>
      <c r="I231" s="288" t="s">
        <v>418</v>
      </c>
      <c r="K231" s="288"/>
      <c r="L231" s="72" t="s">
        <v>419</v>
      </c>
    </row>
    <row r="232" spans="2:12" ht="15" x14ac:dyDescent="0.25">
      <c r="C232" s="289">
        <v>0.05</v>
      </c>
      <c r="D232" s="287">
        <f>D229*C232</f>
        <v>0.44890755528255522</v>
      </c>
      <c r="E232" s="264"/>
      <c r="F232" s="264"/>
      <c r="G232" s="264"/>
      <c r="H232" s="274"/>
      <c r="I232" s="274">
        <f>D234-I234</f>
        <v>3.2934075552825544</v>
      </c>
      <c r="K232" s="288">
        <f>G209*I232</f>
        <v>268.08337499999993</v>
      </c>
      <c r="L232" s="203">
        <f>K232/I209</f>
        <v>8.7040056818181792</v>
      </c>
    </row>
    <row r="233" spans="2:12" x14ac:dyDescent="0.2">
      <c r="E233" s="264"/>
      <c r="F233" s="264"/>
      <c r="G233" s="264"/>
      <c r="H233" s="274"/>
      <c r="I233" s="264" t="s">
        <v>421</v>
      </c>
    </row>
    <row r="234" spans="2:12" x14ac:dyDescent="0.2">
      <c r="C234" s="264"/>
      <c r="D234" s="290">
        <f>SUM(D229:D232)</f>
        <v>9.4270586609336604</v>
      </c>
      <c r="E234" s="262" t="s">
        <v>422</v>
      </c>
      <c r="F234" s="264"/>
      <c r="G234" s="264"/>
      <c r="I234" s="274">
        <f>SUM(D210,D211,D221)*1.05</f>
        <v>6.1336511056511061</v>
      </c>
      <c r="K234" s="203">
        <f>G209*I234</f>
        <v>499.27920000000006</v>
      </c>
      <c r="L234" s="203">
        <f>K234/I209</f>
        <v>16.210363636363635</v>
      </c>
    </row>
    <row r="235" spans="2:12" x14ac:dyDescent="0.2">
      <c r="C235" s="291" t="s">
        <v>423</v>
      </c>
      <c r="D235" s="292"/>
      <c r="E235" s="293">
        <f>D234*G209</f>
        <v>767.36257499999999</v>
      </c>
      <c r="F235" s="264"/>
      <c r="G235" s="264"/>
      <c r="K235" s="203"/>
    </row>
    <row r="236" spans="2:12" x14ac:dyDescent="0.2">
      <c r="C236" s="264"/>
      <c r="D236" s="265"/>
      <c r="E236" s="264"/>
      <c r="F236" s="264"/>
      <c r="G236" s="264"/>
    </row>
    <row r="237" spans="2:12" x14ac:dyDescent="0.2">
      <c r="B237" t="s">
        <v>425</v>
      </c>
      <c r="C237" s="72" t="s">
        <v>490</v>
      </c>
      <c r="D237" s="272">
        <f>I239</f>
        <v>4.28</v>
      </c>
      <c r="E237" s="111"/>
      <c r="F237" s="276">
        <f>T10</f>
        <v>5.67</v>
      </c>
      <c r="G237" s="276">
        <f>T12</f>
        <v>2.89</v>
      </c>
      <c r="H237" s="264"/>
    </row>
    <row r="238" spans="2:12" x14ac:dyDescent="0.2">
      <c r="C238" s="264" t="s">
        <v>428</v>
      </c>
      <c r="D238" s="321">
        <v>0.31</v>
      </c>
      <c r="E238" s="264"/>
      <c r="F238" s="295" t="s">
        <v>426</v>
      </c>
      <c r="G238" s="264" t="s">
        <v>445</v>
      </c>
      <c r="H238" s="266"/>
      <c r="I238" t="s">
        <v>427</v>
      </c>
    </row>
    <row r="239" spans="2:12" ht="15" x14ac:dyDescent="0.25">
      <c r="C239" s="264" t="s">
        <v>403</v>
      </c>
      <c r="D239" s="275">
        <v>0.09</v>
      </c>
      <c r="E239" s="264"/>
      <c r="F239" s="302">
        <f>T10</f>
        <v>5.67</v>
      </c>
      <c r="G239" s="302">
        <f>T12</f>
        <v>2.89</v>
      </c>
      <c r="H239" s="303">
        <f>SUM(F239:G239)</f>
        <v>8.56</v>
      </c>
      <c r="I239" s="304">
        <f>H239/2</f>
        <v>4.28</v>
      </c>
    </row>
    <row r="240" spans="2:12" x14ac:dyDescent="0.2">
      <c r="C240" s="264"/>
      <c r="E240" s="264"/>
      <c r="F240" s="264"/>
      <c r="G240" s="264"/>
      <c r="H240" s="264"/>
    </row>
    <row r="241" spans="2:15" x14ac:dyDescent="0.2">
      <c r="C241" s="265" t="s">
        <v>429</v>
      </c>
      <c r="F241" s="264"/>
      <c r="G241" s="264"/>
      <c r="H241" s="280"/>
    </row>
    <row r="242" spans="2:15" x14ac:dyDescent="0.2">
      <c r="C242" s="264" t="s">
        <v>430</v>
      </c>
      <c r="D242" s="264"/>
      <c r="E242" s="278">
        <f>E209/0.6</f>
        <v>11.666666666666668</v>
      </c>
      <c r="F242" s="264"/>
      <c r="G242" s="264"/>
      <c r="H242" s="264"/>
    </row>
    <row r="243" spans="2:15" x14ac:dyDescent="0.2">
      <c r="C243" s="264" t="s">
        <v>431</v>
      </c>
      <c r="D243" s="264"/>
      <c r="E243" s="278">
        <f>E242</f>
        <v>11.666666666666668</v>
      </c>
      <c r="F243" s="264" t="s">
        <v>432</v>
      </c>
      <c r="G243" s="280">
        <v>1.7</v>
      </c>
    </row>
    <row r="244" spans="2:15" x14ac:dyDescent="0.2">
      <c r="C244" s="264"/>
      <c r="D244" s="281">
        <f>SUM(E243*G243)/H209</f>
        <v>1.4166666666666667</v>
      </c>
      <c r="E244" s="282" t="s">
        <v>412</v>
      </c>
      <c r="F244" s="264"/>
      <c r="G244" s="264"/>
      <c r="I244" s="259"/>
    </row>
    <row r="245" spans="2:15" x14ac:dyDescent="0.2">
      <c r="C245" s="264"/>
      <c r="D245" s="281"/>
      <c r="E245" s="282"/>
      <c r="F245" s="264"/>
      <c r="G245" s="264"/>
      <c r="H245" s="264"/>
      <c r="J245" s="203"/>
    </row>
    <row r="246" spans="2:15" ht="15" x14ac:dyDescent="0.25">
      <c r="C246" s="264"/>
      <c r="D246" s="283">
        <f>SUM(D237:D244)</f>
        <v>6.0966666666666667</v>
      </c>
      <c r="E246" s="264"/>
      <c r="F246" s="264"/>
      <c r="G246" s="264"/>
      <c r="H246" s="288"/>
      <c r="J246" s="288"/>
    </row>
    <row r="247" spans="2:15" ht="15" x14ac:dyDescent="0.25">
      <c r="C247" s="264" t="s">
        <v>413</v>
      </c>
      <c r="D247" s="284">
        <f>SUM(D246*0.05)</f>
        <v>0.30483333333333335</v>
      </c>
      <c r="E247" s="264"/>
      <c r="F247" s="264"/>
      <c r="G247" s="264"/>
      <c r="H247" s="274"/>
      <c r="J247" s="288"/>
    </row>
    <row r="248" spans="2:15" x14ac:dyDescent="0.2">
      <c r="C248" s="264"/>
      <c r="D248" s="112">
        <f>SUM(D246:D247)</f>
        <v>6.4015000000000004</v>
      </c>
      <c r="E248" s="264"/>
      <c r="F248" s="264"/>
      <c r="G248" s="264"/>
      <c r="H248" s="264"/>
    </row>
    <row r="249" spans="2:15" x14ac:dyDescent="0.2">
      <c r="B249" t="s">
        <v>425</v>
      </c>
      <c r="C249" s="265" t="s">
        <v>415</v>
      </c>
      <c r="D249" s="264"/>
      <c r="E249" s="262" t="s">
        <v>416</v>
      </c>
      <c r="F249" s="264"/>
      <c r="G249" s="264"/>
      <c r="H249" s="281"/>
    </row>
    <row r="250" spans="2:15" ht="15" x14ac:dyDescent="0.25">
      <c r="C250" s="72" t="s">
        <v>417</v>
      </c>
      <c r="E250" s="286">
        <v>55</v>
      </c>
      <c r="F250" s="264"/>
      <c r="G250" s="264"/>
      <c r="H250" s="281"/>
      <c r="I250" s="288" t="s">
        <v>418</v>
      </c>
      <c r="K250" s="288"/>
      <c r="L250" s="72" t="s">
        <v>419</v>
      </c>
    </row>
    <row r="251" spans="2:15" ht="15" x14ac:dyDescent="0.25">
      <c r="C251" s="259">
        <v>4</v>
      </c>
      <c r="D251" s="296">
        <f>E250/C251</f>
        <v>13.75</v>
      </c>
      <c r="F251" s="264"/>
      <c r="G251" s="264"/>
      <c r="I251" s="274">
        <f>D255-I253</f>
        <v>14.852074999999997</v>
      </c>
      <c r="K251" s="288">
        <f>H209*I251</f>
        <v>207.92904999999996</v>
      </c>
      <c r="L251" s="203">
        <f>K251/I209</f>
        <v>6.7509431818181795</v>
      </c>
    </row>
    <row r="252" spans="2:15" x14ac:dyDescent="0.2">
      <c r="C252" s="264"/>
      <c r="D252" s="112">
        <f>SUM(D248:D251)</f>
        <v>20.151499999999999</v>
      </c>
      <c r="E252" s="264"/>
      <c r="F252" s="264"/>
      <c r="G252" s="264"/>
      <c r="H252" s="264"/>
      <c r="I252" s="264" t="s">
        <v>421</v>
      </c>
    </row>
    <row r="253" spans="2:15" x14ac:dyDescent="0.2">
      <c r="C253" s="265" t="s">
        <v>420</v>
      </c>
      <c r="D253" s="264"/>
      <c r="E253" s="264"/>
      <c r="F253" s="264"/>
      <c r="G253" s="264"/>
      <c r="I253" s="274">
        <f>SUM(D237,D238,D244)*1.05</f>
        <v>6.3070000000000004</v>
      </c>
      <c r="K253" s="203">
        <f>I253*H209</f>
        <v>88.298000000000002</v>
      </c>
      <c r="L253" s="203">
        <f>K253/I209</f>
        <v>2.8668181818181813</v>
      </c>
    </row>
    <row r="254" spans="2:15" ht="15" x14ac:dyDescent="0.25">
      <c r="C254" s="289">
        <v>0.05</v>
      </c>
      <c r="D254" s="287">
        <f>D252*C254</f>
        <v>1.0075749999999999</v>
      </c>
      <c r="E254" s="264"/>
      <c r="F254" s="264"/>
      <c r="G254" s="264"/>
      <c r="I254" s="285"/>
      <c r="J254" s="285"/>
      <c r="K254" s="203"/>
    </row>
    <row r="255" spans="2:15" ht="15" x14ac:dyDescent="0.25">
      <c r="C255" s="264"/>
      <c r="D255" s="290">
        <f>SUM(D252:D254)</f>
        <v>21.159074999999998</v>
      </c>
      <c r="E255" s="262" t="s">
        <v>422</v>
      </c>
      <c r="F255" s="264"/>
      <c r="G255" s="264"/>
      <c r="I255" s="298"/>
      <c r="J255" s="298"/>
    </row>
    <row r="256" spans="2:15" x14ac:dyDescent="0.2">
      <c r="C256" s="291" t="s">
        <v>433</v>
      </c>
      <c r="D256" s="297"/>
      <c r="E256" s="293">
        <f>SUM(D255*H209)</f>
        <v>296.22704999999996</v>
      </c>
      <c r="F256" s="264"/>
      <c r="G256" s="264"/>
      <c r="M256" s="72" t="s">
        <v>436</v>
      </c>
      <c r="N256" s="203">
        <f>SUM(L232,L251)</f>
        <v>15.454948863636359</v>
      </c>
      <c r="O256" s="299">
        <f>N256/E250</f>
        <v>0.2809990702479338</v>
      </c>
    </row>
    <row r="257" spans="2:14" ht="15" x14ac:dyDescent="0.25">
      <c r="C257" t="s">
        <v>434</v>
      </c>
      <c r="E257" s="259">
        <f>SUM(E235+E256)</f>
        <v>1063.5896250000001</v>
      </c>
      <c r="F257" t="s">
        <v>435</v>
      </c>
      <c r="H257" s="285" t="s">
        <v>485</v>
      </c>
      <c r="M257" s="72" t="s">
        <v>438</v>
      </c>
      <c r="N257" s="203">
        <f>SUM(L234,L253)</f>
        <v>19.077181818181817</v>
      </c>
    </row>
    <row r="258" spans="2:14" ht="15.75" thickBot="1" x14ac:dyDescent="0.3">
      <c r="E258" s="300">
        <f>SUM(E257/I209)</f>
        <v>34.532130681818181</v>
      </c>
      <c r="F258" s="285" t="s">
        <v>151</v>
      </c>
      <c r="G258" t="s">
        <v>486</v>
      </c>
      <c r="H258" s="259">
        <f>SUM(G209/15)</f>
        <v>5.4266666666666667</v>
      </c>
    </row>
    <row r="259" spans="2:14" ht="15.75" thickTop="1" x14ac:dyDescent="0.25">
      <c r="E259" s="301">
        <f>E257/E209</f>
        <v>151.94137500000002</v>
      </c>
      <c r="F259" s="285" t="s">
        <v>116</v>
      </c>
      <c r="G259" t="s">
        <v>487</v>
      </c>
      <c r="H259" s="259">
        <f>H209/4</f>
        <v>3.5</v>
      </c>
      <c r="I259" t="s">
        <v>488</v>
      </c>
    </row>
    <row r="260" spans="2:14" x14ac:dyDescent="0.2">
      <c r="C260" t="s">
        <v>437</v>
      </c>
      <c r="E260" s="203">
        <f>I255</f>
        <v>0</v>
      </c>
      <c r="F260" t="s">
        <v>151</v>
      </c>
      <c r="H260" s="259">
        <f>SUM(H258:H259)</f>
        <v>8.9266666666666659</v>
      </c>
      <c r="I260" s="259">
        <f>H260*50</f>
        <v>446.33333333333331</v>
      </c>
    </row>
    <row r="261" spans="2:14" x14ac:dyDescent="0.2">
      <c r="C261" t="s">
        <v>439</v>
      </c>
      <c r="E261" s="203">
        <f>E258-E260</f>
        <v>34.532130681818181</v>
      </c>
      <c r="F261" t="s">
        <v>151</v>
      </c>
      <c r="G261" t="s">
        <v>489</v>
      </c>
      <c r="H261" s="259">
        <f>SUM(I209/H260)*9</f>
        <v>31.053024645257665</v>
      </c>
    </row>
    <row r="265" spans="2:14" x14ac:dyDescent="0.2">
      <c r="B265" s="261"/>
      <c r="C265" s="261"/>
      <c r="D265" s="261"/>
      <c r="E265" s="261"/>
      <c r="F265" s="261"/>
      <c r="G265" s="261"/>
      <c r="H265" s="261"/>
      <c r="I265" s="261"/>
      <c r="J265" s="261"/>
      <c r="K265" s="261"/>
      <c r="L265" s="261"/>
    </row>
    <row r="275" spans="2:9" x14ac:dyDescent="0.2">
      <c r="B275" s="72"/>
      <c r="C275" s="72"/>
      <c r="D275" s="72"/>
      <c r="E275" s="72"/>
      <c r="F275" s="72"/>
      <c r="G275" s="72"/>
      <c r="H275" s="72"/>
      <c r="I275" s="72"/>
    </row>
    <row r="276" spans="2:9" x14ac:dyDescent="0.2">
      <c r="B276" s="322"/>
      <c r="C276" s="323" t="s">
        <v>491</v>
      </c>
      <c r="D276" s="324"/>
      <c r="E276" s="325"/>
      <c r="F276" s="326"/>
      <c r="G276" s="327"/>
      <c r="H276" s="264"/>
      <c r="I276" s="264" t="s">
        <v>454</v>
      </c>
    </row>
    <row r="277" spans="2:9" x14ac:dyDescent="0.2">
      <c r="B277" s="328"/>
      <c r="C277" s="329" t="s">
        <v>492</v>
      </c>
      <c r="D277" s="330"/>
      <c r="E277" s="331"/>
      <c r="F277" s="332"/>
      <c r="G277" s="333">
        <v>60</v>
      </c>
      <c r="H277" s="264"/>
      <c r="I277" s="264"/>
    </row>
    <row r="278" spans="2:9" x14ac:dyDescent="0.2">
      <c r="B278" s="334"/>
      <c r="C278" s="329" t="s">
        <v>493</v>
      </c>
      <c r="D278" s="335">
        <v>2.9</v>
      </c>
      <c r="E278" s="331" t="s">
        <v>116</v>
      </c>
      <c r="F278" s="332">
        <v>5.23</v>
      </c>
      <c r="G278" s="333">
        <f>+D278*F278</f>
        <v>15.167000000000002</v>
      </c>
      <c r="H278" s="264"/>
      <c r="I278" s="336">
        <f>SUM(G277:G283)</f>
        <v>85.167000000000002</v>
      </c>
    </row>
    <row r="279" spans="2:9" x14ac:dyDescent="0.2">
      <c r="B279" s="334"/>
      <c r="C279" s="329" t="s">
        <v>494</v>
      </c>
      <c r="D279" s="337">
        <v>1</v>
      </c>
      <c r="E279" s="331"/>
      <c r="F279" s="332"/>
      <c r="G279" s="333"/>
      <c r="H279" s="264"/>
      <c r="I279" s="336"/>
    </row>
    <row r="280" spans="2:9" ht="25.5" x14ac:dyDescent="0.2">
      <c r="B280" s="334"/>
      <c r="C280" s="329" t="s">
        <v>495</v>
      </c>
      <c r="D280" s="335"/>
      <c r="E280" s="331"/>
      <c r="F280" s="332"/>
      <c r="G280" s="333"/>
      <c r="H280" s="264"/>
      <c r="I280" s="336"/>
    </row>
    <row r="281" spans="2:9" x14ac:dyDescent="0.2">
      <c r="B281" s="334"/>
      <c r="C281" s="329"/>
      <c r="D281" s="335"/>
      <c r="E281" s="331"/>
      <c r="F281" s="332"/>
      <c r="G281" s="333"/>
      <c r="H281" s="264"/>
      <c r="I281" s="336"/>
    </row>
    <row r="282" spans="2:9" x14ac:dyDescent="0.2">
      <c r="B282" s="334"/>
      <c r="C282" s="329"/>
      <c r="D282" s="335"/>
      <c r="E282" s="331"/>
      <c r="F282" s="332"/>
      <c r="G282" s="333"/>
      <c r="H282" s="264"/>
      <c r="I282" s="336"/>
    </row>
    <row r="283" spans="2:9" x14ac:dyDescent="0.2">
      <c r="B283" s="328"/>
      <c r="C283" s="329" t="s">
        <v>404</v>
      </c>
      <c r="D283" s="330"/>
      <c r="E283" s="331"/>
      <c r="F283" s="332"/>
      <c r="G283" s="333">
        <v>10</v>
      </c>
      <c r="H283" s="264"/>
      <c r="I283" s="264" t="s">
        <v>496</v>
      </c>
    </row>
    <row r="284" spans="2:9" x14ac:dyDescent="0.2">
      <c r="B284" s="328"/>
      <c r="C284" s="329" t="s">
        <v>497</v>
      </c>
      <c r="D284" s="338">
        <v>0.75</v>
      </c>
      <c r="E284" s="331" t="s">
        <v>498</v>
      </c>
      <c r="F284" s="332">
        <v>50</v>
      </c>
      <c r="G284" s="333">
        <f>+D284*F284</f>
        <v>37.5</v>
      </c>
      <c r="H284" s="264"/>
      <c r="I284" s="336">
        <f>G284</f>
        <v>37.5</v>
      </c>
    </row>
    <row r="285" spans="2:9" x14ac:dyDescent="0.2">
      <c r="B285" s="339"/>
      <c r="C285" s="340"/>
      <c r="D285" s="341"/>
      <c r="E285" s="342"/>
      <c r="F285" s="343"/>
      <c r="G285" s="344">
        <f>SUM(G277:G284)</f>
        <v>122.667</v>
      </c>
      <c r="H285" s="264"/>
      <c r="I285" s="264"/>
    </row>
    <row r="286" spans="2:9" x14ac:dyDescent="0.2">
      <c r="B286" s="345"/>
      <c r="C286" s="346"/>
      <c r="D286" s="347"/>
      <c r="E286" s="346"/>
      <c r="F286" s="346"/>
      <c r="G286" s="346"/>
      <c r="H286" s="346"/>
      <c r="I286" s="346"/>
    </row>
    <row r="288" spans="2:9" x14ac:dyDescent="0.2">
      <c r="B288" s="72"/>
      <c r="C288" s="72"/>
      <c r="D288" s="72"/>
      <c r="E288" s="72"/>
      <c r="F288" s="72"/>
      <c r="G288" s="72"/>
      <c r="H288" s="72"/>
      <c r="I288" s="72"/>
    </row>
    <row r="289" spans="2:9" x14ac:dyDescent="0.2">
      <c r="B289" s="322"/>
      <c r="C289" s="323" t="s">
        <v>491</v>
      </c>
      <c r="D289" s="324"/>
      <c r="E289" s="325"/>
      <c r="F289" s="326"/>
      <c r="G289" s="327"/>
      <c r="H289" s="264"/>
      <c r="I289" s="264" t="s">
        <v>454</v>
      </c>
    </row>
    <row r="290" spans="2:9" x14ac:dyDescent="0.2">
      <c r="B290" s="328"/>
      <c r="C290" s="329" t="s">
        <v>492</v>
      </c>
      <c r="D290" s="330"/>
      <c r="E290" s="331"/>
      <c r="F290" s="332"/>
      <c r="G290" s="333">
        <v>60</v>
      </c>
      <c r="H290" s="264"/>
      <c r="I290" s="264"/>
    </row>
    <row r="291" spans="2:9" x14ac:dyDescent="0.2">
      <c r="B291" s="334"/>
      <c r="C291" s="329" t="s">
        <v>493</v>
      </c>
      <c r="D291" s="335">
        <v>3.96</v>
      </c>
      <c r="E291" s="331" t="s">
        <v>116</v>
      </c>
      <c r="F291" s="332">
        <v>5.23</v>
      </c>
      <c r="G291" s="333">
        <f>+D291*F291</f>
        <v>20.710800000000003</v>
      </c>
      <c r="H291" s="264"/>
      <c r="I291" s="336">
        <f>SUM(G290:G296)</f>
        <v>90.710800000000006</v>
      </c>
    </row>
    <row r="292" spans="2:9" x14ac:dyDescent="0.2">
      <c r="B292" s="334"/>
      <c r="C292" s="329" t="s">
        <v>494</v>
      </c>
      <c r="D292" s="337">
        <v>1</v>
      </c>
      <c r="E292" s="331"/>
      <c r="F292" s="332"/>
      <c r="G292" s="333"/>
      <c r="H292" s="264"/>
      <c r="I292" s="336"/>
    </row>
    <row r="293" spans="2:9" ht="25.5" x14ac:dyDescent="0.2">
      <c r="B293" s="334"/>
      <c r="C293" s="329" t="s">
        <v>495</v>
      </c>
      <c r="D293" s="335"/>
      <c r="E293" s="331"/>
      <c r="F293" s="332"/>
      <c r="G293" s="333"/>
      <c r="H293" s="264"/>
      <c r="I293" s="336"/>
    </row>
    <row r="294" spans="2:9" x14ac:dyDescent="0.2">
      <c r="B294" s="334"/>
      <c r="C294" s="329"/>
      <c r="D294" s="335"/>
      <c r="E294" s="331"/>
      <c r="F294" s="332"/>
      <c r="G294" s="333"/>
      <c r="H294" s="264"/>
      <c r="I294" s="336"/>
    </row>
    <row r="295" spans="2:9" x14ac:dyDescent="0.2">
      <c r="B295" s="334"/>
      <c r="C295" s="329"/>
      <c r="D295" s="335"/>
      <c r="E295" s="331"/>
      <c r="F295" s="332"/>
      <c r="G295" s="333"/>
      <c r="H295" s="264"/>
      <c r="I295" s="336"/>
    </row>
    <row r="296" spans="2:9" x14ac:dyDescent="0.2">
      <c r="B296" s="328"/>
      <c r="C296" s="329" t="s">
        <v>404</v>
      </c>
      <c r="D296" s="330"/>
      <c r="E296" s="331"/>
      <c r="F296" s="332"/>
      <c r="G296" s="333">
        <v>10</v>
      </c>
      <c r="H296" s="264"/>
      <c r="I296" s="264" t="s">
        <v>496</v>
      </c>
    </row>
    <row r="297" spans="2:9" x14ac:dyDescent="0.2">
      <c r="B297" s="328"/>
      <c r="C297" s="329" t="s">
        <v>497</v>
      </c>
      <c r="D297" s="338">
        <v>1</v>
      </c>
      <c r="E297" s="331" t="s">
        <v>498</v>
      </c>
      <c r="F297" s="332">
        <v>50</v>
      </c>
      <c r="G297" s="333">
        <f>+D297*F297</f>
        <v>50</v>
      </c>
      <c r="H297" s="264"/>
      <c r="I297" s="336">
        <f>G297</f>
        <v>50</v>
      </c>
    </row>
    <row r="298" spans="2:9" x14ac:dyDescent="0.2">
      <c r="B298" s="339"/>
      <c r="C298" s="340"/>
      <c r="D298" s="341"/>
      <c r="E298" s="342"/>
      <c r="F298" s="343"/>
      <c r="G298" s="344">
        <f>SUM(G290:G297)</f>
        <v>140.71080000000001</v>
      </c>
      <c r="H298" s="264"/>
      <c r="I298" s="264"/>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ADAD-D1B5-4F1B-AF14-6AE564578046}">
  <sheetPr>
    <pageSetUpPr fitToPage="1"/>
  </sheetPr>
  <dimension ref="A1:X136"/>
  <sheetViews>
    <sheetView topLeftCell="A55" zoomScale="85" zoomScaleNormal="85" workbookViewId="0">
      <selection activeCell="D26" sqref="D26"/>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22" width="9.140625" style="14"/>
    <col min="23" max="23" width="10.28515625" style="14" bestFit="1" customWidth="1"/>
    <col min="24"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Summary!B121</f>
        <v>Insulation</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45</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5"/>
      <c r="M13" s="110"/>
      <c r="N13" s="126"/>
      <c r="O13" s="127"/>
    </row>
    <row r="14" spans="1:17" s="72" customFormat="1" ht="14.25" x14ac:dyDescent="0.2">
      <c r="A14" s="63"/>
      <c r="B14" s="180" t="s">
        <v>352</v>
      </c>
      <c r="C14" s="64"/>
      <c r="D14" s="75"/>
      <c r="E14" s="128"/>
      <c r="F14" s="129"/>
      <c r="G14" s="129"/>
      <c r="H14" s="129"/>
      <c r="I14" s="153"/>
      <c r="J14" s="128"/>
      <c r="K14" s="128"/>
      <c r="L14" s="179"/>
      <c r="M14" s="120"/>
      <c r="N14" s="126"/>
      <c r="O14" s="127"/>
    </row>
    <row r="15" spans="1:17" s="72" customFormat="1" ht="14.25" x14ac:dyDescent="0.2">
      <c r="A15" s="63"/>
      <c r="B15" s="121"/>
      <c r="C15" s="64"/>
      <c r="D15" s="75"/>
      <c r="E15" s="128"/>
      <c r="F15" s="129"/>
      <c r="G15" s="129"/>
      <c r="H15" s="129"/>
      <c r="I15" s="153"/>
      <c r="J15" s="128"/>
      <c r="K15" s="128"/>
      <c r="L15" s="179"/>
      <c r="M15" s="120"/>
      <c r="N15" s="126"/>
      <c r="O15" s="127"/>
    </row>
    <row r="16" spans="1:17" s="72" customFormat="1" ht="15" x14ac:dyDescent="0.2">
      <c r="A16" s="63"/>
      <c r="B16" s="176" t="s">
        <v>58</v>
      </c>
      <c r="C16" s="192"/>
      <c r="D16" s="75"/>
      <c r="E16" s="128"/>
      <c r="F16" s="129"/>
      <c r="G16" s="129"/>
      <c r="H16" s="129"/>
      <c r="I16" s="153"/>
      <c r="J16" s="128"/>
      <c r="K16" s="128"/>
      <c r="L16" s="128"/>
      <c r="M16" s="120"/>
      <c r="N16" s="126"/>
      <c r="O16" s="127"/>
      <c r="P16" s="159"/>
      <c r="Q16" s="159"/>
    </row>
    <row r="17" spans="1:24" s="72" customFormat="1" ht="15" x14ac:dyDescent="0.2">
      <c r="A17" s="63"/>
      <c r="B17" s="176"/>
      <c r="C17" s="192"/>
      <c r="D17" s="75"/>
      <c r="E17" s="128"/>
      <c r="F17" s="129"/>
      <c r="G17" s="129"/>
      <c r="H17" s="129"/>
      <c r="I17" s="153"/>
      <c r="J17" s="128"/>
      <c r="K17" s="128"/>
      <c r="L17" s="128"/>
      <c r="M17" s="120"/>
      <c r="N17" s="126"/>
      <c r="O17" s="127"/>
      <c r="P17" s="159"/>
      <c r="Q17" s="159"/>
    </row>
    <row r="18" spans="1:24" s="72" customFormat="1" ht="14.25" x14ac:dyDescent="0.2">
      <c r="A18" s="63"/>
      <c r="B18" s="143" t="s">
        <v>158</v>
      </c>
      <c r="C18" s="192" t="s">
        <v>374</v>
      </c>
      <c r="D18" s="75"/>
      <c r="E18" s="128"/>
      <c r="F18" s="129"/>
      <c r="G18" s="129"/>
      <c r="H18" s="129"/>
      <c r="I18" s="153"/>
      <c r="J18" s="128"/>
      <c r="K18" s="128"/>
      <c r="L18" s="128"/>
      <c r="M18" s="120"/>
      <c r="N18" s="126"/>
      <c r="O18" s="127"/>
      <c r="P18" s="159"/>
      <c r="Q18" s="159"/>
    </row>
    <row r="19" spans="1:24" s="72" customFormat="1" ht="14.25" x14ac:dyDescent="0.2">
      <c r="A19" s="63"/>
      <c r="B19" s="143" t="s">
        <v>373</v>
      </c>
      <c r="C19" s="64">
        <v>45</v>
      </c>
      <c r="D19" s="75" t="s">
        <v>151</v>
      </c>
      <c r="E19" s="134">
        <v>0.15</v>
      </c>
      <c r="F19" s="134">
        <f>C19*E19</f>
        <v>6.75</v>
      </c>
      <c r="G19" s="134">
        <f>$H$11*E19</f>
        <v>6.75</v>
      </c>
      <c r="H19" s="135">
        <f>F19*$H$11</f>
        <v>303.75</v>
      </c>
      <c r="I19" s="152">
        <f>$X$26</f>
        <v>8.8710240963855433</v>
      </c>
      <c r="J19" s="135">
        <f>C19*I19</f>
        <v>399.19608433734948</v>
      </c>
      <c r="K19" s="136">
        <f>SUM(H19,J19)</f>
        <v>702.94608433734948</v>
      </c>
      <c r="L19" s="135">
        <f>K19/C19</f>
        <v>15.621024096385543</v>
      </c>
      <c r="M19" s="137">
        <f>C19*L19</f>
        <v>702.94608433734948</v>
      </c>
      <c r="N19" s="144">
        <v>0</v>
      </c>
      <c r="O19" s="130">
        <f>M19*N19</f>
        <v>0</v>
      </c>
      <c r="P19" s="159"/>
      <c r="Q19" s="159"/>
    </row>
    <row r="20" spans="1:24" s="72" customFormat="1" ht="14.25" x14ac:dyDescent="0.2">
      <c r="A20" s="63"/>
      <c r="B20" s="143" t="s">
        <v>372</v>
      </c>
      <c r="C20" s="608" t="s">
        <v>901</v>
      </c>
      <c r="D20" s="75"/>
      <c r="E20" s="128"/>
      <c r="F20" s="129"/>
      <c r="G20" s="129"/>
      <c r="H20" s="129"/>
      <c r="I20" s="153"/>
      <c r="J20" s="128"/>
      <c r="K20" s="128"/>
      <c r="L20" s="128"/>
      <c r="M20" s="120"/>
      <c r="N20" s="126"/>
      <c r="O20" s="127"/>
      <c r="P20" s="159"/>
      <c r="Q20" s="159"/>
    </row>
    <row r="21" spans="1:24" s="72" customFormat="1" ht="14.25" x14ac:dyDescent="0.2">
      <c r="A21" s="63"/>
      <c r="B21" s="143"/>
      <c r="C21" s="192"/>
      <c r="D21" s="75"/>
      <c r="E21" s="128"/>
      <c r="F21" s="129"/>
      <c r="G21" s="129"/>
      <c r="H21" s="129"/>
      <c r="I21" s="153"/>
      <c r="J21" s="128"/>
      <c r="K21" s="128"/>
      <c r="L21" s="128"/>
      <c r="M21" s="120"/>
      <c r="N21" s="126"/>
      <c r="O21" s="127"/>
      <c r="P21" s="159"/>
      <c r="Q21" s="159"/>
    </row>
    <row r="22" spans="1:24" s="72" customFormat="1" ht="14.25" x14ac:dyDescent="0.2">
      <c r="A22" s="63"/>
      <c r="B22" s="143"/>
      <c r="C22" s="64"/>
      <c r="D22" s="75"/>
      <c r="E22" s="134"/>
      <c r="F22" s="134"/>
      <c r="G22" s="134"/>
      <c r="H22" s="135"/>
      <c r="I22" s="152"/>
      <c r="J22" s="135"/>
      <c r="K22" s="136"/>
      <c r="L22" s="135"/>
      <c r="M22" s="137"/>
      <c r="N22" s="144"/>
      <c r="O22" s="130"/>
      <c r="P22" s="159"/>
      <c r="Q22" s="159"/>
      <c r="V22" s="72" t="s">
        <v>370</v>
      </c>
    </row>
    <row r="23" spans="1:24" s="72" customFormat="1" ht="15" x14ac:dyDescent="0.2">
      <c r="A23" s="63"/>
      <c r="B23" s="176" t="s">
        <v>59</v>
      </c>
      <c r="C23" s="64"/>
      <c r="D23" s="75"/>
      <c r="E23" s="128"/>
      <c r="F23" s="129"/>
      <c r="G23" s="129"/>
      <c r="H23" s="129"/>
      <c r="I23" s="153"/>
      <c r="J23" s="128"/>
      <c r="K23" s="128"/>
      <c r="L23" s="128"/>
      <c r="M23" s="120"/>
      <c r="N23" s="126"/>
      <c r="O23" s="127"/>
      <c r="P23" s="159"/>
      <c r="Q23" s="159"/>
      <c r="V23" s="72">
        <v>1.05</v>
      </c>
    </row>
    <row r="24" spans="1:24" s="72" customFormat="1" ht="15" x14ac:dyDescent="0.2">
      <c r="A24" s="63"/>
      <c r="B24" s="176"/>
      <c r="C24" s="64"/>
      <c r="D24" s="75"/>
      <c r="E24" s="128"/>
      <c r="F24" s="129"/>
      <c r="G24" s="129"/>
      <c r="H24" s="129"/>
      <c r="I24" s="153"/>
      <c r="J24" s="128"/>
      <c r="K24" s="128"/>
      <c r="L24" s="128"/>
      <c r="M24" s="120"/>
      <c r="N24" s="126"/>
      <c r="O24" s="127"/>
      <c r="P24" s="159"/>
      <c r="Q24" s="159"/>
    </row>
    <row r="25" spans="1:24" s="72" customFormat="1" ht="14.25" x14ac:dyDescent="0.2">
      <c r="A25" s="63"/>
      <c r="B25" s="143" t="s">
        <v>158</v>
      </c>
      <c r="C25" s="192" t="s">
        <v>374</v>
      </c>
      <c r="D25" s="75"/>
      <c r="E25" s="134"/>
      <c r="F25" s="134"/>
      <c r="G25" s="134"/>
      <c r="H25" s="135"/>
      <c r="I25" s="152"/>
      <c r="J25" s="135"/>
      <c r="K25" s="136"/>
      <c r="L25" s="135"/>
      <c r="M25" s="137"/>
      <c r="N25" s="144"/>
      <c r="O25" s="130"/>
      <c r="P25" s="159"/>
      <c r="Q25" s="159">
        <f>SUM(C45,C49,C51,C54,C57,C60,C65,C69,C71,C73,C76,C82,C84,C86,C88,C90,C92,C92)</f>
        <v>1149</v>
      </c>
      <c r="R25" s="72" t="s">
        <v>366</v>
      </c>
      <c r="S25" s="72">
        <v>47</v>
      </c>
      <c r="T25" s="254">
        <v>210.37</v>
      </c>
      <c r="U25" s="72" t="s">
        <v>371</v>
      </c>
      <c r="V25" s="61">
        <f>T25*$V$23</f>
        <v>220.88850000000002</v>
      </c>
      <c r="W25" s="61">
        <f>S25*V25</f>
        <v>10381.7595</v>
      </c>
      <c r="X25" s="61">
        <f>W25/Q25</f>
        <v>9.0354738903394249</v>
      </c>
    </row>
    <row r="26" spans="1:24" s="72" customFormat="1" ht="14.25" x14ac:dyDescent="0.2">
      <c r="A26" s="63"/>
      <c r="B26" s="143" t="s">
        <v>372</v>
      </c>
      <c r="C26" s="608" t="s">
        <v>901</v>
      </c>
      <c r="D26" s="75"/>
      <c r="E26" s="134"/>
      <c r="F26" s="134"/>
      <c r="G26" s="134"/>
      <c r="H26" s="135"/>
      <c r="I26" s="152"/>
      <c r="J26" s="135"/>
      <c r="K26" s="136"/>
      <c r="L26" s="135"/>
      <c r="M26" s="137"/>
      <c r="N26" s="144"/>
      <c r="O26" s="130"/>
      <c r="P26" s="159"/>
      <c r="Q26" s="159">
        <f>SUM(C25,C34)</f>
        <v>249</v>
      </c>
      <c r="R26" s="72" t="s">
        <v>367</v>
      </c>
      <c r="S26" s="72">
        <v>10</v>
      </c>
      <c r="T26" s="254">
        <v>210.37</v>
      </c>
      <c r="U26" s="72" t="s">
        <v>371</v>
      </c>
      <c r="V26" s="61">
        <f>T26*$V$23</f>
        <v>220.88850000000002</v>
      </c>
      <c r="W26" s="61">
        <f>S26*V26</f>
        <v>2208.8850000000002</v>
      </c>
      <c r="X26" s="61">
        <f>W26/Q26</f>
        <v>8.8710240963855433</v>
      </c>
    </row>
    <row r="27" spans="1:24" s="72" customFormat="1" ht="14.25" x14ac:dyDescent="0.2">
      <c r="A27" s="63"/>
      <c r="B27" s="143"/>
      <c r="C27" s="64"/>
      <c r="D27" s="75"/>
      <c r="E27" s="134"/>
      <c r="F27" s="134"/>
      <c r="G27" s="134"/>
      <c r="H27" s="135"/>
      <c r="I27" s="152"/>
      <c r="J27" s="135"/>
      <c r="K27" s="136"/>
      <c r="L27" s="135"/>
      <c r="M27" s="137"/>
      <c r="N27" s="144"/>
      <c r="O27" s="130"/>
      <c r="P27" s="159"/>
      <c r="Q27" s="188">
        <v>121</v>
      </c>
      <c r="R27" s="72" t="s">
        <v>368</v>
      </c>
      <c r="T27" s="254">
        <v>78.67</v>
      </c>
      <c r="U27" s="72" t="s">
        <v>369</v>
      </c>
      <c r="V27" s="61">
        <f>T27*$V$23</f>
        <v>82.603500000000011</v>
      </c>
      <c r="W27" s="61">
        <f>Q27*V27</f>
        <v>9995.0235000000011</v>
      </c>
      <c r="X27" s="61">
        <f>W27/Q29</f>
        <v>75.719875000000002</v>
      </c>
    </row>
    <row r="28" spans="1:24" s="72" customFormat="1" ht="14.25" x14ac:dyDescent="0.2">
      <c r="A28" s="63"/>
      <c r="B28" s="143"/>
      <c r="C28" s="64"/>
      <c r="D28" s="75"/>
      <c r="E28" s="134"/>
      <c r="F28" s="134"/>
      <c r="G28" s="134"/>
      <c r="H28" s="135"/>
      <c r="I28" s="152"/>
      <c r="J28" s="135"/>
      <c r="K28" s="136"/>
      <c r="L28" s="135"/>
      <c r="M28" s="137"/>
      <c r="N28" s="144"/>
      <c r="O28" s="130"/>
      <c r="P28" s="159"/>
      <c r="Q28" s="188"/>
      <c r="T28" s="254"/>
      <c r="V28" s="61"/>
      <c r="W28" s="61"/>
      <c r="X28" s="61"/>
    </row>
    <row r="29" spans="1:24" s="72" customFormat="1" ht="15" x14ac:dyDescent="0.2">
      <c r="A29" s="63"/>
      <c r="B29" s="176" t="s">
        <v>60</v>
      </c>
      <c r="C29" s="64"/>
      <c r="D29" s="75"/>
      <c r="E29" s="128"/>
      <c r="F29" s="129"/>
      <c r="G29" s="129"/>
      <c r="H29" s="129"/>
      <c r="I29" s="153"/>
      <c r="J29" s="128"/>
      <c r="K29" s="128"/>
      <c r="L29" s="128"/>
      <c r="M29" s="120"/>
      <c r="N29" s="126"/>
      <c r="O29" s="127"/>
      <c r="P29" s="159"/>
      <c r="Q29" s="159">
        <f>SUM(C47,C52,C55,C58,C67,C74,C77)</f>
        <v>132</v>
      </c>
      <c r="W29" s="61"/>
    </row>
    <row r="30" spans="1:24" s="72" customFormat="1" ht="15" x14ac:dyDescent="0.2">
      <c r="A30" s="63"/>
      <c r="B30" s="176"/>
      <c r="C30" s="64"/>
      <c r="D30" s="75"/>
      <c r="E30" s="128"/>
      <c r="F30" s="129"/>
      <c r="G30" s="129"/>
      <c r="H30" s="129"/>
      <c r="I30" s="153"/>
      <c r="J30" s="128"/>
      <c r="K30" s="128"/>
      <c r="L30" s="128"/>
      <c r="M30" s="120"/>
      <c r="N30" s="126"/>
      <c r="O30" s="127"/>
      <c r="P30" s="159"/>
      <c r="Q30" s="159"/>
      <c r="W30" s="61"/>
    </row>
    <row r="31" spans="1:24" s="72" customFormat="1" ht="14.25" x14ac:dyDescent="0.2">
      <c r="A31" s="63"/>
      <c r="B31" s="143" t="s">
        <v>168</v>
      </c>
      <c r="C31" s="192" t="s">
        <v>374</v>
      </c>
      <c r="D31" s="75"/>
      <c r="E31" s="128"/>
      <c r="F31" s="129"/>
      <c r="G31" s="129"/>
      <c r="H31" s="129"/>
      <c r="I31" s="153"/>
      <c r="J31" s="128"/>
      <c r="K31" s="128"/>
      <c r="L31" s="128"/>
      <c r="M31" s="120"/>
      <c r="N31" s="126"/>
      <c r="O31" s="127"/>
      <c r="P31" s="159"/>
      <c r="Q31" s="159"/>
      <c r="W31" s="61"/>
    </row>
    <row r="32" spans="1:24" s="72" customFormat="1" ht="14.25" x14ac:dyDescent="0.2">
      <c r="A32" s="63"/>
      <c r="B32" s="143" t="s">
        <v>158</v>
      </c>
      <c r="C32" s="192" t="s">
        <v>374</v>
      </c>
      <c r="D32" s="75"/>
      <c r="E32" s="128"/>
      <c r="F32" s="129"/>
      <c r="G32" s="129"/>
      <c r="H32" s="129"/>
      <c r="I32" s="153"/>
      <c r="J32" s="128"/>
      <c r="K32" s="128"/>
      <c r="L32" s="128"/>
      <c r="M32" s="120"/>
      <c r="N32" s="126"/>
      <c r="O32" s="127"/>
      <c r="P32" s="159"/>
      <c r="Q32" s="159"/>
      <c r="W32" s="61"/>
    </row>
    <row r="33" spans="1:23" s="72" customFormat="1" ht="14.25" x14ac:dyDescent="0.2">
      <c r="A33" s="63"/>
      <c r="B33" s="316" t="s">
        <v>924</v>
      </c>
      <c r="C33" s="607">
        <v>4</v>
      </c>
      <c r="D33" s="75" t="s">
        <v>151</v>
      </c>
      <c r="E33" s="134">
        <v>0.15</v>
      </c>
      <c r="F33" s="134">
        <f>C33*E33</f>
        <v>0.6</v>
      </c>
      <c r="G33" s="134">
        <f>$H$11*E33</f>
        <v>6.75</v>
      </c>
      <c r="H33" s="135">
        <f>F33*$H$11</f>
        <v>27</v>
      </c>
      <c r="I33" s="152">
        <f>$X$26</f>
        <v>8.8710240963855433</v>
      </c>
      <c r="J33" s="135">
        <f>C33*I33</f>
        <v>35.484096385542173</v>
      </c>
      <c r="K33" s="136">
        <f>SUM(H33,J33)</f>
        <v>62.484096385542173</v>
      </c>
      <c r="L33" s="135">
        <f>K33/C33</f>
        <v>15.621024096385543</v>
      </c>
      <c r="M33" s="137">
        <f>C33*L33</f>
        <v>62.484096385542173</v>
      </c>
      <c r="N33" s="144">
        <v>0</v>
      </c>
      <c r="O33" s="130">
        <f>M33*N33</f>
        <v>0</v>
      </c>
      <c r="P33" s="159"/>
      <c r="Q33" s="159"/>
      <c r="W33" s="61"/>
    </row>
    <row r="34" spans="1:23" s="72" customFormat="1" ht="14.25" x14ac:dyDescent="0.2">
      <c r="A34" s="63"/>
      <c r="B34" s="316" t="s">
        <v>375</v>
      </c>
      <c r="C34" s="243">
        <v>249</v>
      </c>
      <c r="D34" s="75" t="s">
        <v>151</v>
      </c>
      <c r="E34" s="134">
        <v>0.15</v>
      </c>
      <c r="F34" s="134">
        <f>C34*E34</f>
        <v>37.35</v>
      </c>
      <c r="G34" s="134">
        <f>$H$11*E34</f>
        <v>6.75</v>
      </c>
      <c r="H34" s="135">
        <f>F34*$H$11</f>
        <v>1680.75</v>
      </c>
      <c r="I34" s="152">
        <f>$X$26</f>
        <v>8.8710240963855433</v>
      </c>
      <c r="J34" s="135">
        <f>C34*I34</f>
        <v>2208.8850000000002</v>
      </c>
      <c r="K34" s="136">
        <f>SUM(H34,J34)</f>
        <v>3889.6350000000002</v>
      </c>
      <c r="L34" s="135">
        <f>K34/C34</f>
        <v>15.621024096385543</v>
      </c>
      <c r="M34" s="137">
        <f>C34*L34</f>
        <v>3889.6350000000002</v>
      </c>
      <c r="N34" s="144">
        <v>0</v>
      </c>
      <c r="O34" s="130">
        <f>M34*N34</f>
        <v>0</v>
      </c>
      <c r="P34" s="159"/>
      <c r="Q34" s="159"/>
    </row>
    <row r="35" spans="1:23" s="72" customFormat="1" ht="14.25" x14ac:dyDescent="0.2">
      <c r="A35" s="63"/>
      <c r="B35" s="316" t="s">
        <v>376</v>
      </c>
      <c r="C35" s="627" t="s">
        <v>244</v>
      </c>
      <c r="D35" s="75"/>
      <c r="E35" s="134"/>
      <c r="F35" s="134"/>
      <c r="G35" s="134"/>
      <c r="H35" s="135"/>
      <c r="I35" s="152"/>
      <c r="J35" s="135"/>
      <c r="K35" s="136"/>
      <c r="L35" s="135"/>
      <c r="M35" s="137"/>
      <c r="N35" s="144"/>
      <c r="O35" s="130"/>
      <c r="P35" s="159"/>
      <c r="Q35" s="159"/>
    </row>
    <row r="36" spans="1:23" s="72" customFormat="1" ht="14.25" x14ac:dyDescent="0.2">
      <c r="A36" s="63"/>
      <c r="B36" s="316" t="s">
        <v>925</v>
      </c>
      <c r="C36" s="607">
        <v>36</v>
      </c>
      <c r="D36" s="75" t="s">
        <v>151</v>
      </c>
      <c r="E36" s="134">
        <v>0.15</v>
      </c>
      <c r="F36" s="134">
        <f>C36*E36</f>
        <v>5.3999999999999995</v>
      </c>
      <c r="G36" s="134">
        <f>$H$11*E36</f>
        <v>6.75</v>
      </c>
      <c r="H36" s="135">
        <f>F36*$H$11</f>
        <v>242.99999999999997</v>
      </c>
      <c r="I36" s="152">
        <f>$X$26</f>
        <v>8.8710240963855433</v>
      </c>
      <c r="J36" s="135">
        <f>C36*I36</f>
        <v>319.35686746987955</v>
      </c>
      <c r="K36" s="136">
        <f>SUM(H36,J36)</f>
        <v>562.35686746987949</v>
      </c>
      <c r="L36" s="135">
        <f>K36/C36</f>
        <v>15.621024096385542</v>
      </c>
      <c r="M36" s="137">
        <f>C36*L36</f>
        <v>562.35686746987949</v>
      </c>
      <c r="N36" s="144">
        <v>0</v>
      </c>
      <c r="O36" s="130">
        <f>M36*N36</f>
        <v>0</v>
      </c>
      <c r="P36" s="159"/>
      <c r="Q36" s="159"/>
    </row>
    <row r="37" spans="1:23" s="72" customFormat="1" ht="14.25" x14ac:dyDescent="0.2">
      <c r="A37" s="63"/>
      <c r="B37" s="316" t="s">
        <v>377</v>
      </c>
      <c r="C37" s="627" t="s">
        <v>244</v>
      </c>
      <c r="D37" s="75"/>
      <c r="E37" s="134"/>
      <c r="F37" s="134"/>
      <c r="G37" s="134"/>
      <c r="H37" s="135"/>
      <c r="I37" s="152"/>
      <c r="J37" s="135"/>
      <c r="K37" s="136"/>
      <c r="L37" s="135"/>
      <c r="M37" s="137"/>
      <c r="N37" s="144"/>
      <c r="O37" s="130"/>
      <c r="P37" s="159"/>
      <c r="Q37" s="159"/>
    </row>
    <row r="38" spans="1:23" s="72" customFormat="1" ht="14.25" x14ac:dyDescent="0.2">
      <c r="A38" s="63"/>
      <c r="B38" s="316" t="s">
        <v>927</v>
      </c>
      <c r="C38" s="607">
        <v>204</v>
      </c>
      <c r="D38" s="75" t="s">
        <v>151</v>
      </c>
      <c r="E38" s="134">
        <v>0.15</v>
      </c>
      <c r="F38" s="134">
        <f>C38*E38</f>
        <v>30.599999999999998</v>
      </c>
      <c r="G38" s="134">
        <f>$H$11*E38</f>
        <v>6.75</v>
      </c>
      <c r="H38" s="135">
        <f>F38*$H$11</f>
        <v>1377</v>
      </c>
      <c r="I38" s="152">
        <v>14.75</v>
      </c>
      <c r="J38" s="135">
        <f>C38*I38</f>
        <v>3009</v>
      </c>
      <c r="K38" s="136">
        <f>SUM(H38,J38)</f>
        <v>4386</v>
      </c>
      <c r="L38" s="135">
        <f>K38/C38</f>
        <v>21.5</v>
      </c>
      <c r="M38" s="137">
        <f>C38*L38</f>
        <v>4386</v>
      </c>
      <c r="N38" s="144">
        <v>0</v>
      </c>
      <c r="O38" s="130">
        <f>M38*N38</f>
        <v>0</v>
      </c>
      <c r="P38" s="159"/>
      <c r="Q38" s="159"/>
    </row>
    <row r="39" spans="1:23" s="72" customFormat="1" ht="14.25" x14ac:dyDescent="0.2">
      <c r="A39" s="63"/>
      <c r="B39" s="143"/>
      <c r="C39" s="64"/>
      <c r="D39" s="75"/>
      <c r="E39" s="134"/>
      <c r="F39" s="134"/>
      <c r="G39" s="134"/>
      <c r="H39" s="135"/>
      <c r="I39" s="152"/>
      <c r="J39" s="135"/>
      <c r="K39" s="136"/>
      <c r="L39" s="135"/>
      <c r="M39" s="137"/>
      <c r="N39" s="144"/>
      <c r="O39" s="130"/>
      <c r="P39" s="159"/>
      <c r="Q39" s="159"/>
    </row>
    <row r="40" spans="1:23" s="72" customFormat="1" ht="14.25" x14ac:dyDescent="0.2">
      <c r="A40" s="63"/>
      <c r="B40" s="143"/>
      <c r="C40" s="64"/>
      <c r="D40" s="75"/>
      <c r="E40" s="134"/>
      <c r="F40" s="134"/>
      <c r="G40" s="134"/>
      <c r="H40" s="135"/>
      <c r="I40" s="152"/>
      <c r="J40" s="135"/>
      <c r="K40" s="136"/>
      <c r="L40" s="135"/>
      <c r="M40" s="137"/>
      <c r="N40" s="144"/>
      <c r="O40" s="130"/>
      <c r="P40" s="159"/>
      <c r="Q40" s="159"/>
    </row>
    <row r="41" spans="1:23" s="72" customFormat="1" ht="14.25" x14ac:dyDescent="0.2">
      <c r="A41" s="63"/>
      <c r="B41" s="180" t="s">
        <v>353</v>
      </c>
      <c r="C41" s="64"/>
      <c r="D41" s="75"/>
      <c r="E41" s="134"/>
      <c r="F41" s="134"/>
      <c r="G41" s="134"/>
      <c r="H41" s="135"/>
      <c r="I41" s="152"/>
      <c r="J41" s="135"/>
      <c r="K41" s="136"/>
      <c r="L41" s="135"/>
      <c r="M41" s="137"/>
      <c r="N41" s="144"/>
      <c r="O41" s="130"/>
      <c r="P41" s="159"/>
      <c r="Q41" s="159"/>
    </row>
    <row r="42" spans="1:23" s="72" customFormat="1" ht="14.25" x14ac:dyDescent="0.2">
      <c r="A42" s="63"/>
      <c r="B42" s="143"/>
      <c r="C42" s="64"/>
      <c r="D42" s="75"/>
      <c r="E42" s="134"/>
      <c r="F42" s="134"/>
      <c r="G42" s="134"/>
      <c r="H42" s="135"/>
      <c r="I42" s="152"/>
      <c r="J42" s="135"/>
      <c r="K42" s="136"/>
      <c r="L42" s="135"/>
      <c r="M42" s="137"/>
      <c r="N42" s="144"/>
      <c r="O42" s="130"/>
      <c r="P42" s="159"/>
      <c r="Q42" s="159"/>
    </row>
    <row r="43" spans="1:23" s="72" customFormat="1" ht="15" x14ac:dyDescent="0.2">
      <c r="A43" s="63"/>
      <c r="B43" s="176" t="s">
        <v>58</v>
      </c>
      <c r="C43" s="64"/>
      <c r="D43" s="75"/>
      <c r="E43" s="134"/>
      <c r="F43" s="134"/>
      <c r="G43" s="134"/>
      <c r="H43" s="135"/>
      <c r="I43" s="152"/>
      <c r="J43" s="135"/>
      <c r="K43" s="136"/>
      <c r="L43" s="135"/>
      <c r="M43" s="137"/>
      <c r="N43" s="144"/>
      <c r="O43" s="130"/>
      <c r="P43" s="159"/>
      <c r="Q43" s="159"/>
    </row>
    <row r="44" spans="1:23" s="72" customFormat="1" ht="15" x14ac:dyDescent="0.2">
      <c r="A44" s="63"/>
      <c r="B44" s="176"/>
      <c r="C44" s="64"/>
      <c r="D44" s="75"/>
      <c r="E44" s="134"/>
      <c r="F44" s="134"/>
      <c r="G44" s="134"/>
      <c r="H44" s="135"/>
      <c r="I44" s="152"/>
      <c r="J44" s="135"/>
      <c r="K44" s="136"/>
      <c r="L44" s="135"/>
      <c r="M44" s="137"/>
      <c r="N44" s="144"/>
      <c r="O44" s="130"/>
      <c r="P44" s="159"/>
      <c r="Q44" s="159"/>
    </row>
    <row r="45" spans="1:23" s="72" customFormat="1" ht="14.25" x14ac:dyDescent="0.2">
      <c r="A45" s="63"/>
      <c r="B45" s="143" t="s">
        <v>361</v>
      </c>
      <c r="C45" s="195">
        <v>4</v>
      </c>
      <c r="D45" s="75" t="s">
        <v>151</v>
      </c>
      <c r="E45" s="134">
        <v>0.12</v>
      </c>
      <c r="F45" s="134">
        <f>C45*E45</f>
        <v>0.48</v>
      </c>
      <c r="G45" s="134">
        <f>$H$11*E45</f>
        <v>5.3999999999999995</v>
      </c>
      <c r="H45" s="135">
        <f>F45*$H$11</f>
        <v>21.599999999999998</v>
      </c>
      <c r="I45" s="152">
        <f>$X$25</f>
        <v>9.0354738903394249</v>
      </c>
      <c r="J45" s="135">
        <f>C45*I45</f>
        <v>36.1418955613577</v>
      </c>
      <c r="K45" s="136">
        <f>SUM(H45,J45)</f>
        <v>57.741895561357694</v>
      </c>
      <c r="L45" s="135">
        <f>K45/C45</f>
        <v>14.435473890339424</v>
      </c>
      <c r="M45" s="137">
        <f>C45*L45</f>
        <v>57.741895561357694</v>
      </c>
      <c r="N45" s="144">
        <v>0</v>
      </c>
      <c r="O45" s="130">
        <f>M45*N45</f>
        <v>0</v>
      </c>
      <c r="P45" s="159"/>
      <c r="Q45" s="159"/>
    </row>
    <row r="46" spans="1:23" s="72" customFormat="1" ht="15" x14ac:dyDescent="0.2">
      <c r="A46" s="63"/>
      <c r="B46" s="176"/>
      <c r="C46" s="195"/>
      <c r="D46" s="75"/>
      <c r="E46" s="134"/>
      <c r="F46" s="134"/>
      <c r="G46" s="134"/>
      <c r="H46" s="135"/>
      <c r="I46" s="152"/>
      <c r="J46" s="135"/>
      <c r="K46" s="136"/>
      <c r="L46" s="135"/>
      <c r="M46" s="137"/>
      <c r="N46" s="144"/>
      <c r="O46" s="130"/>
      <c r="P46" s="159"/>
      <c r="Q46" s="159"/>
    </row>
    <row r="47" spans="1:23" s="72" customFormat="1" ht="14.25" x14ac:dyDescent="0.2">
      <c r="A47" s="63"/>
      <c r="B47" s="143" t="s">
        <v>357</v>
      </c>
      <c r="C47" s="195">
        <v>23</v>
      </c>
      <c r="D47" s="75" t="s">
        <v>116</v>
      </c>
      <c r="E47" s="134">
        <v>0.7</v>
      </c>
      <c r="F47" s="134">
        <f>C47*E47</f>
        <v>16.099999999999998</v>
      </c>
      <c r="G47" s="134">
        <f>$H$11*E47</f>
        <v>31.499999999999996</v>
      </c>
      <c r="H47" s="135">
        <f>F47*$H$11</f>
        <v>724.49999999999989</v>
      </c>
      <c r="I47" s="152">
        <f>$X$27</f>
        <v>75.719875000000002</v>
      </c>
      <c r="J47" s="135">
        <f>C47*I47</f>
        <v>1741.557125</v>
      </c>
      <c r="K47" s="136">
        <f>SUM(H47,J47)</f>
        <v>2466.0571249999998</v>
      </c>
      <c r="L47" s="135">
        <f>K47/C47</f>
        <v>107.21987499999999</v>
      </c>
      <c r="M47" s="137">
        <f>C47*L47</f>
        <v>2466.0571249999998</v>
      </c>
      <c r="N47" s="144">
        <v>0</v>
      </c>
      <c r="O47" s="130">
        <f>M47*N47</f>
        <v>0</v>
      </c>
      <c r="P47" s="188">
        <v>21</v>
      </c>
      <c r="Q47" s="159"/>
    </row>
    <row r="48" spans="1:23" s="72" customFormat="1" ht="15" x14ac:dyDescent="0.2">
      <c r="A48" s="63"/>
      <c r="B48" s="176"/>
      <c r="C48" s="195"/>
      <c r="D48" s="75"/>
      <c r="E48" s="134"/>
      <c r="F48" s="134"/>
      <c r="G48" s="134"/>
      <c r="H48" s="135"/>
      <c r="I48" s="152"/>
      <c r="J48" s="135"/>
      <c r="K48" s="136"/>
      <c r="L48" s="135"/>
      <c r="M48" s="137"/>
      <c r="N48" s="144"/>
      <c r="O48" s="130"/>
      <c r="P48" s="159"/>
      <c r="Q48" s="159"/>
    </row>
    <row r="49" spans="1:19" s="72" customFormat="1" ht="14.25" x14ac:dyDescent="0.2">
      <c r="A49" s="63"/>
      <c r="B49" s="143" t="s">
        <v>360</v>
      </c>
      <c r="C49" s="195">
        <v>34</v>
      </c>
      <c r="D49" s="75" t="s">
        <v>151</v>
      </c>
      <c r="E49" s="134">
        <v>0.12</v>
      </c>
      <c r="F49" s="134">
        <f>C49*E49</f>
        <v>4.08</v>
      </c>
      <c r="G49" s="134">
        <f>$H$11*E49</f>
        <v>5.3999999999999995</v>
      </c>
      <c r="H49" s="135">
        <f>F49*$H$11</f>
        <v>183.6</v>
      </c>
      <c r="I49" s="152">
        <f>$X$25</f>
        <v>9.0354738903394249</v>
      </c>
      <c r="J49" s="135">
        <f>C49*I49</f>
        <v>307.20611227154046</v>
      </c>
      <c r="K49" s="136">
        <f>SUM(H49,J49)</f>
        <v>490.80611227154043</v>
      </c>
      <c r="L49" s="135">
        <f>K49/C49</f>
        <v>14.435473890339424</v>
      </c>
      <c r="M49" s="137">
        <f>C49*L49</f>
        <v>490.80611227154043</v>
      </c>
      <c r="N49" s="144">
        <v>0</v>
      </c>
      <c r="O49" s="130">
        <f>M49*N49</f>
        <v>0</v>
      </c>
      <c r="P49" s="159"/>
      <c r="Q49" s="159"/>
    </row>
    <row r="50" spans="1:19" s="72" customFormat="1" ht="14.25" x14ac:dyDescent="0.2">
      <c r="A50" s="63"/>
      <c r="B50" s="143"/>
      <c r="C50" s="195"/>
      <c r="D50" s="75"/>
      <c r="E50" s="134"/>
      <c r="F50" s="134"/>
      <c r="G50" s="134"/>
      <c r="H50" s="135"/>
      <c r="I50" s="152"/>
      <c r="J50" s="135"/>
      <c r="K50" s="136"/>
      <c r="L50" s="135"/>
      <c r="M50" s="137"/>
      <c r="N50" s="144"/>
      <c r="O50" s="130"/>
      <c r="P50" s="159"/>
      <c r="Q50" s="159"/>
    </row>
    <row r="51" spans="1:19" s="72" customFormat="1" ht="14.25" x14ac:dyDescent="0.2">
      <c r="A51" s="63"/>
      <c r="B51" s="143" t="s">
        <v>359</v>
      </c>
      <c r="C51" s="195">
        <v>19</v>
      </c>
      <c r="D51" s="75" t="s">
        <v>151</v>
      </c>
      <c r="E51" s="134">
        <v>0.12</v>
      </c>
      <c r="F51" s="134">
        <f>C51*E51</f>
        <v>2.2799999999999998</v>
      </c>
      <c r="G51" s="134">
        <f>$H$11*E51</f>
        <v>5.3999999999999995</v>
      </c>
      <c r="H51" s="135">
        <f>F51*$H$11</f>
        <v>102.6</v>
      </c>
      <c r="I51" s="152"/>
      <c r="J51" s="135">
        <f>C51*I51</f>
        <v>0</v>
      </c>
      <c r="K51" s="136">
        <f>SUM(H51,J51)</f>
        <v>102.6</v>
      </c>
      <c r="L51" s="135">
        <f>K51/C51</f>
        <v>5.3999999999999995</v>
      </c>
      <c r="M51" s="137">
        <f>C51*L51</f>
        <v>102.6</v>
      </c>
      <c r="N51" s="144">
        <v>0</v>
      </c>
      <c r="O51" s="130">
        <f>M51*N51</f>
        <v>0</v>
      </c>
      <c r="P51" s="159"/>
      <c r="Q51" s="159"/>
    </row>
    <row r="52" spans="1:19" s="72" customFormat="1" ht="14.25" x14ac:dyDescent="0.2">
      <c r="A52" s="63"/>
      <c r="B52" s="143" t="s">
        <v>356</v>
      </c>
      <c r="C52" s="195">
        <v>7</v>
      </c>
      <c r="D52" s="75" t="s">
        <v>116</v>
      </c>
      <c r="E52" s="134">
        <v>0.7</v>
      </c>
      <c r="F52" s="134">
        <f>C52*E52</f>
        <v>4.8999999999999995</v>
      </c>
      <c r="G52" s="134">
        <f>$H$11*E52</f>
        <v>31.499999999999996</v>
      </c>
      <c r="H52" s="135">
        <f>F52*$H$11</f>
        <v>220.49999999999997</v>
      </c>
      <c r="I52" s="152">
        <f>$X$27</f>
        <v>75.719875000000002</v>
      </c>
      <c r="J52" s="135">
        <f>C52*I52</f>
        <v>530.03912500000001</v>
      </c>
      <c r="K52" s="136">
        <f>SUM(H52,J52)</f>
        <v>750.53912500000001</v>
      </c>
      <c r="L52" s="135">
        <f>K52/C52</f>
        <v>107.219875</v>
      </c>
      <c r="M52" s="137">
        <f>C52*L52</f>
        <v>750.53912500000001</v>
      </c>
      <c r="N52" s="144">
        <v>0</v>
      </c>
      <c r="O52" s="130">
        <f>M52*N52</f>
        <v>0</v>
      </c>
      <c r="P52" s="188">
        <v>6.5</v>
      </c>
      <c r="Q52" s="159"/>
    </row>
    <row r="53" spans="1:19" s="72" customFormat="1" ht="15" x14ac:dyDescent="0.2">
      <c r="A53" s="63"/>
      <c r="B53" s="176"/>
      <c r="C53" s="195"/>
      <c r="D53" s="75"/>
      <c r="E53" s="134"/>
      <c r="F53" s="134"/>
      <c r="G53" s="134"/>
      <c r="H53" s="135"/>
      <c r="I53" s="152"/>
      <c r="J53" s="135"/>
      <c r="K53" s="136"/>
      <c r="L53" s="135"/>
      <c r="M53" s="137"/>
      <c r="N53" s="144"/>
      <c r="O53" s="130"/>
      <c r="P53" s="159"/>
      <c r="Q53" s="159"/>
    </row>
    <row r="54" spans="1:19" s="72" customFormat="1" ht="14.25" x14ac:dyDescent="0.2">
      <c r="A54" s="63"/>
      <c r="B54" s="143" t="s">
        <v>354</v>
      </c>
      <c r="C54" s="195">
        <v>141</v>
      </c>
      <c r="D54" s="75" t="s">
        <v>151</v>
      </c>
      <c r="E54" s="134">
        <v>0.12</v>
      </c>
      <c r="F54" s="134">
        <f>C54*E54</f>
        <v>16.919999999999998</v>
      </c>
      <c r="G54" s="134">
        <f>$H$11*E54</f>
        <v>5.3999999999999995</v>
      </c>
      <c r="H54" s="135">
        <f>F54*$H$11</f>
        <v>761.39999999999986</v>
      </c>
      <c r="I54" s="152"/>
      <c r="J54" s="135">
        <f>C54*I54</f>
        <v>0</v>
      </c>
      <c r="K54" s="136">
        <f>SUM(H54,J54)</f>
        <v>761.39999999999986</v>
      </c>
      <c r="L54" s="135">
        <f>K54/C54</f>
        <v>5.3999999999999995</v>
      </c>
      <c r="M54" s="137">
        <f>C54*L54</f>
        <v>761.4</v>
      </c>
      <c r="N54" s="144">
        <v>0</v>
      </c>
      <c r="O54" s="130">
        <f>M54*N54</f>
        <v>0</v>
      </c>
      <c r="P54" s="159"/>
      <c r="Q54" s="159"/>
    </row>
    <row r="55" spans="1:19" s="72" customFormat="1" ht="14.25" x14ac:dyDescent="0.2">
      <c r="A55" s="63"/>
      <c r="B55" s="143" t="s">
        <v>356</v>
      </c>
      <c r="C55" s="195">
        <v>48</v>
      </c>
      <c r="D55" s="75" t="s">
        <v>116</v>
      </c>
      <c r="E55" s="134">
        <v>0.7</v>
      </c>
      <c r="F55" s="134">
        <f>C55*E55</f>
        <v>33.599999999999994</v>
      </c>
      <c r="G55" s="134">
        <f>$H$11*E55</f>
        <v>31.499999999999996</v>
      </c>
      <c r="H55" s="135">
        <f>F55*$H$11</f>
        <v>1511.9999999999998</v>
      </c>
      <c r="I55" s="152">
        <f>$X$27</f>
        <v>75.719875000000002</v>
      </c>
      <c r="J55" s="135">
        <f>C55*I55</f>
        <v>3634.5540000000001</v>
      </c>
      <c r="K55" s="136">
        <f>SUM(H55,J55)</f>
        <v>5146.5540000000001</v>
      </c>
      <c r="L55" s="135">
        <f>K55/C55</f>
        <v>107.219875</v>
      </c>
      <c r="M55" s="137">
        <f>C55*L55</f>
        <v>5146.5540000000001</v>
      </c>
      <c r="N55" s="144">
        <v>0</v>
      </c>
      <c r="O55" s="130">
        <f>M55*N55</f>
        <v>0</v>
      </c>
      <c r="P55" s="188">
        <v>43.5</v>
      </c>
      <c r="Q55" s="159"/>
    </row>
    <row r="56" spans="1:19" s="72" customFormat="1" ht="15" x14ac:dyDescent="0.2">
      <c r="A56" s="63"/>
      <c r="B56" s="176"/>
      <c r="C56" s="195"/>
      <c r="D56" s="75"/>
      <c r="E56" s="134"/>
      <c r="F56" s="134"/>
      <c r="G56" s="134"/>
      <c r="H56" s="135"/>
      <c r="I56" s="152"/>
      <c r="J56" s="135"/>
      <c r="K56" s="136"/>
      <c r="L56" s="135"/>
      <c r="M56" s="137"/>
      <c r="N56" s="144"/>
      <c r="O56" s="130"/>
      <c r="P56" s="159"/>
      <c r="Q56" s="159"/>
    </row>
    <row r="57" spans="1:19" s="72" customFormat="1" ht="14.25" x14ac:dyDescent="0.2">
      <c r="A57" s="63"/>
      <c r="B57" s="143" t="s">
        <v>355</v>
      </c>
      <c r="C57" s="195">
        <v>27</v>
      </c>
      <c r="D57" s="75" t="s">
        <v>151</v>
      </c>
      <c r="E57" s="134">
        <v>0.12</v>
      </c>
      <c r="F57" s="134">
        <f>C57*E57</f>
        <v>3.2399999999999998</v>
      </c>
      <c r="G57" s="134">
        <f>$H$11*E57</f>
        <v>5.3999999999999995</v>
      </c>
      <c r="H57" s="135">
        <f>F57*$H$11</f>
        <v>145.79999999999998</v>
      </c>
      <c r="I57" s="152"/>
      <c r="J57" s="135">
        <f>C57*I57</f>
        <v>0</v>
      </c>
      <c r="K57" s="136">
        <f>SUM(H57,J57)</f>
        <v>145.79999999999998</v>
      </c>
      <c r="L57" s="135">
        <f>K57/C57</f>
        <v>5.3999999999999995</v>
      </c>
      <c r="M57" s="137">
        <f>C57*L57</f>
        <v>145.79999999999998</v>
      </c>
      <c r="N57" s="144">
        <v>0</v>
      </c>
      <c r="O57" s="130">
        <f>M57*N57</f>
        <v>0</v>
      </c>
      <c r="P57" s="159"/>
      <c r="Q57" s="159"/>
    </row>
    <row r="58" spans="1:19" s="72" customFormat="1" ht="14.25" x14ac:dyDescent="0.2">
      <c r="A58" s="63"/>
      <c r="B58" s="143" t="s">
        <v>356</v>
      </c>
      <c r="C58" s="195">
        <v>9</v>
      </c>
      <c r="D58" s="75" t="s">
        <v>116</v>
      </c>
      <c r="E58" s="134">
        <v>0.7</v>
      </c>
      <c r="F58" s="134">
        <f>C58*E58</f>
        <v>6.3</v>
      </c>
      <c r="G58" s="134">
        <f>$H$11*E58</f>
        <v>31.499999999999996</v>
      </c>
      <c r="H58" s="135">
        <f>F58*$H$11</f>
        <v>283.5</v>
      </c>
      <c r="I58" s="152">
        <f>$X$27</f>
        <v>75.719875000000002</v>
      </c>
      <c r="J58" s="135">
        <f>C58*I58</f>
        <v>681.47887500000002</v>
      </c>
      <c r="K58" s="136">
        <f>SUM(H58,J58)</f>
        <v>964.97887500000002</v>
      </c>
      <c r="L58" s="135">
        <f>K58/C58</f>
        <v>107.219875</v>
      </c>
      <c r="M58" s="137">
        <f>C58*L58</f>
        <v>964.97887500000002</v>
      </c>
      <c r="N58" s="144">
        <v>0</v>
      </c>
      <c r="O58" s="130">
        <f>M58*N58</f>
        <v>0</v>
      </c>
      <c r="P58" s="188">
        <v>8.5</v>
      </c>
      <c r="Q58" s="159"/>
    </row>
    <row r="59" spans="1:19" s="72" customFormat="1" ht="14.25" x14ac:dyDescent="0.2">
      <c r="A59" s="63"/>
      <c r="B59" s="143"/>
      <c r="C59" s="195"/>
      <c r="D59" s="75"/>
      <c r="E59" s="134"/>
      <c r="F59" s="134"/>
      <c r="G59" s="134"/>
      <c r="H59" s="135"/>
      <c r="I59" s="152"/>
      <c r="J59" s="135"/>
      <c r="K59" s="136"/>
      <c r="L59" s="135"/>
      <c r="M59" s="137"/>
      <c r="N59" s="144"/>
      <c r="O59" s="130"/>
      <c r="P59" s="159"/>
      <c r="Q59" s="159"/>
    </row>
    <row r="60" spans="1:19" s="72" customFormat="1" ht="14.25" x14ac:dyDescent="0.2">
      <c r="A60" s="63"/>
      <c r="B60" s="143" t="s">
        <v>358</v>
      </c>
      <c r="C60" s="195">
        <v>12</v>
      </c>
      <c r="D60" s="75" t="s">
        <v>151</v>
      </c>
      <c r="E60" s="134">
        <v>0.12</v>
      </c>
      <c r="F60" s="134">
        <f>C60*E60</f>
        <v>1.44</v>
      </c>
      <c r="G60" s="134">
        <f>$H$11*E60</f>
        <v>5.3999999999999995</v>
      </c>
      <c r="H60" s="135">
        <f>F60*$H$11</f>
        <v>64.8</v>
      </c>
      <c r="I60" s="152">
        <f>$X$25</f>
        <v>9.0354738903394249</v>
      </c>
      <c r="J60" s="135">
        <f>C60*I60</f>
        <v>108.4256866840731</v>
      </c>
      <c r="K60" s="136">
        <f>SUM(H60,J60)</f>
        <v>173.22568668407308</v>
      </c>
      <c r="L60" s="135">
        <f>K60/C60</f>
        <v>14.435473890339424</v>
      </c>
      <c r="M60" s="137">
        <f>C60*L60</f>
        <v>173.22568668407308</v>
      </c>
      <c r="N60" s="144">
        <v>0</v>
      </c>
      <c r="O60" s="130">
        <f>M60*N60</f>
        <v>0</v>
      </c>
      <c r="P60" s="159"/>
      <c r="Q60" s="159"/>
    </row>
    <row r="61" spans="1:19" s="72" customFormat="1" ht="14.25" x14ac:dyDescent="0.2">
      <c r="A61" s="63"/>
      <c r="B61" s="143"/>
      <c r="C61" s="195"/>
      <c r="D61" s="75"/>
      <c r="E61" s="134"/>
      <c r="F61" s="134"/>
      <c r="G61" s="134"/>
      <c r="H61" s="135"/>
      <c r="I61" s="152"/>
      <c r="J61" s="135"/>
      <c r="K61" s="136"/>
      <c r="L61" s="135"/>
      <c r="M61" s="137"/>
      <c r="N61" s="144"/>
      <c r="O61" s="130"/>
      <c r="P61" s="159"/>
      <c r="Q61" s="159"/>
    </row>
    <row r="62" spans="1:19" s="72" customFormat="1" ht="14.25" x14ac:dyDescent="0.2">
      <c r="A62" s="63"/>
      <c r="B62" s="143"/>
      <c r="C62" s="195"/>
      <c r="D62" s="75"/>
      <c r="E62" s="134"/>
      <c r="F62" s="134"/>
      <c r="G62" s="134"/>
      <c r="H62" s="135"/>
      <c r="I62" s="152"/>
      <c r="J62" s="135"/>
      <c r="K62" s="136"/>
      <c r="L62" s="135"/>
      <c r="M62" s="137"/>
      <c r="N62" s="144"/>
      <c r="O62" s="130"/>
      <c r="P62" s="159"/>
      <c r="Q62" s="159"/>
      <c r="S62" s="306"/>
    </row>
    <row r="63" spans="1:19" s="72" customFormat="1" ht="15" x14ac:dyDescent="0.2">
      <c r="A63" s="63"/>
      <c r="B63" s="176" t="s">
        <v>59</v>
      </c>
      <c r="C63" s="195"/>
      <c r="D63" s="75"/>
      <c r="E63" s="134"/>
      <c r="F63" s="134"/>
      <c r="G63" s="134"/>
      <c r="H63" s="135"/>
      <c r="I63" s="152"/>
      <c r="J63" s="135"/>
      <c r="K63" s="136"/>
      <c r="L63" s="135"/>
      <c r="M63" s="137"/>
      <c r="N63" s="144"/>
      <c r="O63" s="130"/>
      <c r="P63" s="159"/>
      <c r="Q63" s="159"/>
    </row>
    <row r="64" spans="1:19" s="72" customFormat="1" ht="15" x14ac:dyDescent="0.2">
      <c r="A64" s="63"/>
      <c r="B64" s="176"/>
      <c r="C64" s="195"/>
      <c r="D64" s="75"/>
      <c r="E64" s="134"/>
      <c r="F64" s="134"/>
      <c r="G64" s="134"/>
      <c r="H64" s="135"/>
      <c r="I64" s="152"/>
      <c r="J64" s="135"/>
      <c r="K64" s="136"/>
      <c r="L64" s="135"/>
      <c r="M64" s="137"/>
      <c r="N64" s="144"/>
      <c r="O64" s="130"/>
      <c r="P64" s="159"/>
      <c r="Q64" s="159"/>
    </row>
    <row r="65" spans="1:17" s="72" customFormat="1" ht="14.25" x14ac:dyDescent="0.2">
      <c r="A65" s="63"/>
      <c r="B65" s="143" t="s">
        <v>361</v>
      </c>
      <c r="C65" s="195">
        <v>14</v>
      </c>
      <c r="D65" s="75" t="s">
        <v>151</v>
      </c>
      <c r="E65" s="134">
        <v>0.12</v>
      </c>
      <c r="F65" s="134">
        <f>C65*E65</f>
        <v>1.68</v>
      </c>
      <c r="G65" s="134">
        <f>$H$11*E65</f>
        <v>5.3999999999999995</v>
      </c>
      <c r="H65" s="135">
        <f>F65*$H$11</f>
        <v>75.599999999999994</v>
      </c>
      <c r="I65" s="152">
        <f>$X$25</f>
        <v>9.0354738903394249</v>
      </c>
      <c r="J65" s="135">
        <f>C65*I65</f>
        <v>126.49663446475195</v>
      </c>
      <c r="K65" s="136">
        <f>SUM(H65,J65)</f>
        <v>202.09663446475196</v>
      </c>
      <c r="L65" s="135">
        <f>K65/C65</f>
        <v>14.435473890339425</v>
      </c>
      <c r="M65" s="137">
        <f>C65*L65</f>
        <v>202.09663446475196</v>
      </c>
      <c r="N65" s="144">
        <v>0</v>
      </c>
      <c r="O65" s="130">
        <f>M65*N65</f>
        <v>0</v>
      </c>
      <c r="P65" s="159"/>
      <c r="Q65" s="159"/>
    </row>
    <row r="66" spans="1:17" s="72" customFormat="1" ht="15" x14ac:dyDescent="0.2">
      <c r="A66" s="63"/>
      <c r="B66" s="176"/>
      <c r="C66" s="195"/>
      <c r="D66" s="75"/>
      <c r="E66" s="134"/>
      <c r="F66" s="134"/>
      <c r="G66" s="134"/>
      <c r="H66" s="135"/>
      <c r="I66" s="152"/>
      <c r="J66" s="135"/>
      <c r="K66" s="136"/>
      <c r="L66" s="135"/>
      <c r="M66" s="137"/>
      <c r="N66" s="144"/>
      <c r="O66" s="130"/>
      <c r="P66" s="159"/>
      <c r="Q66" s="159"/>
    </row>
    <row r="67" spans="1:17" s="72" customFormat="1" ht="14.25" x14ac:dyDescent="0.2">
      <c r="A67" s="63"/>
      <c r="B67" s="143" t="s">
        <v>357</v>
      </c>
      <c r="C67" s="195">
        <v>11</v>
      </c>
      <c r="D67" s="75" t="s">
        <v>116</v>
      </c>
      <c r="E67" s="134">
        <v>0.7</v>
      </c>
      <c r="F67" s="134">
        <f>C67*E67</f>
        <v>7.6999999999999993</v>
      </c>
      <c r="G67" s="134">
        <f>$H$11*E67</f>
        <v>31.499999999999996</v>
      </c>
      <c r="H67" s="135">
        <f>F67*$H$11</f>
        <v>346.49999999999994</v>
      </c>
      <c r="I67" s="152">
        <f>$X$27</f>
        <v>75.719875000000002</v>
      </c>
      <c r="J67" s="135">
        <f>C67*I67</f>
        <v>832.91862500000002</v>
      </c>
      <c r="K67" s="136">
        <f>SUM(H67,J67)</f>
        <v>1179.418625</v>
      </c>
      <c r="L67" s="135">
        <f>K67/C67</f>
        <v>107.219875</v>
      </c>
      <c r="M67" s="137">
        <f>C67*L67</f>
        <v>1179.418625</v>
      </c>
      <c r="N67" s="144">
        <v>0</v>
      </c>
      <c r="O67" s="130">
        <f>M67*N67</f>
        <v>0</v>
      </c>
      <c r="P67" s="188">
        <v>10</v>
      </c>
      <c r="Q67" s="159"/>
    </row>
    <row r="68" spans="1:17" s="72" customFormat="1" ht="14.25" x14ac:dyDescent="0.2">
      <c r="A68" s="63"/>
      <c r="B68" s="143"/>
      <c r="C68" s="195"/>
      <c r="D68" s="75"/>
      <c r="E68" s="134"/>
      <c r="F68" s="134"/>
      <c r="G68" s="134"/>
      <c r="H68" s="135"/>
      <c r="I68" s="152"/>
      <c r="J68" s="135"/>
      <c r="K68" s="136"/>
      <c r="L68" s="135"/>
      <c r="M68" s="137"/>
      <c r="N68" s="144"/>
      <c r="O68" s="130"/>
      <c r="P68" s="159"/>
      <c r="Q68" s="159"/>
    </row>
    <row r="69" spans="1:17" s="72" customFormat="1" ht="14.25" x14ac:dyDescent="0.2">
      <c r="A69" s="63"/>
      <c r="B69" s="143" t="s">
        <v>362</v>
      </c>
      <c r="C69" s="195">
        <v>114</v>
      </c>
      <c r="D69" s="75" t="s">
        <v>151</v>
      </c>
      <c r="E69" s="134">
        <v>0.12</v>
      </c>
      <c r="F69" s="134">
        <f>C69*E69</f>
        <v>13.68</v>
      </c>
      <c r="G69" s="134">
        <f>$H$11*E69</f>
        <v>5.3999999999999995</v>
      </c>
      <c r="H69" s="135">
        <f>F69*$H$11</f>
        <v>615.6</v>
      </c>
      <c r="I69" s="152">
        <f>$X$25</f>
        <v>9.0354738903394249</v>
      </c>
      <c r="J69" s="135">
        <f>C69*I69</f>
        <v>1030.0440234986945</v>
      </c>
      <c r="K69" s="136">
        <f>SUM(H69,J69)</f>
        <v>1645.6440234986944</v>
      </c>
      <c r="L69" s="135">
        <f>K69/C69</f>
        <v>14.435473890339425</v>
      </c>
      <c r="M69" s="137">
        <f>C69*L69</f>
        <v>1645.6440234986944</v>
      </c>
      <c r="N69" s="144">
        <v>0</v>
      </c>
      <c r="O69" s="130">
        <f>M69*N69</f>
        <v>0</v>
      </c>
      <c r="P69" s="159"/>
      <c r="Q69" s="159"/>
    </row>
    <row r="70" spans="1:17" s="72" customFormat="1" ht="14.25" x14ac:dyDescent="0.2">
      <c r="A70" s="63"/>
      <c r="B70" s="143"/>
      <c r="C70" s="195"/>
      <c r="D70" s="75"/>
      <c r="E70" s="134"/>
      <c r="F70" s="134"/>
      <c r="G70" s="134"/>
      <c r="H70" s="135"/>
      <c r="I70" s="152"/>
      <c r="J70" s="135"/>
      <c r="K70" s="136"/>
      <c r="L70" s="135"/>
      <c r="M70" s="137"/>
      <c r="N70" s="144"/>
      <c r="O70" s="130"/>
      <c r="P70" s="159"/>
      <c r="Q70" s="159"/>
    </row>
    <row r="71" spans="1:17" s="72" customFormat="1" ht="14.25" x14ac:dyDescent="0.2">
      <c r="A71" s="63"/>
      <c r="B71" s="143" t="s">
        <v>360</v>
      </c>
      <c r="C71" s="195">
        <v>72</v>
      </c>
      <c r="D71" s="75" t="s">
        <v>151</v>
      </c>
      <c r="E71" s="134">
        <v>0.12</v>
      </c>
      <c r="F71" s="134">
        <f>C71*E71</f>
        <v>8.64</v>
      </c>
      <c r="G71" s="134">
        <f>$H$11*E71</f>
        <v>5.3999999999999995</v>
      </c>
      <c r="H71" s="135">
        <f>F71*$H$11</f>
        <v>388.8</v>
      </c>
      <c r="I71" s="152">
        <f>$X$25</f>
        <v>9.0354738903394249</v>
      </c>
      <c r="J71" s="135">
        <f>C71*I71</f>
        <v>650.55412010443865</v>
      </c>
      <c r="K71" s="136">
        <f>SUM(H71,J71)</f>
        <v>1039.3541201044386</v>
      </c>
      <c r="L71" s="135">
        <f>K71/C71</f>
        <v>14.435473890339425</v>
      </c>
      <c r="M71" s="137">
        <f>C71*L71</f>
        <v>1039.3541201044386</v>
      </c>
      <c r="N71" s="144">
        <v>0</v>
      </c>
      <c r="O71" s="130">
        <f>M71*N71</f>
        <v>0</v>
      </c>
      <c r="P71" s="159"/>
      <c r="Q71" s="159"/>
    </row>
    <row r="72" spans="1:17" s="72" customFormat="1" ht="14.25" x14ac:dyDescent="0.2">
      <c r="A72" s="63"/>
      <c r="B72" s="143"/>
      <c r="C72" s="195"/>
      <c r="D72" s="75"/>
      <c r="E72" s="134"/>
      <c r="F72" s="134"/>
      <c r="G72" s="134"/>
      <c r="H72" s="135"/>
      <c r="I72" s="152"/>
      <c r="J72" s="135"/>
      <c r="K72" s="136"/>
      <c r="L72" s="135"/>
      <c r="M72" s="137"/>
      <c r="N72" s="144"/>
      <c r="O72" s="130"/>
      <c r="P72" s="159"/>
      <c r="Q72" s="159"/>
    </row>
    <row r="73" spans="1:17" s="72" customFormat="1" ht="14.25" x14ac:dyDescent="0.2">
      <c r="A73" s="63"/>
      <c r="B73" s="143" t="s">
        <v>354</v>
      </c>
      <c r="C73" s="195">
        <v>84</v>
      </c>
      <c r="D73" s="75" t="s">
        <v>151</v>
      </c>
      <c r="E73" s="134">
        <v>0.12</v>
      </c>
      <c r="F73" s="134">
        <f>C73*E73</f>
        <v>10.08</v>
      </c>
      <c r="G73" s="134">
        <f>$H$11*E73</f>
        <v>5.3999999999999995</v>
      </c>
      <c r="H73" s="135">
        <f>F73*$H$11</f>
        <v>453.6</v>
      </c>
      <c r="I73" s="152"/>
      <c r="J73" s="135">
        <f>C73*I73</f>
        <v>0</v>
      </c>
      <c r="K73" s="136">
        <f>SUM(H73,J73)</f>
        <v>453.6</v>
      </c>
      <c r="L73" s="135">
        <f>K73/C73</f>
        <v>5.4</v>
      </c>
      <c r="M73" s="137">
        <f>C73*L73</f>
        <v>453.6</v>
      </c>
      <c r="N73" s="144">
        <v>0</v>
      </c>
      <c r="O73" s="130">
        <f>M73*N73</f>
        <v>0</v>
      </c>
      <c r="P73" s="159"/>
      <c r="Q73" s="159"/>
    </row>
    <row r="74" spans="1:17" s="72" customFormat="1" ht="14.25" x14ac:dyDescent="0.2">
      <c r="A74" s="63"/>
      <c r="B74" s="143" t="s">
        <v>356</v>
      </c>
      <c r="C74" s="195">
        <v>29</v>
      </c>
      <c r="D74" s="75" t="s">
        <v>116</v>
      </c>
      <c r="E74" s="134">
        <v>0.7</v>
      </c>
      <c r="F74" s="134">
        <f>C74*E74</f>
        <v>20.299999999999997</v>
      </c>
      <c r="G74" s="134">
        <f>$H$11*E74</f>
        <v>31.499999999999996</v>
      </c>
      <c r="H74" s="135">
        <f>F74*$H$11</f>
        <v>913.49999999999989</v>
      </c>
      <c r="I74" s="152">
        <f>$X$27</f>
        <v>75.719875000000002</v>
      </c>
      <c r="J74" s="135">
        <f>C74*I74</f>
        <v>2195.8763749999998</v>
      </c>
      <c r="K74" s="136">
        <f>SUM(H74,J74)</f>
        <v>3109.3763749999998</v>
      </c>
      <c r="L74" s="135">
        <f>K74/C74</f>
        <v>107.21987499999999</v>
      </c>
      <c r="M74" s="137">
        <f>C74*L74</f>
        <v>3109.3763749999998</v>
      </c>
      <c r="N74" s="144">
        <v>0</v>
      </c>
      <c r="O74" s="130">
        <f>M74*N74</f>
        <v>0</v>
      </c>
      <c r="P74" s="188">
        <v>26.5</v>
      </c>
      <c r="Q74" s="159"/>
    </row>
    <row r="75" spans="1:17" s="72" customFormat="1" ht="15" x14ac:dyDescent="0.2">
      <c r="A75" s="63"/>
      <c r="B75" s="176"/>
      <c r="C75" s="195"/>
      <c r="D75" s="75"/>
      <c r="E75" s="134"/>
      <c r="F75" s="134"/>
      <c r="G75" s="134"/>
      <c r="H75" s="135"/>
      <c r="I75" s="152"/>
      <c r="J75" s="135"/>
      <c r="K75" s="136"/>
      <c r="L75" s="135"/>
      <c r="M75" s="137"/>
      <c r="N75" s="144"/>
      <c r="O75" s="130"/>
      <c r="P75" s="159"/>
      <c r="Q75" s="159"/>
    </row>
    <row r="76" spans="1:17" s="72" customFormat="1" ht="14.25" x14ac:dyDescent="0.2">
      <c r="A76" s="63"/>
      <c r="B76" s="143" t="s">
        <v>355</v>
      </c>
      <c r="C76" s="195">
        <v>16</v>
      </c>
      <c r="D76" s="75" t="s">
        <v>151</v>
      </c>
      <c r="E76" s="134">
        <v>0.12</v>
      </c>
      <c r="F76" s="134">
        <f>C76*E76</f>
        <v>1.92</v>
      </c>
      <c r="G76" s="134">
        <f>$H$11*E76</f>
        <v>5.3999999999999995</v>
      </c>
      <c r="H76" s="135">
        <f>F76*$H$11</f>
        <v>86.399999999999991</v>
      </c>
      <c r="I76" s="152"/>
      <c r="J76" s="135">
        <f>C76*I76</f>
        <v>0</v>
      </c>
      <c r="K76" s="136">
        <f>SUM(H76,J76)</f>
        <v>86.399999999999991</v>
      </c>
      <c r="L76" s="135">
        <f>K76/C76</f>
        <v>5.3999999999999995</v>
      </c>
      <c r="M76" s="137">
        <f>C76*L76</f>
        <v>86.399999999999991</v>
      </c>
      <c r="N76" s="144">
        <v>0</v>
      </c>
      <c r="O76" s="130">
        <f>M76*N76</f>
        <v>0</v>
      </c>
      <c r="P76" s="159"/>
      <c r="Q76" s="159"/>
    </row>
    <row r="77" spans="1:17" s="72" customFormat="1" ht="14.25" x14ac:dyDescent="0.2">
      <c r="A77" s="63"/>
      <c r="B77" s="143" t="s">
        <v>356</v>
      </c>
      <c r="C77" s="195">
        <v>5</v>
      </c>
      <c r="D77" s="75" t="s">
        <v>116</v>
      </c>
      <c r="E77" s="134">
        <v>0.7</v>
      </c>
      <c r="F77" s="134">
        <f>C77*E77</f>
        <v>3.5</v>
      </c>
      <c r="G77" s="134">
        <f>$H$11*E77</f>
        <v>31.499999999999996</v>
      </c>
      <c r="H77" s="135">
        <f>F77*$H$11</f>
        <v>157.5</v>
      </c>
      <c r="I77" s="152">
        <f>$X$27</f>
        <v>75.719875000000002</v>
      </c>
      <c r="J77" s="135">
        <f>C77*I77</f>
        <v>378.59937500000001</v>
      </c>
      <c r="K77" s="136">
        <f>SUM(H77,J77)</f>
        <v>536.09937500000001</v>
      </c>
      <c r="L77" s="135">
        <f>K77/C77</f>
        <v>107.219875</v>
      </c>
      <c r="M77" s="137">
        <f>C77*L77</f>
        <v>536.09937500000001</v>
      </c>
      <c r="N77" s="144">
        <v>0</v>
      </c>
      <c r="O77" s="130">
        <f>M77*N77</f>
        <v>0</v>
      </c>
      <c r="P77" s="188">
        <v>4.5</v>
      </c>
      <c r="Q77" s="159"/>
    </row>
    <row r="78" spans="1:17" s="72" customFormat="1" ht="15" x14ac:dyDescent="0.2">
      <c r="A78" s="63"/>
      <c r="B78" s="176"/>
      <c r="C78" s="195"/>
      <c r="D78" s="75"/>
      <c r="E78" s="134"/>
      <c r="F78" s="134"/>
      <c r="G78" s="134"/>
      <c r="H78" s="135"/>
      <c r="I78" s="152"/>
      <c r="J78" s="135"/>
      <c r="K78" s="136"/>
      <c r="L78" s="135"/>
      <c r="M78" s="137"/>
      <c r="N78" s="144"/>
      <c r="O78" s="130"/>
      <c r="P78" s="159"/>
      <c r="Q78" s="159"/>
    </row>
    <row r="79" spans="1:17" s="72" customFormat="1" ht="14.25" x14ac:dyDescent="0.2">
      <c r="A79" s="63"/>
      <c r="B79" s="143"/>
      <c r="C79" s="195"/>
      <c r="D79" s="75"/>
      <c r="E79" s="134"/>
      <c r="F79" s="134"/>
      <c r="G79" s="134"/>
      <c r="H79" s="135"/>
      <c r="I79" s="152"/>
      <c r="J79" s="135"/>
      <c r="K79" s="136"/>
      <c r="L79" s="135"/>
      <c r="M79" s="137"/>
      <c r="N79" s="144"/>
      <c r="O79" s="130"/>
      <c r="P79" s="159"/>
      <c r="Q79" s="159"/>
    </row>
    <row r="80" spans="1:17" s="72" customFormat="1" ht="15" x14ac:dyDescent="0.2">
      <c r="A80" s="63"/>
      <c r="B80" s="176" t="s">
        <v>60</v>
      </c>
      <c r="C80" s="195"/>
      <c r="D80" s="75"/>
      <c r="E80" s="134"/>
      <c r="F80" s="134"/>
      <c r="G80" s="134"/>
      <c r="H80" s="135"/>
      <c r="I80" s="152"/>
      <c r="J80" s="135"/>
      <c r="K80" s="136"/>
      <c r="L80" s="135"/>
      <c r="M80" s="137"/>
      <c r="N80" s="144"/>
      <c r="O80" s="130"/>
      <c r="P80" s="159"/>
      <c r="Q80" s="159"/>
    </row>
    <row r="81" spans="1:17" s="72" customFormat="1" ht="15" x14ac:dyDescent="0.2">
      <c r="A81" s="63"/>
      <c r="B81" s="176"/>
      <c r="C81" s="195"/>
      <c r="D81" s="75"/>
      <c r="E81" s="134"/>
      <c r="F81" s="134"/>
      <c r="G81" s="134"/>
      <c r="H81" s="135"/>
      <c r="I81" s="152"/>
      <c r="J81" s="135"/>
      <c r="K81" s="136"/>
      <c r="L81" s="135"/>
      <c r="M81" s="137"/>
      <c r="N81" s="144"/>
      <c r="O81" s="130"/>
      <c r="P81" s="159"/>
      <c r="Q81" s="159"/>
    </row>
    <row r="82" spans="1:17" s="72" customFormat="1" ht="14.25" x14ac:dyDescent="0.2">
      <c r="A82" s="63"/>
      <c r="B82" s="143" t="s">
        <v>361</v>
      </c>
      <c r="C82" s="195">
        <v>68</v>
      </c>
      <c r="D82" s="75" t="s">
        <v>151</v>
      </c>
      <c r="E82" s="134">
        <v>0.12</v>
      </c>
      <c r="F82" s="134">
        <f>C82*E82</f>
        <v>8.16</v>
      </c>
      <c r="G82" s="134">
        <f>$H$11*E82</f>
        <v>5.3999999999999995</v>
      </c>
      <c r="H82" s="135">
        <f>F82*$H$11</f>
        <v>367.2</v>
      </c>
      <c r="I82" s="152">
        <f>$X$25</f>
        <v>9.0354738903394249</v>
      </c>
      <c r="J82" s="135">
        <f>C82*I82</f>
        <v>614.41222454308092</v>
      </c>
      <c r="K82" s="136">
        <f>SUM(H82,J82)</f>
        <v>981.61222454308086</v>
      </c>
      <c r="L82" s="135">
        <f>K82/C82</f>
        <v>14.435473890339424</v>
      </c>
      <c r="M82" s="137">
        <f>C82*L82</f>
        <v>981.61222454308086</v>
      </c>
      <c r="N82" s="144">
        <v>0</v>
      </c>
      <c r="O82" s="130">
        <f>M82*N82</f>
        <v>0</v>
      </c>
      <c r="P82" s="159"/>
      <c r="Q82" s="159"/>
    </row>
    <row r="83" spans="1:17" s="72" customFormat="1" ht="15" x14ac:dyDescent="0.2">
      <c r="A83" s="63"/>
      <c r="B83" s="176"/>
      <c r="C83" s="195"/>
      <c r="D83" s="75"/>
      <c r="E83" s="134"/>
      <c r="F83" s="134"/>
      <c r="G83" s="134"/>
      <c r="H83" s="135"/>
      <c r="I83" s="152"/>
      <c r="J83" s="135"/>
      <c r="K83" s="136"/>
      <c r="L83" s="135"/>
      <c r="M83" s="137"/>
      <c r="N83" s="144"/>
      <c r="O83" s="130"/>
      <c r="P83" s="159"/>
      <c r="Q83" s="159"/>
    </row>
    <row r="84" spans="1:17" s="72" customFormat="1" ht="14.25" x14ac:dyDescent="0.2">
      <c r="A84" s="63"/>
      <c r="B84" s="143" t="s">
        <v>365</v>
      </c>
      <c r="C84" s="195">
        <v>15</v>
      </c>
      <c r="D84" s="75" t="s">
        <v>151</v>
      </c>
      <c r="E84" s="134">
        <v>0.12</v>
      </c>
      <c r="F84" s="134">
        <f>C84*E84</f>
        <v>1.7999999999999998</v>
      </c>
      <c r="G84" s="134">
        <f>$H$11*E84</f>
        <v>5.3999999999999995</v>
      </c>
      <c r="H84" s="135">
        <f>F84*$H$11</f>
        <v>80.999999999999986</v>
      </c>
      <c r="I84" s="152">
        <f>$X$25</f>
        <v>9.0354738903394249</v>
      </c>
      <c r="J84" s="135">
        <f>C84*I84</f>
        <v>135.53210835509137</v>
      </c>
      <c r="K84" s="136">
        <f>SUM(H84,J84)</f>
        <v>216.53210835509134</v>
      </c>
      <c r="L84" s="135">
        <f>K84/C84</f>
        <v>14.435473890339422</v>
      </c>
      <c r="M84" s="137">
        <f>C84*L84</f>
        <v>216.53210835509134</v>
      </c>
      <c r="N84" s="144">
        <v>0</v>
      </c>
      <c r="O84" s="130">
        <f>M84*N84</f>
        <v>0</v>
      </c>
      <c r="P84" s="159"/>
      <c r="Q84" s="159"/>
    </row>
    <row r="85" spans="1:17" s="72" customFormat="1" ht="15" x14ac:dyDescent="0.2">
      <c r="A85" s="63"/>
      <c r="B85" s="176"/>
      <c r="C85" s="195"/>
      <c r="D85" s="75"/>
      <c r="E85" s="134"/>
      <c r="F85" s="134"/>
      <c r="G85" s="134"/>
      <c r="H85" s="135"/>
      <c r="I85" s="152"/>
      <c r="J85" s="135"/>
      <c r="K85" s="136"/>
      <c r="L85" s="135"/>
      <c r="M85" s="137"/>
      <c r="N85" s="144"/>
      <c r="O85" s="130"/>
      <c r="P85" s="159"/>
      <c r="Q85" s="159"/>
    </row>
    <row r="86" spans="1:17" s="72" customFormat="1" ht="14.25" x14ac:dyDescent="0.2">
      <c r="A86" s="63"/>
      <c r="B86" s="143" t="s">
        <v>362</v>
      </c>
      <c r="C86" s="195">
        <v>239</v>
      </c>
      <c r="D86" s="75" t="s">
        <v>151</v>
      </c>
      <c r="E86" s="134">
        <v>0.12</v>
      </c>
      <c r="F86" s="134">
        <f>C86*E86</f>
        <v>28.68</v>
      </c>
      <c r="G86" s="134">
        <f>$H$11*E86</f>
        <v>5.3999999999999995</v>
      </c>
      <c r="H86" s="135">
        <f>F86*$H$11</f>
        <v>1290.5999999999999</v>
      </c>
      <c r="I86" s="152">
        <f>$X$25</f>
        <v>9.0354738903394249</v>
      </c>
      <c r="J86" s="135">
        <f>C86*I86</f>
        <v>2159.4782597911226</v>
      </c>
      <c r="K86" s="136">
        <f>SUM(H86,J86)</f>
        <v>3450.0782597911225</v>
      </c>
      <c r="L86" s="135">
        <f>K86/C86</f>
        <v>14.435473890339425</v>
      </c>
      <c r="M86" s="137">
        <f>C86*L86</f>
        <v>3450.0782597911225</v>
      </c>
      <c r="N86" s="144">
        <v>0</v>
      </c>
      <c r="O86" s="130">
        <f>M86*N86</f>
        <v>0</v>
      </c>
      <c r="P86" s="159"/>
      <c r="Q86" s="159"/>
    </row>
    <row r="87" spans="1:17" s="72" customFormat="1" ht="15" x14ac:dyDescent="0.2">
      <c r="A87" s="63"/>
      <c r="B87" s="176"/>
      <c r="C87" s="195"/>
      <c r="D87" s="75"/>
      <c r="E87" s="134"/>
      <c r="F87" s="134"/>
      <c r="G87" s="134"/>
      <c r="H87" s="135"/>
      <c r="I87" s="152"/>
      <c r="J87" s="135"/>
      <c r="K87" s="136"/>
      <c r="L87" s="135"/>
      <c r="M87" s="137"/>
      <c r="N87" s="144"/>
      <c r="O87" s="130"/>
      <c r="P87" s="159"/>
      <c r="Q87" s="159"/>
    </row>
    <row r="88" spans="1:17" s="72" customFormat="1" ht="14.25" x14ac:dyDescent="0.2">
      <c r="A88" s="63"/>
      <c r="B88" s="143" t="s">
        <v>360</v>
      </c>
      <c r="C88" s="195">
        <v>221</v>
      </c>
      <c r="D88" s="75" t="s">
        <v>151</v>
      </c>
      <c r="E88" s="134">
        <v>0.12</v>
      </c>
      <c r="F88" s="134">
        <f>C88*E88</f>
        <v>26.52</v>
      </c>
      <c r="G88" s="134">
        <f>$H$11*E88</f>
        <v>5.3999999999999995</v>
      </c>
      <c r="H88" s="135">
        <f>F88*$H$11</f>
        <v>1193.4000000000001</v>
      </c>
      <c r="I88" s="152">
        <f>$X$25</f>
        <v>9.0354738903394249</v>
      </c>
      <c r="J88" s="135">
        <f>C88*I88</f>
        <v>1996.8397297650129</v>
      </c>
      <c r="K88" s="136">
        <f>SUM(H88,J88)</f>
        <v>3190.2397297650132</v>
      </c>
      <c r="L88" s="135">
        <f>K88/C88</f>
        <v>14.435473890339425</v>
      </c>
      <c r="M88" s="137">
        <f>C88*L88</f>
        <v>3190.2397297650132</v>
      </c>
      <c r="N88" s="144">
        <v>0</v>
      </c>
      <c r="O88" s="130">
        <f>M88*N88</f>
        <v>0</v>
      </c>
      <c r="P88" s="159"/>
      <c r="Q88" s="159"/>
    </row>
    <row r="89" spans="1:17" s="72" customFormat="1" ht="15" x14ac:dyDescent="0.2">
      <c r="A89" s="63"/>
      <c r="B89" s="176"/>
      <c r="C89" s="195"/>
      <c r="D89" s="75"/>
      <c r="E89" s="134"/>
      <c r="F89" s="134"/>
      <c r="G89" s="134"/>
      <c r="H89" s="135"/>
      <c r="I89" s="152"/>
      <c r="J89" s="135"/>
      <c r="K89" s="136"/>
      <c r="L89" s="135"/>
      <c r="M89" s="137"/>
      <c r="N89" s="144"/>
      <c r="O89" s="130"/>
      <c r="P89" s="159"/>
      <c r="Q89" s="159"/>
    </row>
    <row r="90" spans="1:17" s="72" customFormat="1" ht="14.25" x14ac:dyDescent="0.2">
      <c r="A90" s="63"/>
      <c r="B90" s="143" t="s">
        <v>358</v>
      </c>
      <c r="C90" s="195">
        <v>7</v>
      </c>
      <c r="D90" s="75" t="s">
        <v>151</v>
      </c>
      <c r="E90" s="134">
        <v>0.12</v>
      </c>
      <c r="F90" s="134">
        <f>C90*E90</f>
        <v>0.84</v>
      </c>
      <c r="G90" s="134">
        <f>$H$11*E90</f>
        <v>5.3999999999999995</v>
      </c>
      <c r="H90" s="135">
        <f>F90*$H$11</f>
        <v>37.799999999999997</v>
      </c>
      <c r="I90" s="152">
        <f>$X$25</f>
        <v>9.0354738903394249</v>
      </c>
      <c r="J90" s="135">
        <f>C90*I90</f>
        <v>63.248317232375975</v>
      </c>
      <c r="K90" s="136">
        <f>SUM(H90,J90)</f>
        <v>101.04831723237598</v>
      </c>
      <c r="L90" s="135">
        <f>K90/C90</f>
        <v>14.435473890339425</v>
      </c>
      <c r="M90" s="137">
        <f>C90*L90</f>
        <v>101.04831723237598</v>
      </c>
      <c r="N90" s="144">
        <v>0</v>
      </c>
      <c r="O90" s="130">
        <f>M90*N90</f>
        <v>0</v>
      </c>
      <c r="P90" s="159"/>
      <c r="Q90" s="159"/>
    </row>
    <row r="91" spans="1:17" s="72" customFormat="1" ht="15" x14ac:dyDescent="0.2">
      <c r="A91" s="63"/>
      <c r="B91" s="176"/>
      <c r="C91" s="195"/>
      <c r="D91" s="75"/>
      <c r="E91" s="134"/>
      <c r="F91" s="134"/>
      <c r="G91" s="134"/>
      <c r="H91" s="135"/>
      <c r="I91" s="152"/>
      <c r="J91" s="135"/>
      <c r="K91" s="136"/>
      <c r="L91" s="135"/>
      <c r="M91" s="137"/>
      <c r="N91" s="144"/>
      <c r="O91" s="130"/>
      <c r="P91" s="159"/>
      <c r="Q91" s="159"/>
    </row>
    <row r="92" spans="1:17" s="72" customFormat="1" ht="14.25" x14ac:dyDescent="0.2">
      <c r="A92" s="63"/>
      <c r="B92" s="143" t="s">
        <v>363</v>
      </c>
      <c r="C92" s="195">
        <v>31</v>
      </c>
      <c r="D92" s="75" t="s">
        <v>151</v>
      </c>
      <c r="E92" s="134">
        <v>0.24</v>
      </c>
      <c r="F92" s="134">
        <f>C92*E92</f>
        <v>7.4399999999999995</v>
      </c>
      <c r="G92" s="134">
        <f>$H$11*E92</f>
        <v>10.799999999999999</v>
      </c>
      <c r="H92" s="135">
        <f>F92*$H$11</f>
        <v>334.79999999999995</v>
      </c>
      <c r="I92" s="152">
        <f>$X$25*2</f>
        <v>18.07094778067885</v>
      </c>
      <c r="J92" s="135">
        <f>C92*I92</f>
        <v>560.19938120104439</v>
      </c>
      <c r="K92" s="136">
        <f>SUM(H92,J92)</f>
        <v>894.99938120104434</v>
      </c>
      <c r="L92" s="135">
        <f>K92/C92</f>
        <v>28.870947780678851</v>
      </c>
      <c r="M92" s="137">
        <f>C92*L92</f>
        <v>894.99938120104434</v>
      </c>
      <c r="N92" s="144">
        <v>0</v>
      </c>
      <c r="O92" s="130">
        <f>M92*N92</f>
        <v>0</v>
      </c>
      <c r="P92" s="159" t="s">
        <v>364</v>
      </c>
      <c r="Q92" s="159"/>
    </row>
    <row r="93" spans="1:17" s="72" customFormat="1" ht="14.25" x14ac:dyDescent="0.2">
      <c r="A93" s="63"/>
      <c r="B93" s="143"/>
      <c r="C93" s="195"/>
      <c r="D93" s="75"/>
      <c r="E93" s="134"/>
      <c r="F93" s="134"/>
      <c r="G93" s="134"/>
      <c r="H93" s="135"/>
      <c r="I93" s="152"/>
      <c r="J93" s="135"/>
      <c r="K93" s="136"/>
      <c r="L93" s="135"/>
      <c r="M93" s="137"/>
      <c r="N93" s="144"/>
      <c r="O93" s="130"/>
      <c r="P93" s="159"/>
      <c r="Q93" s="159"/>
    </row>
    <row r="94" spans="1:17" ht="23.25" customHeight="1" x14ac:dyDescent="0.2">
      <c r="A94" s="63"/>
      <c r="B94" s="132"/>
      <c r="C94" s="138"/>
      <c r="D94" s="142"/>
      <c r="E94" s="133"/>
      <c r="F94" s="134"/>
      <c r="G94" s="134"/>
      <c r="H94" s="135"/>
      <c r="I94" s="135"/>
      <c r="J94" s="135"/>
      <c r="K94" s="136"/>
      <c r="L94" s="135"/>
      <c r="M94" s="137"/>
      <c r="N94" s="131"/>
      <c r="O94" s="130"/>
      <c r="P94" s="60"/>
      <c r="Q94" s="59"/>
    </row>
    <row r="95" spans="1:17" ht="24" customHeight="1" x14ac:dyDescent="0.2">
      <c r="A95" s="30"/>
      <c r="B95" s="31"/>
      <c r="C95" s="32"/>
      <c r="D95" s="33"/>
      <c r="E95" s="33"/>
      <c r="F95" s="33">
        <f>SUM(F13:F94)</f>
        <v>310.97999999999996</v>
      </c>
      <c r="G95" s="33"/>
      <c r="H95" s="86">
        <f>SUM(H13:H94)</f>
        <v>13994.099999999999</v>
      </c>
      <c r="I95" s="33"/>
      <c r="J95" s="78">
        <f>SUM(J13:J94)</f>
        <v>23755.524041665358</v>
      </c>
      <c r="K95" s="33"/>
      <c r="L95" s="33"/>
      <c r="M95" s="68"/>
      <c r="N95" s="94"/>
      <c r="O95" s="104"/>
      <c r="P95" s="60"/>
      <c r="Q95" s="59"/>
    </row>
    <row r="96" spans="1:17" ht="15" customHeight="1" x14ac:dyDescent="0.2">
      <c r="A96" s="15"/>
      <c r="B96" s="28" t="s">
        <v>16</v>
      </c>
      <c r="C96" s="24"/>
      <c r="D96" s="25"/>
      <c r="E96" s="25"/>
      <c r="F96" s="25"/>
      <c r="G96" s="25"/>
      <c r="H96" s="25"/>
      <c r="I96" s="25"/>
      <c r="J96" s="25"/>
      <c r="K96" s="25"/>
      <c r="L96" s="25"/>
      <c r="M96" s="26">
        <f>SUM(M13:M94)</f>
        <v>37749.624041665353</v>
      </c>
      <c r="N96" s="100"/>
      <c r="O96" s="103">
        <f>SUM(O13:O94)</f>
        <v>0</v>
      </c>
      <c r="P96" s="60"/>
      <c r="Q96" s="65"/>
    </row>
    <row r="97" spans="1:17" x14ac:dyDescent="0.2">
      <c r="A97" s="13"/>
      <c r="B97" s="35" t="s">
        <v>12</v>
      </c>
      <c r="C97" s="24"/>
      <c r="D97" s="36"/>
      <c r="E97" s="36"/>
      <c r="F97" s="36"/>
      <c r="G97" s="36"/>
      <c r="H97" s="36"/>
      <c r="I97" s="36"/>
      <c r="J97" s="36"/>
      <c r="K97" s="36"/>
      <c r="L97" s="36"/>
      <c r="M97" s="26"/>
      <c r="N97" s="100"/>
      <c r="O97" s="103"/>
      <c r="P97" s="60"/>
      <c r="Q97" s="65"/>
    </row>
    <row r="98" spans="1:17" ht="24" customHeight="1" x14ac:dyDescent="0.2">
      <c r="A98" s="13"/>
      <c r="B98" s="37"/>
      <c r="C98" s="24"/>
      <c r="D98" s="36"/>
      <c r="E98" s="36"/>
      <c r="F98" s="36"/>
      <c r="G98" s="36"/>
      <c r="H98" s="36"/>
      <c r="I98" s="36"/>
      <c r="J98" s="36"/>
      <c r="K98" s="36"/>
      <c r="L98" s="36"/>
      <c r="M98" s="26"/>
      <c r="N98" s="100"/>
      <c r="O98" s="103"/>
      <c r="P98" s="60"/>
      <c r="Q98" s="59"/>
    </row>
    <row r="99" spans="1:17" ht="18.75" customHeight="1" x14ac:dyDescent="0.2">
      <c r="A99" s="15"/>
      <c r="B99" s="13" t="s">
        <v>8</v>
      </c>
      <c r="C99" s="24"/>
      <c r="D99" s="36" t="s">
        <v>5</v>
      </c>
      <c r="E99" s="36"/>
      <c r="F99" s="36"/>
      <c r="G99" s="36"/>
      <c r="H99" s="36"/>
      <c r="I99" s="36"/>
      <c r="J99" s="36"/>
      <c r="K99" s="36"/>
      <c r="L99" s="609">
        <v>2.0500000000000001E-2</v>
      </c>
      <c r="M99" s="84">
        <f>M96*L99</f>
        <v>773.86729285413981</v>
      </c>
      <c r="N99" s="100"/>
      <c r="O99" s="103">
        <f>(O96/M96)*M99</f>
        <v>0</v>
      </c>
    </row>
    <row r="100" spans="1:17" ht="18.75" customHeight="1" x14ac:dyDescent="0.2">
      <c r="A100" s="38"/>
      <c r="B100" s="13"/>
      <c r="C100" s="24"/>
      <c r="D100" s="36"/>
      <c r="E100" s="36"/>
      <c r="F100" s="36"/>
      <c r="G100" s="36"/>
      <c r="H100" s="36"/>
      <c r="I100" s="36"/>
      <c r="J100" s="36"/>
      <c r="K100" s="36"/>
      <c r="L100" s="36"/>
      <c r="M100" s="26"/>
      <c r="N100" s="100"/>
      <c r="O100" s="103"/>
    </row>
    <row r="101" spans="1:17" s="42" customFormat="1" x14ac:dyDescent="0.2">
      <c r="A101" s="15"/>
      <c r="B101" s="39" t="s">
        <v>9</v>
      </c>
      <c r="C101" s="40"/>
      <c r="D101" s="41" t="s">
        <v>5</v>
      </c>
      <c r="E101" s="41"/>
      <c r="F101" s="41"/>
      <c r="G101" s="41"/>
      <c r="H101" s="41"/>
      <c r="I101" s="41"/>
      <c r="J101" s="41"/>
      <c r="K101" s="41"/>
      <c r="L101" s="79">
        <v>0.01</v>
      </c>
      <c r="M101" s="34">
        <f>M96*L101</f>
        <v>377.49624041665351</v>
      </c>
      <c r="N101" s="100"/>
      <c r="O101" s="103">
        <f>(O96/M96)*M101</f>
        <v>0</v>
      </c>
    </row>
    <row r="102" spans="1:17" s="42" customFormat="1" x14ac:dyDescent="0.2">
      <c r="A102" s="15"/>
      <c r="B102" s="39"/>
      <c r="C102" s="40"/>
      <c r="D102" s="41"/>
      <c r="E102" s="41"/>
      <c r="F102" s="41"/>
      <c r="G102" s="41"/>
      <c r="H102" s="41"/>
      <c r="I102" s="41"/>
      <c r="J102" s="41"/>
      <c r="K102" s="41"/>
      <c r="L102" s="41"/>
      <c r="M102" s="34"/>
      <c r="N102" s="100"/>
      <c r="O102" s="103"/>
    </row>
    <row r="103" spans="1:17" s="42" customFormat="1" x14ac:dyDescent="0.2">
      <c r="A103" s="15"/>
      <c r="B103" s="39" t="s">
        <v>10</v>
      </c>
      <c r="C103" s="40"/>
      <c r="D103" s="41" t="s">
        <v>5</v>
      </c>
      <c r="E103" s="41"/>
      <c r="F103" s="41"/>
      <c r="G103" s="41"/>
      <c r="H103" s="41"/>
      <c r="I103" s="41"/>
      <c r="J103" s="41"/>
      <c r="K103" s="41"/>
      <c r="L103" s="79">
        <v>2.5000000000000001E-3</v>
      </c>
      <c r="M103" s="34">
        <f>M96*L103</f>
        <v>94.374060104163377</v>
      </c>
      <c r="N103" s="100"/>
      <c r="O103" s="103">
        <f>(O96/M96)*M103</f>
        <v>0</v>
      </c>
    </row>
    <row r="104" spans="1:17" s="42" customFormat="1" ht="20.25" customHeight="1" x14ac:dyDescent="0.2">
      <c r="A104" s="15"/>
      <c r="B104" s="80"/>
      <c r="C104" s="81"/>
      <c r="D104" s="82"/>
      <c r="E104" s="82"/>
      <c r="F104" s="82"/>
      <c r="G104" s="82"/>
      <c r="H104" s="82"/>
      <c r="I104" s="82"/>
      <c r="J104" s="82"/>
      <c r="K104" s="82"/>
      <c r="L104" s="82"/>
      <c r="M104" s="85"/>
      <c r="N104" s="100"/>
      <c r="O104" s="103"/>
    </row>
    <row r="105" spans="1:17" s="42" customFormat="1" ht="21.75" customHeight="1" x14ac:dyDescent="0.2">
      <c r="A105" s="29"/>
      <c r="B105" s="141" t="s">
        <v>42</v>
      </c>
      <c r="C105" s="81"/>
      <c r="D105" s="82" t="s">
        <v>5</v>
      </c>
      <c r="E105" s="82"/>
      <c r="F105" s="82"/>
      <c r="G105" s="82"/>
      <c r="H105" s="82"/>
      <c r="I105" s="82"/>
      <c r="J105" s="82"/>
      <c r="K105" s="82"/>
      <c r="L105" s="83">
        <f>M105/M96</f>
        <v>1.8535416385278839E-2</v>
      </c>
      <c r="M105" s="85">
        <f>I118</f>
        <v>699.70499999999993</v>
      </c>
      <c r="N105" s="100"/>
      <c r="O105" s="103"/>
      <c r="P105" s="172"/>
    </row>
    <row r="106" spans="1:17" s="42" customFormat="1" ht="18" customHeight="1" x14ac:dyDescent="0.2">
      <c r="A106" s="29"/>
      <c r="B106" s="80"/>
      <c r="C106" s="81"/>
      <c r="D106" s="82"/>
      <c r="E106" s="82"/>
      <c r="F106" s="82"/>
      <c r="G106" s="82"/>
      <c r="H106" s="82"/>
      <c r="I106" s="82"/>
      <c r="J106" s="82"/>
      <c r="K106" s="82"/>
      <c r="L106" s="82"/>
      <c r="M106" s="85"/>
      <c r="N106" s="100"/>
      <c r="O106" s="103"/>
    </row>
    <row r="107" spans="1:17" s="42" customFormat="1" x14ac:dyDescent="0.2">
      <c r="A107" s="29"/>
      <c r="B107" s="80" t="s">
        <v>44</v>
      </c>
      <c r="C107" s="81"/>
      <c r="D107" s="82" t="s">
        <v>5</v>
      </c>
      <c r="E107" s="82"/>
      <c r="F107" s="82"/>
      <c r="G107" s="82"/>
      <c r="H107" s="82"/>
      <c r="I107" s="82"/>
      <c r="J107" s="82"/>
      <c r="K107" s="82"/>
      <c r="L107" s="83"/>
      <c r="M107" s="85"/>
      <c r="N107" s="100"/>
      <c r="O107" s="103">
        <f>M107*N107</f>
        <v>0</v>
      </c>
    </row>
    <row r="108" spans="1:17" s="42" customFormat="1" x14ac:dyDescent="0.2">
      <c r="A108" s="15"/>
      <c r="B108" s="80"/>
      <c r="C108" s="81"/>
      <c r="D108" s="82"/>
      <c r="E108" s="82"/>
      <c r="F108" s="82"/>
      <c r="G108" s="82"/>
      <c r="H108" s="82"/>
      <c r="I108" s="82"/>
      <c r="J108" s="82"/>
      <c r="K108" s="82"/>
      <c r="L108" s="82"/>
      <c r="M108" s="34"/>
      <c r="N108" s="100"/>
      <c r="O108" s="105"/>
    </row>
    <row r="109" spans="1:17" ht="18.75" customHeight="1" x14ac:dyDescent="0.2">
      <c r="A109" s="43"/>
      <c r="B109" s="44" t="s">
        <v>17</v>
      </c>
      <c r="C109" s="45"/>
      <c r="D109" s="46"/>
      <c r="E109" s="46"/>
      <c r="F109" s="46"/>
      <c r="G109" s="46"/>
      <c r="H109" s="46"/>
      <c r="I109" s="46"/>
      <c r="J109" s="46"/>
      <c r="K109" s="46"/>
      <c r="L109" s="46"/>
      <c r="M109" s="69">
        <f>SUM(M96:M108)</f>
        <v>39695.066635040312</v>
      </c>
      <c r="N109" s="101"/>
      <c r="O109" s="106">
        <f>SUM(O96:O108)</f>
        <v>0</v>
      </c>
      <c r="P109" s="42"/>
      <c r="Q109" s="42"/>
    </row>
    <row r="110" spans="1:17" ht="16.5" customHeight="1" x14ac:dyDescent="0.2">
      <c r="A110" s="15"/>
      <c r="B110" s="19"/>
      <c r="C110" s="24"/>
      <c r="D110" s="36"/>
      <c r="E110" s="36"/>
      <c r="F110" s="36"/>
      <c r="G110" s="36"/>
      <c r="H110" s="36"/>
      <c r="I110" s="36"/>
      <c r="J110" s="36"/>
      <c r="K110" s="36"/>
      <c r="L110" s="36"/>
      <c r="M110" s="26"/>
      <c r="N110" s="95"/>
      <c r="O110" s="107"/>
      <c r="P110" s="42"/>
      <c r="Q110" s="42"/>
    </row>
    <row r="111" spans="1:17" x14ac:dyDescent="0.2">
      <c r="A111" s="15"/>
      <c r="B111" s="19" t="s">
        <v>11</v>
      </c>
      <c r="C111" s="24"/>
      <c r="D111" s="36"/>
      <c r="E111" s="36"/>
      <c r="F111" s="36"/>
      <c r="G111" s="36"/>
      <c r="H111" s="36"/>
      <c r="I111" s="36"/>
      <c r="J111" s="36"/>
      <c r="K111" s="36"/>
      <c r="L111" s="79">
        <v>0.05</v>
      </c>
      <c r="M111" s="26">
        <f>M109*L111</f>
        <v>1984.7533317520156</v>
      </c>
      <c r="N111" s="95"/>
      <c r="O111" s="107">
        <f>O109/M109*M111</f>
        <v>0</v>
      </c>
      <c r="P111" s="42"/>
      <c r="Q111" s="42"/>
    </row>
    <row r="112" spans="1:17" x14ac:dyDescent="0.2">
      <c r="A112" s="47"/>
      <c r="B112" s="48"/>
      <c r="C112" s="49"/>
      <c r="D112" s="49"/>
      <c r="E112" s="49"/>
      <c r="F112" s="49"/>
      <c r="G112" s="49"/>
      <c r="H112" s="49"/>
      <c r="I112" s="49"/>
      <c r="J112" s="49"/>
      <c r="K112" s="49"/>
      <c r="L112" s="174"/>
      <c r="M112" s="70"/>
      <c r="N112" s="95"/>
      <c r="O112" s="107"/>
      <c r="P112" s="42"/>
      <c r="Q112" s="42"/>
    </row>
    <row r="113" spans="1:17" ht="27.75" customHeight="1" x14ac:dyDescent="0.2">
      <c r="A113" s="50"/>
      <c r="B113" s="56" t="s">
        <v>745</v>
      </c>
      <c r="C113" s="51"/>
      <c r="D113" s="52"/>
      <c r="E113" s="52"/>
      <c r="F113" s="52"/>
      <c r="G113" s="52"/>
      <c r="H113" s="52"/>
      <c r="I113" s="52"/>
      <c r="J113" s="52"/>
      <c r="K113" s="52"/>
      <c r="L113" s="173"/>
      <c r="M113" s="71">
        <f>ROUNDUP(SUM(M109:M112),0)</f>
        <v>41680</v>
      </c>
      <c r="N113" s="151">
        <f>O113/M113</f>
        <v>0</v>
      </c>
      <c r="O113" s="109">
        <f>SUM(O109:O112)</f>
        <v>0</v>
      </c>
      <c r="P113" s="42"/>
      <c r="Q113" s="42"/>
    </row>
    <row r="114" spans="1:17" ht="13.5" customHeight="1" x14ac:dyDescent="0.2">
      <c r="A114" s="161"/>
      <c r="B114" s="162"/>
      <c r="C114" s="163"/>
      <c r="D114" s="164"/>
      <c r="E114" s="164"/>
      <c r="F114" s="164"/>
      <c r="G114" s="72"/>
      <c r="H114" s="72"/>
      <c r="I114" s="72"/>
      <c r="J114" s="72"/>
      <c r="K114" s="164"/>
      <c r="L114" s="164"/>
      <c r="M114" s="165"/>
      <c r="N114" s="166">
        <f>SUM(L98:L108)</f>
        <v>5.1535416385278837E-2</v>
      </c>
      <c r="O114" s="240"/>
      <c r="P114" s="166">
        <f>L111</f>
        <v>0.05</v>
      </c>
      <c r="Q114" s="42"/>
    </row>
    <row r="115" spans="1:17" ht="13.5" customHeight="1" x14ac:dyDescent="0.2">
      <c r="A115" s="161"/>
      <c r="B115" s="162"/>
      <c r="C115" s="163"/>
      <c r="D115" s="164"/>
      <c r="E115" s="164"/>
      <c r="F115" s="167"/>
      <c r="G115" s="410" t="s">
        <v>45</v>
      </c>
      <c r="H115" s="411"/>
      <c r="I115" s="411"/>
      <c r="J115" s="412"/>
      <c r="K115" s="633">
        <f>SUM(F16:F22,F43:F60)</f>
        <v>96.089999999999975</v>
      </c>
      <c r="L115" s="169" t="s">
        <v>328</v>
      </c>
      <c r="M115" s="165">
        <f>SUM(M16:M22,M43:M60)</f>
        <v>11762.648903854319</v>
      </c>
      <c r="N115" s="561">
        <f>M115*$N$114</f>
        <v>606.19300905397597</v>
      </c>
      <c r="O115" s="156">
        <f>SUM(M115:N115)</f>
        <v>12368.841912908294</v>
      </c>
      <c r="P115" s="568">
        <f>O115*$P$114</f>
        <v>618.44209564541472</v>
      </c>
      <c r="Q115" s="565">
        <f>SUM(O115:P115)</f>
        <v>12987.284008553708</v>
      </c>
    </row>
    <row r="116" spans="1:17" ht="13.5" customHeight="1" x14ac:dyDescent="0.2">
      <c r="A116" s="161"/>
      <c r="B116" s="162"/>
      <c r="C116" s="163"/>
      <c r="D116" s="164"/>
      <c r="E116" s="164"/>
      <c r="F116" s="164"/>
      <c r="G116" s="413"/>
      <c r="H116" s="414" t="s">
        <v>583</v>
      </c>
      <c r="I116" s="72"/>
      <c r="J116" s="415"/>
      <c r="K116" s="634"/>
      <c r="L116" s="169"/>
      <c r="M116" s="165"/>
      <c r="N116" s="561"/>
      <c r="O116" s="156"/>
      <c r="P116" s="568"/>
      <c r="Q116" s="566"/>
    </row>
    <row r="117" spans="1:17" ht="13.5" customHeight="1" x14ac:dyDescent="0.2">
      <c r="F117" s="168"/>
      <c r="G117" s="413">
        <f>F95/8</f>
        <v>38.872499999999995</v>
      </c>
      <c r="H117" s="416">
        <v>1</v>
      </c>
      <c r="I117" s="72"/>
      <c r="J117" s="415"/>
      <c r="K117" s="635">
        <f>SUM(F23:F27,F64:F78)</f>
        <v>67.5</v>
      </c>
      <c r="L117" s="169" t="s">
        <v>329</v>
      </c>
      <c r="M117" s="53">
        <f>SUM(M23:M27,M64:M78)</f>
        <v>8251.9891530678851</v>
      </c>
      <c r="N117" s="561">
        <f>M117*$N$114</f>
        <v>425.26969701015793</v>
      </c>
      <c r="O117" s="156">
        <f>SUM(M117:N117)</f>
        <v>8677.2588500780439</v>
      </c>
      <c r="P117" s="568">
        <f>O117*$P$114</f>
        <v>433.86294250390222</v>
      </c>
      <c r="Q117" s="219">
        <f>SUM(O117:P117)</f>
        <v>9111.1217925819456</v>
      </c>
    </row>
    <row r="118" spans="1:17" ht="13.5" customHeight="1" x14ac:dyDescent="0.2">
      <c r="F118" s="168"/>
      <c r="G118" s="413">
        <f>G117/H117</f>
        <v>38.872499999999995</v>
      </c>
      <c r="H118" s="61">
        <v>18</v>
      </c>
      <c r="I118" s="61">
        <f>G118*H118</f>
        <v>699.70499999999993</v>
      </c>
      <c r="J118" s="415"/>
      <c r="K118" s="636"/>
      <c r="L118" s="169"/>
      <c r="M118" s="53"/>
      <c r="N118" s="561"/>
      <c r="O118" s="156"/>
      <c r="P118" s="568"/>
      <c r="Q118" s="566"/>
    </row>
    <row r="119" spans="1:17" x14ac:dyDescent="0.2">
      <c r="F119" s="168"/>
      <c r="G119" s="413"/>
      <c r="H119" s="72"/>
      <c r="I119" s="72"/>
      <c r="J119" s="415"/>
      <c r="K119" s="635">
        <f>SUM(F29:F38,F81:F92)</f>
        <v>147.39000000000001</v>
      </c>
      <c r="L119" s="169" t="s">
        <v>330</v>
      </c>
      <c r="M119" s="53">
        <f>SUM(M29:M38,M81:M92)</f>
        <v>17734.985984743151</v>
      </c>
      <c r="N119" s="561">
        <f>M119*$N$114</f>
        <v>913.97988731082273</v>
      </c>
      <c r="O119" s="156">
        <f>SUM(M119:N119)</f>
        <v>18648.965872053974</v>
      </c>
      <c r="P119" s="568">
        <f>O119*$P$114</f>
        <v>932.44829360269875</v>
      </c>
      <c r="Q119" s="567">
        <f>SUM(O119:P119)</f>
        <v>19581.414165656672</v>
      </c>
    </row>
    <row r="120" spans="1:17" x14ac:dyDescent="0.2">
      <c r="G120" s="417"/>
      <c r="H120" s="418"/>
      <c r="I120" s="418"/>
      <c r="J120" s="419"/>
      <c r="K120" s="637"/>
      <c r="L120" s="556"/>
      <c r="M120" s="557"/>
      <c r="N120" s="558"/>
      <c r="O120" s="559"/>
      <c r="P120" s="546"/>
      <c r="Q120" s="546"/>
    </row>
    <row r="121" spans="1:17" x14ac:dyDescent="0.2">
      <c r="K121" s="636">
        <f>SUM(K115:K120)</f>
        <v>310.98</v>
      </c>
      <c r="M121" s="53">
        <f>SUM(M115:M120)</f>
        <v>37749.624041665353</v>
      </c>
      <c r="N121" s="53"/>
      <c r="O121" s="53"/>
      <c r="P121" s="53"/>
      <c r="Q121" s="53">
        <f>SUM(Q115:Q120)</f>
        <v>41679.819966792325</v>
      </c>
    </row>
    <row r="122" spans="1:17" ht="15" x14ac:dyDescent="0.25">
      <c r="B122" s="113" t="s">
        <v>30</v>
      </c>
      <c r="C122" s="114"/>
      <c r="D122" s="114"/>
      <c r="E122" s="114"/>
      <c r="F122" s="114"/>
      <c r="I122" s="113" t="s">
        <v>30</v>
      </c>
      <c r="J122" s="114"/>
      <c r="K122" s="114"/>
      <c r="L122" s="114"/>
      <c r="M122" s="114"/>
      <c r="O122" s="108"/>
      <c r="P122" s="42"/>
      <c r="Q122" s="42"/>
    </row>
    <row r="123" spans="1:17" x14ac:dyDescent="0.2">
      <c r="B123" s="115" t="s">
        <v>43</v>
      </c>
      <c r="C123" s="116"/>
      <c r="D123" s="111"/>
      <c r="E123" s="111"/>
      <c r="F123" s="111"/>
      <c r="I123" s="115" t="s">
        <v>31</v>
      </c>
      <c r="J123" s="116"/>
      <c r="K123" s="111"/>
      <c r="L123" s="111"/>
      <c r="M123" s="111"/>
      <c r="O123" s="108"/>
      <c r="P123" s="42"/>
      <c r="Q123" s="42"/>
    </row>
    <row r="124" spans="1:17" ht="15" x14ac:dyDescent="0.25">
      <c r="B124" s="115" t="s">
        <v>32</v>
      </c>
      <c r="C124" s="116" t="s">
        <v>33</v>
      </c>
      <c r="D124" s="111" t="s">
        <v>34</v>
      </c>
      <c r="E124" s="111" t="s">
        <v>35</v>
      </c>
      <c r="F124" s="114"/>
      <c r="I124" s="115" t="s">
        <v>32</v>
      </c>
      <c r="J124" s="116" t="s">
        <v>33</v>
      </c>
      <c r="K124" s="111" t="s">
        <v>34</v>
      </c>
      <c r="L124" s="111" t="s">
        <v>35</v>
      </c>
      <c r="M124" s="114"/>
      <c r="O124" s="108"/>
      <c r="P124" s="42"/>
      <c r="Q124" s="42"/>
    </row>
    <row r="125" spans="1:17" x14ac:dyDescent="0.2">
      <c r="B125" s="117">
        <v>1</v>
      </c>
      <c r="C125" s="116">
        <v>55</v>
      </c>
      <c r="D125" s="111">
        <f>B125*C125</f>
        <v>55</v>
      </c>
      <c r="E125" s="111">
        <f>D125*F125</f>
        <v>110</v>
      </c>
      <c r="F125" s="118">
        <v>2</v>
      </c>
      <c r="I125" s="117">
        <v>4</v>
      </c>
      <c r="J125" s="116">
        <v>55</v>
      </c>
      <c r="K125" s="111">
        <f>I125*J125</f>
        <v>220</v>
      </c>
      <c r="L125" s="111">
        <f>K125*M125</f>
        <v>440</v>
      </c>
      <c r="M125" s="118">
        <v>2</v>
      </c>
      <c r="O125" s="108"/>
      <c r="P125" s="42"/>
      <c r="Q125" s="42"/>
    </row>
    <row r="126" spans="1:17" x14ac:dyDescent="0.2">
      <c r="B126" s="115" t="s">
        <v>36</v>
      </c>
      <c r="C126" s="116"/>
      <c r="D126" s="111"/>
      <c r="E126" s="111" t="s">
        <v>37</v>
      </c>
      <c r="F126" s="111"/>
      <c r="I126" s="115" t="s">
        <v>36</v>
      </c>
      <c r="J126" s="116"/>
      <c r="K126" s="111"/>
      <c r="L126" s="111" t="s">
        <v>37</v>
      </c>
      <c r="M126" s="111"/>
      <c r="O126" s="108"/>
      <c r="P126" s="42"/>
      <c r="Q126" s="42"/>
    </row>
    <row r="127" spans="1:17" ht="15" x14ac:dyDescent="0.25">
      <c r="B127" s="115">
        <v>0.7</v>
      </c>
      <c r="C127" s="119"/>
      <c r="D127" s="114"/>
      <c r="E127" s="111">
        <f>B127*C127</f>
        <v>0</v>
      </c>
      <c r="F127" s="111"/>
      <c r="I127" s="115">
        <v>0.7</v>
      </c>
      <c r="J127" s="119">
        <v>310</v>
      </c>
      <c r="K127" s="114"/>
      <c r="L127" s="111">
        <f>I127*J127</f>
        <v>217</v>
      </c>
      <c r="M127" s="111"/>
      <c r="O127" s="108"/>
      <c r="P127" s="42"/>
      <c r="Q127" s="42"/>
    </row>
    <row r="128" spans="1:17" x14ac:dyDescent="0.2">
      <c r="B128" s="115" t="s">
        <v>38</v>
      </c>
      <c r="C128" s="116"/>
      <c r="D128" s="111"/>
      <c r="E128" s="111">
        <f>SUM(E125:E127)</f>
        <v>110</v>
      </c>
      <c r="F128" s="111"/>
      <c r="I128" s="115" t="s">
        <v>38</v>
      </c>
      <c r="J128" s="116"/>
      <c r="K128" s="111"/>
      <c r="L128" s="111">
        <f>SUM(L125:L127)</f>
        <v>657</v>
      </c>
      <c r="M128" s="111"/>
      <c r="O128" s="108"/>
      <c r="P128" s="42"/>
      <c r="Q128" s="42"/>
    </row>
    <row r="129" spans="2:17" x14ac:dyDescent="0.2">
      <c r="B129" s="117">
        <v>2</v>
      </c>
      <c r="C129" s="116"/>
      <c r="D129" s="111"/>
      <c r="E129" s="111">
        <f>B129*E128</f>
        <v>220</v>
      </c>
      <c r="F129" s="111"/>
      <c r="I129" s="117">
        <v>1</v>
      </c>
      <c r="J129" s="116"/>
      <c r="K129" s="111"/>
      <c r="L129" s="111">
        <f>I129*L128</f>
        <v>657</v>
      </c>
      <c r="M129" s="111"/>
      <c r="O129" s="108"/>
      <c r="P129" s="42"/>
      <c r="Q129" s="42"/>
    </row>
    <row r="130" spans="2:17" x14ac:dyDescent="0.2">
      <c r="B130" s="115" t="s">
        <v>39</v>
      </c>
      <c r="C130" s="116" t="s">
        <v>40</v>
      </c>
      <c r="D130" s="111"/>
      <c r="E130" s="111" t="s">
        <v>41</v>
      </c>
      <c r="F130" s="111"/>
      <c r="I130" s="115" t="s">
        <v>39</v>
      </c>
      <c r="J130" s="116" t="s">
        <v>40</v>
      </c>
      <c r="K130" s="111"/>
      <c r="L130" s="111" t="s">
        <v>41</v>
      </c>
      <c r="M130" s="111"/>
      <c r="Q130" s="54"/>
    </row>
    <row r="131" spans="2:17" x14ac:dyDescent="0.2">
      <c r="B131" s="117"/>
      <c r="C131" s="119"/>
      <c r="D131" s="111">
        <f>B131*C131</f>
        <v>0</v>
      </c>
      <c r="E131" s="111">
        <f>D131*F125</f>
        <v>0</v>
      </c>
      <c r="F131" s="111"/>
      <c r="I131" s="117">
        <v>125</v>
      </c>
      <c r="J131" s="119">
        <v>4</v>
      </c>
      <c r="K131" s="111">
        <f>I131*J131</f>
        <v>500</v>
      </c>
      <c r="L131" s="111">
        <f>K131*M125</f>
        <v>1000</v>
      </c>
      <c r="M131" s="111"/>
    </row>
    <row r="132" spans="2:17" x14ac:dyDescent="0.2">
      <c r="B132" s="115"/>
      <c r="C132" s="116"/>
      <c r="D132" s="111"/>
      <c r="E132" s="112">
        <f>SUM(E129:E131)</f>
        <v>220</v>
      </c>
      <c r="F132" s="111"/>
      <c r="I132" s="115"/>
      <c r="J132" s="116"/>
      <c r="K132" s="111"/>
      <c r="L132" s="112">
        <f>SUM(L129:L131)</f>
        <v>1657</v>
      </c>
      <c r="M132" s="111"/>
    </row>
    <row r="136" spans="2:17" x14ac:dyDescent="0.2">
      <c r="D136" s="72" t="s">
        <v>45</v>
      </c>
      <c r="E136" s="14">
        <f>F95/8.5</f>
        <v>36.585882352941169</v>
      </c>
      <c r="F136" s="60">
        <f>E136*17.5</f>
        <v>640.25294117647047</v>
      </c>
      <c r="G136" s="72" t="s">
        <v>48</v>
      </c>
    </row>
  </sheetData>
  <pageMargins left="0.7" right="0.7" top="0.75" bottom="0.75" header="0.3" footer="0.3"/>
  <pageSetup paperSize="9" scale="9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7EEA-E9D5-42D4-9BBC-BD38109F6AA6}">
  <sheetPr>
    <pageSetUpPr fitToPage="1"/>
  </sheetPr>
  <dimension ref="A1:S234"/>
  <sheetViews>
    <sheetView topLeftCell="A197" zoomScale="85" zoomScaleNormal="85" workbookViewId="0">
      <selection activeCell="D193" sqref="A1:D193"/>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0" width="12.5703125" style="14" bestFit="1" customWidth="1"/>
    <col min="11"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Summary!B123</f>
        <v>Gib Wall and Ceiling Linings</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50</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93"/>
      <c r="M13" s="181"/>
      <c r="N13" s="182"/>
      <c r="O13" s="183"/>
    </row>
    <row r="14" spans="1:17" s="72" customFormat="1" ht="14.25" x14ac:dyDescent="0.2">
      <c r="A14" s="63"/>
      <c r="B14" s="180" t="s">
        <v>153</v>
      </c>
      <c r="C14" s="64"/>
      <c r="D14" s="75"/>
      <c r="E14" s="128"/>
      <c r="F14" s="129"/>
      <c r="G14" s="129"/>
      <c r="H14" s="129"/>
      <c r="I14" s="153"/>
      <c r="J14" s="128"/>
      <c r="K14" s="128"/>
      <c r="L14" s="179"/>
      <c r="M14" s="120"/>
      <c r="N14" s="126"/>
      <c r="O14" s="127"/>
    </row>
    <row r="15" spans="1:17" s="72" customFormat="1" ht="14.25" x14ac:dyDescent="0.2">
      <c r="A15" s="63"/>
      <c r="B15" s="121"/>
      <c r="C15" s="64"/>
      <c r="D15" s="75"/>
      <c r="E15" s="128"/>
      <c r="F15" s="129"/>
      <c r="G15" s="129"/>
      <c r="H15" s="129"/>
      <c r="I15" s="153"/>
      <c r="J15" s="128"/>
      <c r="K15" s="128"/>
      <c r="L15" s="179"/>
      <c r="M15" s="120"/>
      <c r="N15" s="126"/>
      <c r="O15" s="127"/>
    </row>
    <row r="16" spans="1:17" s="72" customFormat="1" ht="15" x14ac:dyDescent="0.2">
      <c r="A16" s="63"/>
      <c r="B16" s="176" t="s">
        <v>58</v>
      </c>
      <c r="C16" s="64"/>
      <c r="D16" s="75"/>
      <c r="E16" s="128"/>
      <c r="F16" s="129"/>
      <c r="G16" s="129"/>
      <c r="H16" s="129"/>
      <c r="I16" s="153"/>
      <c r="J16" s="128"/>
      <c r="K16" s="128"/>
      <c r="L16" s="179"/>
      <c r="M16" s="120"/>
      <c r="N16" s="126"/>
      <c r="O16" s="127"/>
    </row>
    <row r="17" spans="1:18" s="72" customFormat="1" ht="14.25" x14ac:dyDescent="0.2">
      <c r="A17" s="63"/>
      <c r="B17" s="143" t="s">
        <v>150</v>
      </c>
      <c r="C17" s="64">
        <v>45</v>
      </c>
      <c r="D17" s="75" t="s">
        <v>151</v>
      </c>
      <c r="E17" s="134">
        <v>0.2</v>
      </c>
      <c r="F17" s="134">
        <f>C17*E17</f>
        <v>9</v>
      </c>
      <c r="G17" s="134">
        <f>$H$11*E17</f>
        <v>10</v>
      </c>
      <c r="H17" s="135">
        <f>F17*$H$11</f>
        <v>450</v>
      </c>
      <c r="I17" s="152">
        <v>14</v>
      </c>
      <c r="J17" s="135">
        <f>C17*I17</f>
        <v>630</v>
      </c>
      <c r="K17" s="136">
        <f>SUM(H17,J17)</f>
        <v>1080</v>
      </c>
      <c r="L17" s="194">
        <f>K17/C17</f>
        <v>24</v>
      </c>
      <c r="M17" s="137">
        <f>C17*L17</f>
        <v>1080</v>
      </c>
      <c r="N17" s="144">
        <v>0</v>
      </c>
      <c r="O17" s="130">
        <f>M17*N17</f>
        <v>0</v>
      </c>
      <c r="P17" s="159"/>
      <c r="Q17" s="177"/>
    </row>
    <row r="18" spans="1:18" s="72" customFormat="1" ht="14.25" x14ac:dyDescent="0.2">
      <c r="A18" s="63"/>
      <c r="B18" s="175" t="s">
        <v>154</v>
      </c>
      <c r="C18" s="64">
        <v>45</v>
      </c>
      <c r="D18" s="75" t="s">
        <v>151</v>
      </c>
      <c r="E18" s="134">
        <v>0.35</v>
      </c>
      <c r="F18" s="134">
        <f>C18*E18</f>
        <v>15.749999999999998</v>
      </c>
      <c r="G18" s="134">
        <f>$H$11*E18</f>
        <v>17.5</v>
      </c>
      <c r="H18" s="135">
        <f>F18*$H$11</f>
        <v>787.49999999999989</v>
      </c>
      <c r="I18" s="152">
        <v>14</v>
      </c>
      <c r="J18" s="135">
        <f>C18*I18</f>
        <v>630</v>
      </c>
      <c r="K18" s="136">
        <f>SUM(H18,J18)</f>
        <v>1417.5</v>
      </c>
      <c r="L18" s="194">
        <f>K18/C18</f>
        <v>31.5</v>
      </c>
      <c r="M18" s="137">
        <f>C18*L18</f>
        <v>1417.5</v>
      </c>
      <c r="N18" s="144">
        <v>0</v>
      </c>
      <c r="O18" s="130">
        <f>M18*N18</f>
        <v>0</v>
      </c>
      <c r="P18" s="159"/>
      <c r="Q18" s="159"/>
    </row>
    <row r="19" spans="1:18" s="72" customFormat="1" ht="14.25" x14ac:dyDescent="0.2">
      <c r="A19" s="63"/>
      <c r="B19" s="175" t="s">
        <v>152</v>
      </c>
      <c r="C19" s="64">
        <v>41</v>
      </c>
      <c r="D19" s="75" t="s">
        <v>116</v>
      </c>
      <c r="E19" s="134">
        <v>0.1</v>
      </c>
      <c r="F19" s="134">
        <f>C19*E19</f>
        <v>4.1000000000000005</v>
      </c>
      <c r="G19" s="134">
        <f>$H$11*E19</f>
        <v>5</v>
      </c>
      <c r="H19" s="135">
        <f>F19*$H$11</f>
        <v>205.00000000000003</v>
      </c>
      <c r="I19" s="152">
        <v>0</v>
      </c>
      <c r="J19" s="135">
        <f>C19*I19</f>
        <v>0</v>
      </c>
      <c r="K19" s="136">
        <f>SUM(H19,J19)</f>
        <v>205.00000000000003</v>
      </c>
      <c r="L19" s="194">
        <f>K19/C19</f>
        <v>5.0000000000000009</v>
      </c>
      <c r="M19" s="137">
        <f>C19*L19</f>
        <v>205.00000000000003</v>
      </c>
      <c r="N19" s="144">
        <v>0</v>
      </c>
      <c r="O19" s="130">
        <f>M19*N19</f>
        <v>0</v>
      </c>
      <c r="P19" s="159"/>
      <c r="Q19" s="159"/>
    </row>
    <row r="20" spans="1:18" s="72" customFormat="1" ht="14.25" x14ac:dyDescent="0.2">
      <c r="A20" s="63"/>
      <c r="B20" s="175" t="s">
        <v>157</v>
      </c>
      <c r="C20" s="64">
        <v>41</v>
      </c>
      <c r="D20" s="75" t="s">
        <v>116</v>
      </c>
      <c r="E20" s="134">
        <v>0.1</v>
      </c>
      <c r="F20" s="134">
        <f>C20*E20</f>
        <v>4.1000000000000005</v>
      </c>
      <c r="G20" s="134">
        <f>$H$11*E20</f>
        <v>5</v>
      </c>
      <c r="H20" s="135">
        <f>F20*$H$11</f>
        <v>205.00000000000003</v>
      </c>
      <c r="I20" s="152">
        <v>4</v>
      </c>
      <c r="J20" s="135">
        <f>C20*I20</f>
        <v>164</v>
      </c>
      <c r="K20" s="136">
        <f>SUM(H20,J20)</f>
        <v>369</v>
      </c>
      <c r="L20" s="194">
        <f>K20/C20</f>
        <v>9</v>
      </c>
      <c r="M20" s="137">
        <f>C20*L20</f>
        <v>369</v>
      </c>
      <c r="N20" s="144">
        <v>0</v>
      </c>
      <c r="O20" s="130">
        <f>M20*N20</f>
        <v>0</v>
      </c>
      <c r="P20" s="159"/>
      <c r="Q20" s="159"/>
    </row>
    <row r="21" spans="1:18" s="72" customFormat="1" ht="14.25" x14ac:dyDescent="0.2">
      <c r="A21" s="63"/>
      <c r="B21" s="175"/>
      <c r="C21" s="64"/>
      <c r="D21" s="75"/>
      <c r="E21" s="134"/>
      <c r="F21" s="134"/>
      <c r="G21" s="134"/>
      <c r="H21" s="135"/>
      <c r="I21" s="152"/>
      <c r="J21" s="135"/>
      <c r="K21" s="136"/>
      <c r="L21" s="194"/>
      <c r="M21" s="137"/>
      <c r="N21" s="144"/>
      <c r="O21" s="130"/>
      <c r="P21" s="159"/>
      <c r="Q21" s="159"/>
    </row>
    <row r="22" spans="1:18" s="72" customFormat="1" ht="14.25" x14ac:dyDescent="0.2">
      <c r="A22" s="63"/>
      <c r="B22" s="175" t="s">
        <v>155</v>
      </c>
      <c r="C22" s="64">
        <v>14</v>
      </c>
      <c r="D22" s="75" t="s">
        <v>151</v>
      </c>
      <c r="E22" s="134">
        <v>0.35</v>
      </c>
      <c r="F22" s="134">
        <f>C22*E22</f>
        <v>4.8999999999999995</v>
      </c>
      <c r="G22" s="134">
        <f>$H$11*E22</f>
        <v>17.5</v>
      </c>
      <c r="H22" s="135">
        <f>F22*$H$11</f>
        <v>244.99999999999997</v>
      </c>
      <c r="I22" s="152">
        <v>14</v>
      </c>
      <c r="J22" s="135">
        <f>C22*I22</f>
        <v>196</v>
      </c>
      <c r="K22" s="136">
        <f>SUM(H22,J22)</f>
        <v>441</v>
      </c>
      <c r="L22" s="194">
        <f>K22/C22</f>
        <v>31.5</v>
      </c>
      <c r="M22" s="137">
        <f>C22*L22</f>
        <v>441</v>
      </c>
      <c r="N22" s="144">
        <v>0</v>
      </c>
      <c r="O22" s="130">
        <f>M22*N22</f>
        <v>0</v>
      </c>
      <c r="P22" s="159"/>
      <c r="Q22" s="159"/>
    </row>
    <row r="23" spans="1:18" s="72" customFormat="1" ht="14.25" x14ac:dyDescent="0.2">
      <c r="A23" s="63"/>
      <c r="B23" s="175" t="s">
        <v>152</v>
      </c>
      <c r="C23" s="64">
        <v>13</v>
      </c>
      <c r="D23" s="75" t="s">
        <v>116</v>
      </c>
      <c r="E23" s="134">
        <v>0.1</v>
      </c>
      <c r="F23" s="134">
        <f>C23*E23</f>
        <v>1.3</v>
      </c>
      <c r="G23" s="134">
        <f>$H$11*E23</f>
        <v>5</v>
      </c>
      <c r="H23" s="135">
        <f>F23*$H$11</f>
        <v>65</v>
      </c>
      <c r="I23" s="152">
        <v>0</v>
      </c>
      <c r="J23" s="135">
        <f>C23*I23</f>
        <v>0</v>
      </c>
      <c r="K23" s="136">
        <f>SUM(H23,J23)</f>
        <v>65</v>
      </c>
      <c r="L23" s="194">
        <f>K23/C23</f>
        <v>5</v>
      </c>
      <c r="M23" s="137">
        <f>C23*L23</f>
        <v>65</v>
      </c>
      <c r="N23" s="144">
        <v>0</v>
      </c>
      <c r="O23" s="130">
        <f>M23*N23</f>
        <v>0</v>
      </c>
      <c r="P23" s="159"/>
      <c r="Q23" s="159"/>
    </row>
    <row r="24" spans="1:18" s="72" customFormat="1" ht="14.25" x14ac:dyDescent="0.2">
      <c r="A24" s="63"/>
      <c r="B24" s="175" t="s">
        <v>156</v>
      </c>
      <c r="C24" s="64">
        <v>13</v>
      </c>
      <c r="D24" s="75" t="s">
        <v>116</v>
      </c>
      <c r="E24" s="134">
        <v>0.1</v>
      </c>
      <c r="F24" s="134">
        <f>C24*E24</f>
        <v>1.3</v>
      </c>
      <c r="G24" s="134">
        <f>$H$11*E24</f>
        <v>5</v>
      </c>
      <c r="H24" s="135">
        <f>F24*$H$11</f>
        <v>65</v>
      </c>
      <c r="I24" s="152">
        <v>0</v>
      </c>
      <c r="J24" s="135">
        <f>C24*I24</f>
        <v>0</v>
      </c>
      <c r="K24" s="136">
        <f>SUM(H24,J24)</f>
        <v>65</v>
      </c>
      <c r="L24" s="194">
        <f>K24/C24</f>
        <v>5</v>
      </c>
      <c r="M24" s="137">
        <f>C24*L24</f>
        <v>65</v>
      </c>
      <c r="N24" s="144">
        <v>0</v>
      </c>
      <c r="O24" s="130">
        <f>M24*N24</f>
        <v>0</v>
      </c>
      <c r="P24" s="159"/>
      <c r="Q24" s="159"/>
    </row>
    <row r="25" spans="1:18" s="72" customFormat="1" ht="14.25" x14ac:dyDescent="0.2">
      <c r="A25" s="63"/>
      <c r="B25" s="175" t="s">
        <v>157</v>
      </c>
      <c r="C25" s="64">
        <v>13</v>
      </c>
      <c r="D25" s="75" t="s">
        <v>116</v>
      </c>
      <c r="E25" s="134">
        <v>0.1</v>
      </c>
      <c r="F25" s="134">
        <f>C25*E25</f>
        <v>1.3</v>
      </c>
      <c r="G25" s="134">
        <f>$H$11*E25</f>
        <v>5</v>
      </c>
      <c r="H25" s="135">
        <f>F25*$H$11</f>
        <v>65</v>
      </c>
      <c r="I25" s="152">
        <v>4</v>
      </c>
      <c r="J25" s="135">
        <f>C25*I25</f>
        <v>52</v>
      </c>
      <c r="K25" s="136">
        <f>SUM(H25,J25)</f>
        <v>117</v>
      </c>
      <c r="L25" s="194">
        <f>K25/C25</f>
        <v>9</v>
      </c>
      <c r="M25" s="137">
        <f>C25*L25</f>
        <v>117</v>
      </c>
      <c r="N25" s="144">
        <v>0</v>
      </c>
      <c r="O25" s="130">
        <f>M25*N25</f>
        <v>0</v>
      </c>
      <c r="P25" s="159"/>
      <c r="Q25" s="159"/>
    </row>
    <row r="26" spans="1:18" s="72" customFormat="1" ht="14.25" x14ac:dyDescent="0.2">
      <c r="A26" s="63"/>
      <c r="B26" s="175"/>
      <c r="C26" s="64"/>
      <c r="D26" s="75"/>
      <c r="E26" s="134"/>
      <c r="F26" s="134"/>
      <c r="G26" s="134"/>
      <c r="H26" s="135"/>
      <c r="I26" s="152"/>
      <c r="J26" s="135"/>
      <c r="K26" s="136"/>
      <c r="L26" s="194"/>
      <c r="M26" s="137"/>
      <c r="N26" s="144"/>
      <c r="O26" s="130"/>
      <c r="P26" s="159"/>
      <c r="Q26" s="159"/>
    </row>
    <row r="27" spans="1:18" s="72" customFormat="1" ht="14.25" x14ac:dyDescent="0.2">
      <c r="A27" s="63"/>
      <c r="B27" s="175" t="s">
        <v>246</v>
      </c>
      <c r="C27" s="64">
        <v>4</v>
      </c>
      <c r="D27" s="75" t="s">
        <v>151</v>
      </c>
      <c r="E27" s="134">
        <v>0.35</v>
      </c>
      <c r="F27" s="134">
        <f>C27*E27</f>
        <v>1.4</v>
      </c>
      <c r="G27" s="134">
        <f>$H$11*E27</f>
        <v>17.5</v>
      </c>
      <c r="H27" s="135">
        <f>F27*$H$11</f>
        <v>70</v>
      </c>
      <c r="I27" s="152">
        <v>14</v>
      </c>
      <c r="J27" s="135">
        <f>C27*I27</f>
        <v>56</v>
      </c>
      <c r="K27" s="136">
        <f>SUM(H27,J27)</f>
        <v>126</v>
      </c>
      <c r="L27" s="194">
        <f>K27/C27</f>
        <v>31.5</v>
      </c>
      <c r="M27" s="137">
        <f>C27*L27</f>
        <v>126</v>
      </c>
      <c r="N27" s="144">
        <v>0</v>
      </c>
      <c r="O27" s="130">
        <f>M27*N27</f>
        <v>0</v>
      </c>
      <c r="P27" s="159"/>
      <c r="Q27" s="159"/>
    </row>
    <row r="28" spans="1:18" s="72" customFormat="1" ht="14.25" x14ac:dyDescent="0.2">
      <c r="A28" s="63"/>
      <c r="B28" s="175" t="s">
        <v>152</v>
      </c>
      <c r="C28" s="64">
        <v>4</v>
      </c>
      <c r="D28" s="75" t="s">
        <v>116</v>
      </c>
      <c r="E28" s="134">
        <v>0.1</v>
      </c>
      <c r="F28" s="134">
        <f>C28*E28</f>
        <v>0.4</v>
      </c>
      <c r="G28" s="134">
        <f>$H$11*E28</f>
        <v>5</v>
      </c>
      <c r="H28" s="135">
        <f>F28*$H$11</f>
        <v>20</v>
      </c>
      <c r="I28" s="152">
        <v>0</v>
      </c>
      <c r="J28" s="135">
        <f>C28*I28</f>
        <v>0</v>
      </c>
      <c r="K28" s="136">
        <f>SUM(H28,J28)</f>
        <v>20</v>
      </c>
      <c r="L28" s="194">
        <f>K28/C28</f>
        <v>5</v>
      </c>
      <c r="M28" s="137">
        <f>C28*L28</f>
        <v>20</v>
      </c>
      <c r="N28" s="144">
        <v>0</v>
      </c>
      <c r="O28" s="130">
        <f>M28*N28</f>
        <v>0</v>
      </c>
      <c r="P28" s="159"/>
      <c r="Q28" s="159"/>
    </row>
    <row r="29" spans="1:18" s="72" customFormat="1" ht="14.25" x14ac:dyDescent="0.2">
      <c r="A29" s="63"/>
      <c r="B29" s="175" t="s">
        <v>156</v>
      </c>
      <c r="C29" s="64">
        <v>4</v>
      </c>
      <c r="D29" s="75" t="s">
        <v>116</v>
      </c>
      <c r="E29" s="134">
        <v>0.1</v>
      </c>
      <c r="F29" s="134">
        <f>C29*E29</f>
        <v>0.4</v>
      </c>
      <c r="G29" s="134">
        <f>$H$11*E29</f>
        <v>5</v>
      </c>
      <c r="H29" s="135">
        <f>F29*$H$11</f>
        <v>20</v>
      </c>
      <c r="I29" s="152">
        <v>0</v>
      </c>
      <c r="J29" s="135">
        <f>C29*I29</f>
        <v>0</v>
      </c>
      <c r="K29" s="136">
        <f>SUM(H29,J29)</f>
        <v>20</v>
      </c>
      <c r="L29" s="194">
        <f>K29/C29</f>
        <v>5</v>
      </c>
      <c r="M29" s="137">
        <f>C29*L29</f>
        <v>20</v>
      </c>
      <c r="N29" s="144">
        <v>0</v>
      </c>
      <c r="O29" s="130">
        <f>M29*N29</f>
        <v>0</v>
      </c>
      <c r="P29" s="159"/>
      <c r="Q29" s="159"/>
    </row>
    <row r="30" spans="1:18" s="72" customFormat="1" ht="14.25" x14ac:dyDescent="0.2">
      <c r="A30" s="63"/>
      <c r="B30" s="175" t="s">
        <v>157</v>
      </c>
      <c r="C30" s="64">
        <v>4</v>
      </c>
      <c r="D30" s="75" t="s">
        <v>116</v>
      </c>
      <c r="E30" s="134">
        <v>0.1</v>
      </c>
      <c r="F30" s="134">
        <f>C30*E30</f>
        <v>0.4</v>
      </c>
      <c r="G30" s="134">
        <f>$H$11*E30</f>
        <v>5</v>
      </c>
      <c r="H30" s="135">
        <f>F30*$H$11</f>
        <v>20</v>
      </c>
      <c r="I30" s="152">
        <v>4</v>
      </c>
      <c r="J30" s="135">
        <f>C30*I30</f>
        <v>16</v>
      </c>
      <c r="K30" s="136">
        <f>SUM(H30,J30)</f>
        <v>36</v>
      </c>
      <c r="L30" s="194">
        <f>K30/C30</f>
        <v>9</v>
      </c>
      <c r="M30" s="137">
        <f>C30*L30</f>
        <v>36</v>
      </c>
      <c r="N30" s="144">
        <v>0</v>
      </c>
      <c r="O30" s="130">
        <f>M30*N30</f>
        <v>0</v>
      </c>
      <c r="P30" s="159"/>
      <c r="Q30" s="159"/>
      <c r="R30" s="306">
        <f>SUM(F17:F30)</f>
        <v>44.349999999999987</v>
      </c>
    </row>
    <row r="31" spans="1:18" s="72" customFormat="1" ht="14.25" x14ac:dyDescent="0.2">
      <c r="A31" s="63"/>
      <c r="B31" s="143"/>
      <c r="C31" s="64"/>
      <c r="D31" s="75"/>
      <c r="E31" s="134"/>
      <c r="F31" s="134"/>
      <c r="G31" s="134"/>
      <c r="H31" s="135"/>
      <c r="I31" s="152"/>
      <c r="J31" s="135"/>
      <c r="K31" s="136"/>
      <c r="L31" s="135"/>
      <c r="M31" s="137"/>
      <c r="N31" s="144"/>
      <c r="O31" s="130"/>
      <c r="P31" s="159"/>
      <c r="Q31" s="159"/>
    </row>
    <row r="32" spans="1:18" s="72" customFormat="1" ht="14.25" x14ac:dyDescent="0.2">
      <c r="A32" s="63"/>
      <c r="B32" s="143"/>
      <c r="C32" s="64"/>
      <c r="D32" s="75"/>
      <c r="E32" s="134"/>
      <c r="F32" s="134"/>
      <c r="G32" s="134"/>
      <c r="H32" s="135"/>
      <c r="I32" s="152"/>
      <c r="J32" s="135"/>
      <c r="K32" s="136"/>
      <c r="L32" s="135"/>
      <c r="M32" s="137"/>
      <c r="N32" s="144"/>
      <c r="O32" s="130"/>
      <c r="P32" s="159"/>
      <c r="Q32" s="159"/>
    </row>
    <row r="33" spans="1:17" s="72" customFormat="1" ht="15" x14ac:dyDescent="0.2">
      <c r="A33" s="63"/>
      <c r="B33" s="176" t="s">
        <v>59</v>
      </c>
      <c r="C33" s="64"/>
      <c r="D33" s="75"/>
      <c r="E33" s="128"/>
      <c r="F33" s="129"/>
      <c r="G33" s="129"/>
      <c r="H33" s="129"/>
      <c r="I33" s="153"/>
      <c r="J33" s="128"/>
      <c r="K33" s="128"/>
      <c r="L33" s="128"/>
      <c r="M33" s="120"/>
      <c r="N33" s="126"/>
      <c r="O33" s="127"/>
      <c r="P33" s="159"/>
      <c r="Q33" s="159"/>
    </row>
    <row r="34" spans="1:17" s="72" customFormat="1" ht="14.25" x14ac:dyDescent="0.2">
      <c r="A34" s="63"/>
      <c r="B34" s="175" t="s">
        <v>155</v>
      </c>
      <c r="C34" s="64">
        <v>15</v>
      </c>
      <c r="D34" s="75" t="s">
        <v>151</v>
      </c>
      <c r="E34" s="134">
        <v>0.35</v>
      </c>
      <c r="F34" s="134">
        <f>C34*E34</f>
        <v>5.25</v>
      </c>
      <c r="G34" s="134">
        <f>$H$11*E34</f>
        <v>17.5</v>
      </c>
      <c r="H34" s="135">
        <f>F34*$H$11</f>
        <v>262.5</v>
      </c>
      <c r="I34" s="152">
        <v>14</v>
      </c>
      <c r="J34" s="135">
        <f>C34*I34</f>
        <v>210</v>
      </c>
      <c r="K34" s="136">
        <f>SUM(H34,J34)</f>
        <v>472.5</v>
      </c>
      <c r="L34" s="135">
        <f>K34/C34</f>
        <v>31.5</v>
      </c>
      <c r="M34" s="137">
        <f>C34*L34</f>
        <v>472.5</v>
      </c>
      <c r="N34" s="144">
        <v>0</v>
      </c>
      <c r="O34" s="130">
        <f>M34*N34</f>
        <v>0</v>
      </c>
      <c r="P34" s="159"/>
      <c r="Q34" s="159"/>
    </row>
    <row r="35" spans="1:17" s="72" customFormat="1" ht="14.25" x14ac:dyDescent="0.2">
      <c r="A35" s="63"/>
      <c r="B35" s="175" t="s">
        <v>152</v>
      </c>
      <c r="C35" s="64">
        <v>14</v>
      </c>
      <c r="D35" s="75" t="s">
        <v>116</v>
      </c>
      <c r="E35" s="134">
        <v>0.1</v>
      </c>
      <c r="F35" s="134">
        <f>C35*E35</f>
        <v>1.4000000000000001</v>
      </c>
      <c r="G35" s="134">
        <f>$H$11*E35</f>
        <v>5</v>
      </c>
      <c r="H35" s="135">
        <f>F35*$H$11</f>
        <v>70</v>
      </c>
      <c r="I35" s="152">
        <v>0</v>
      </c>
      <c r="J35" s="135">
        <f>C35*I35</f>
        <v>0</v>
      </c>
      <c r="K35" s="136">
        <f>SUM(H35,J35)</f>
        <v>70</v>
      </c>
      <c r="L35" s="135">
        <f>K35/C35</f>
        <v>5</v>
      </c>
      <c r="M35" s="137">
        <f>C35*L35</f>
        <v>70</v>
      </c>
      <c r="N35" s="144">
        <v>0</v>
      </c>
      <c r="O35" s="130">
        <f>M35*N35</f>
        <v>0</v>
      </c>
      <c r="P35" s="159"/>
      <c r="Q35" s="159"/>
    </row>
    <row r="36" spans="1:17" s="72" customFormat="1" ht="14.25" x14ac:dyDescent="0.2">
      <c r="A36" s="63"/>
      <c r="B36" s="175" t="s">
        <v>156</v>
      </c>
      <c r="C36" s="64">
        <v>14</v>
      </c>
      <c r="D36" s="75" t="s">
        <v>116</v>
      </c>
      <c r="E36" s="134">
        <v>0.1</v>
      </c>
      <c r="F36" s="134">
        <f>C36*E36</f>
        <v>1.4000000000000001</v>
      </c>
      <c r="G36" s="134">
        <f>$H$11*E36</f>
        <v>5</v>
      </c>
      <c r="H36" s="135">
        <f>F36*$H$11</f>
        <v>70</v>
      </c>
      <c r="I36" s="152">
        <v>0</v>
      </c>
      <c r="J36" s="135">
        <f>C36*I36</f>
        <v>0</v>
      </c>
      <c r="K36" s="136">
        <f>SUM(H36,J36)</f>
        <v>70</v>
      </c>
      <c r="L36" s="135">
        <f>K36/C36</f>
        <v>5</v>
      </c>
      <c r="M36" s="137">
        <f>C36*L36</f>
        <v>70</v>
      </c>
      <c r="N36" s="144">
        <v>0</v>
      </c>
      <c r="O36" s="130">
        <f>M36*N36</f>
        <v>0</v>
      </c>
      <c r="P36" s="159"/>
      <c r="Q36" s="159"/>
    </row>
    <row r="37" spans="1:17" s="72" customFormat="1" ht="14.25" x14ac:dyDescent="0.2">
      <c r="A37" s="63"/>
      <c r="B37" s="175" t="s">
        <v>157</v>
      </c>
      <c r="C37" s="64">
        <v>14</v>
      </c>
      <c r="D37" s="75" t="s">
        <v>116</v>
      </c>
      <c r="E37" s="134">
        <v>0.05</v>
      </c>
      <c r="F37" s="134">
        <f>C37*E37</f>
        <v>0.70000000000000007</v>
      </c>
      <c r="G37" s="134">
        <f>$H$11*E37</f>
        <v>2.5</v>
      </c>
      <c r="H37" s="135">
        <f>F37*$H$11</f>
        <v>35</v>
      </c>
      <c r="I37" s="152">
        <v>4</v>
      </c>
      <c r="J37" s="135">
        <f>C37*I37</f>
        <v>56</v>
      </c>
      <c r="K37" s="136">
        <f>SUM(H37,J37)</f>
        <v>91</v>
      </c>
      <c r="L37" s="135">
        <f>K37/C37</f>
        <v>6.5</v>
      </c>
      <c r="M37" s="137">
        <f>C37*L37</f>
        <v>91</v>
      </c>
      <c r="N37" s="144">
        <v>0</v>
      </c>
      <c r="O37" s="130">
        <f>M37*N37</f>
        <v>0</v>
      </c>
      <c r="P37" s="159"/>
      <c r="Q37" s="159"/>
    </row>
    <row r="38" spans="1:17" s="72" customFormat="1" ht="14.25" x14ac:dyDescent="0.2">
      <c r="A38" s="63"/>
      <c r="B38" s="143"/>
      <c r="C38" s="64"/>
      <c r="D38" s="75"/>
      <c r="E38" s="134"/>
      <c r="F38" s="134"/>
      <c r="G38" s="134"/>
      <c r="H38" s="135"/>
      <c r="I38" s="152"/>
      <c r="J38" s="135"/>
      <c r="K38" s="136"/>
      <c r="L38" s="135"/>
      <c r="M38" s="137"/>
      <c r="N38" s="144"/>
      <c r="O38" s="130"/>
      <c r="P38" s="159"/>
      <c r="Q38" s="159"/>
    </row>
    <row r="39" spans="1:17" s="72" customFormat="1" ht="14.25" x14ac:dyDescent="0.2">
      <c r="A39" s="63"/>
      <c r="B39" s="143"/>
      <c r="C39" s="64"/>
      <c r="D39" s="75"/>
      <c r="E39" s="134"/>
      <c r="F39" s="134"/>
      <c r="G39" s="134"/>
      <c r="H39" s="135"/>
      <c r="I39" s="152"/>
      <c r="J39" s="135"/>
      <c r="K39" s="136"/>
      <c r="L39" s="135"/>
      <c r="M39" s="137"/>
      <c r="N39" s="144"/>
      <c r="O39" s="130"/>
      <c r="P39" s="159"/>
      <c r="Q39" s="159"/>
    </row>
    <row r="40" spans="1:17" s="72" customFormat="1" ht="15" x14ac:dyDescent="0.2">
      <c r="A40" s="63"/>
      <c r="B40" s="176" t="s">
        <v>60</v>
      </c>
      <c r="C40" s="64"/>
      <c r="D40" s="75"/>
      <c r="E40" s="128"/>
      <c r="F40" s="129"/>
      <c r="G40" s="129"/>
      <c r="H40" s="129"/>
      <c r="I40" s="153"/>
      <c r="J40" s="128"/>
      <c r="K40" s="128"/>
      <c r="L40" s="128"/>
      <c r="M40" s="120"/>
      <c r="N40" s="126"/>
      <c r="O40" s="127"/>
      <c r="P40" s="159"/>
      <c r="Q40" s="159"/>
    </row>
    <row r="41" spans="1:17" s="72" customFormat="1" ht="14.25" x14ac:dyDescent="0.2">
      <c r="A41" s="63"/>
      <c r="B41" s="143" t="s">
        <v>150</v>
      </c>
      <c r="C41" s="64">
        <v>4</v>
      </c>
      <c r="D41" s="75" t="s">
        <v>151</v>
      </c>
      <c r="E41" s="134">
        <v>0.2</v>
      </c>
      <c r="F41" s="134">
        <f>C41*E41</f>
        <v>0.8</v>
      </c>
      <c r="G41" s="134">
        <f>$H$11*E41</f>
        <v>10</v>
      </c>
      <c r="H41" s="135">
        <f>F41*$H$11</f>
        <v>40</v>
      </c>
      <c r="I41" s="152">
        <v>14</v>
      </c>
      <c r="J41" s="135">
        <f>C41*I41</f>
        <v>56</v>
      </c>
      <c r="K41" s="136">
        <f>SUM(H41,J41)</f>
        <v>96</v>
      </c>
      <c r="L41" s="135">
        <f>K41/C41</f>
        <v>24</v>
      </c>
      <c r="M41" s="137">
        <f>C41*L41</f>
        <v>96</v>
      </c>
      <c r="N41" s="144">
        <v>0</v>
      </c>
      <c r="O41" s="130">
        <f>M41*N41</f>
        <v>0</v>
      </c>
      <c r="P41" s="159"/>
      <c r="Q41" s="159"/>
    </row>
    <row r="42" spans="1:17" s="72" customFormat="1" ht="15" x14ac:dyDescent="0.2">
      <c r="A42" s="63"/>
      <c r="B42" s="176"/>
      <c r="C42" s="64"/>
      <c r="D42" s="75"/>
      <c r="E42" s="128"/>
      <c r="F42" s="129"/>
      <c r="G42" s="129"/>
      <c r="H42" s="129"/>
      <c r="I42" s="153"/>
      <c r="J42" s="128"/>
      <c r="K42" s="128"/>
      <c r="L42" s="128"/>
      <c r="M42" s="120"/>
      <c r="N42" s="126"/>
      <c r="O42" s="127"/>
      <c r="P42" s="159"/>
      <c r="Q42" s="159"/>
    </row>
    <row r="43" spans="1:17" s="72" customFormat="1" ht="14.25" x14ac:dyDescent="0.2">
      <c r="A43" s="63"/>
      <c r="B43" s="143" t="s">
        <v>166</v>
      </c>
      <c r="C43" s="64">
        <v>249</v>
      </c>
      <c r="D43" s="75" t="s">
        <v>151</v>
      </c>
      <c r="E43" s="134">
        <v>0.2</v>
      </c>
      <c r="F43" s="134">
        <f>C43*E43</f>
        <v>49.800000000000004</v>
      </c>
      <c r="G43" s="134">
        <f>$H$11*E43</f>
        <v>10</v>
      </c>
      <c r="H43" s="135">
        <f>F43*$H$11</f>
        <v>2490</v>
      </c>
      <c r="I43" s="152">
        <v>18.57</v>
      </c>
      <c r="J43" s="135">
        <f>C43*I43</f>
        <v>4623.93</v>
      </c>
      <c r="K43" s="136">
        <f>SUM(H43,J43)</f>
        <v>7113.93</v>
      </c>
      <c r="L43" s="135">
        <f>K43/C43</f>
        <v>28.57</v>
      </c>
      <c r="M43" s="137">
        <f>C43*L43</f>
        <v>7113.93</v>
      </c>
      <c r="N43" s="144">
        <v>0</v>
      </c>
      <c r="O43" s="130">
        <f>M43*N43</f>
        <v>0</v>
      </c>
      <c r="P43" s="159"/>
      <c r="Q43" s="159"/>
    </row>
    <row r="44" spans="1:17" s="72" customFormat="1" ht="14.25" x14ac:dyDescent="0.2">
      <c r="A44" s="63"/>
      <c r="B44" s="143" t="s">
        <v>247</v>
      </c>
      <c r="C44" s="64">
        <v>300</v>
      </c>
      <c r="D44" s="75" t="s">
        <v>116</v>
      </c>
      <c r="E44" s="134">
        <v>0.05</v>
      </c>
      <c r="F44" s="134">
        <f>C44*E44</f>
        <v>15</v>
      </c>
      <c r="G44" s="134">
        <f>$H$11*E44</f>
        <v>2.5</v>
      </c>
      <c r="H44" s="135">
        <f>F44*$H$11</f>
        <v>750</v>
      </c>
      <c r="I44" s="152">
        <v>2.5</v>
      </c>
      <c r="J44" s="135">
        <f>C44*I44</f>
        <v>750</v>
      </c>
      <c r="K44" s="136">
        <f>SUM(H44,J44)</f>
        <v>1500</v>
      </c>
      <c r="L44" s="135">
        <f>K44/C44</f>
        <v>5</v>
      </c>
      <c r="M44" s="137">
        <f>C44*L44</f>
        <v>1500</v>
      </c>
      <c r="N44" s="144">
        <v>0</v>
      </c>
      <c r="O44" s="130">
        <f>M44*N44</f>
        <v>0</v>
      </c>
      <c r="P44" s="159"/>
      <c r="Q44" s="159"/>
    </row>
    <row r="45" spans="1:17" s="72" customFormat="1" ht="15" x14ac:dyDescent="0.2">
      <c r="A45" s="63"/>
      <c r="B45" s="176"/>
      <c r="C45" s="64"/>
      <c r="D45" s="75"/>
      <c r="E45" s="134"/>
      <c r="F45" s="134"/>
      <c r="G45" s="134"/>
      <c r="H45" s="135"/>
      <c r="I45" s="152"/>
      <c r="J45" s="135"/>
      <c r="K45" s="136"/>
      <c r="L45" s="135"/>
      <c r="M45" s="137"/>
      <c r="N45" s="144"/>
      <c r="O45" s="130"/>
      <c r="P45" s="159"/>
      <c r="Q45" s="159"/>
    </row>
    <row r="46" spans="1:17" s="72" customFormat="1" ht="14.25" x14ac:dyDescent="0.2">
      <c r="A46" s="63"/>
      <c r="B46" s="143" t="s">
        <v>164</v>
      </c>
      <c r="C46" s="64">
        <v>36</v>
      </c>
      <c r="D46" s="75" t="s">
        <v>151</v>
      </c>
      <c r="E46" s="134">
        <v>0.22</v>
      </c>
      <c r="F46" s="134">
        <f>C46*E46</f>
        <v>7.92</v>
      </c>
      <c r="G46" s="134">
        <f>$H$11*E46</f>
        <v>11</v>
      </c>
      <c r="H46" s="135">
        <f>F46*$H$11</f>
        <v>396</v>
      </c>
      <c r="I46" s="152">
        <v>24.97</v>
      </c>
      <c r="J46" s="135">
        <f>C46*I46</f>
        <v>898.92</v>
      </c>
      <c r="K46" s="136">
        <f>SUM(H46,J46)</f>
        <v>1294.92</v>
      </c>
      <c r="L46" s="135">
        <f>K46/C46</f>
        <v>35.97</v>
      </c>
      <c r="M46" s="137">
        <f>C46*L46</f>
        <v>1294.92</v>
      </c>
      <c r="N46" s="144">
        <v>0</v>
      </c>
      <c r="O46" s="130">
        <f>M46*N46</f>
        <v>0</v>
      </c>
      <c r="P46" s="159"/>
      <c r="Q46" s="159"/>
    </row>
    <row r="47" spans="1:17" s="72" customFormat="1" ht="14.25" x14ac:dyDescent="0.2">
      <c r="A47" s="63"/>
      <c r="B47" s="143"/>
      <c r="C47" s="64"/>
      <c r="D47" s="75"/>
      <c r="E47" s="134"/>
      <c r="F47" s="134"/>
      <c r="G47" s="134"/>
      <c r="H47" s="135"/>
      <c r="I47" s="152"/>
      <c r="J47" s="135"/>
      <c r="K47" s="136"/>
      <c r="L47" s="135"/>
      <c r="M47" s="137"/>
      <c r="N47" s="144"/>
      <c r="O47" s="130"/>
      <c r="P47" s="159"/>
      <c r="Q47" s="159"/>
    </row>
    <row r="48" spans="1:17" s="72" customFormat="1" ht="14.25" x14ac:dyDescent="0.2">
      <c r="A48" s="63"/>
      <c r="B48" s="175" t="s">
        <v>248</v>
      </c>
      <c r="C48" s="243">
        <v>4</v>
      </c>
      <c r="D48" s="75" t="s">
        <v>151</v>
      </c>
      <c r="E48" s="134">
        <v>0.34</v>
      </c>
      <c r="F48" s="134">
        <f>C48*E48</f>
        <v>1.36</v>
      </c>
      <c r="G48" s="134">
        <f>$H$11*E48</f>
        <v>17</v>
      </c>
      <c r="H48" s="135">
        <f>F48*$H$11</f>
        <v>68</v>
      </c>
      <c r="I48" s="152">
        <v>14</v>
      </c>
      <c r="J48" s="135">
        <f>C48*I48</f>
        <v>56</v>
      </c>
      <c r="K48" s="136">
        <f>SUM(H48,J48)</f>
        <v>124</v>
      </c>
      <c r="L48" s="194">
        <f>K48/C48</f>
        <v>31</v>
      </c>
      <c r="M48" s="137">
        <f>C48*L48</f>
        <v>124</v>
      </c>
      <c r="N48" s="144">
        <v>0</v>
      </c>
      <c r="O48" s="130">
        <f>M48*N48</f>
        <v>0</v>
      </c>
      <c r="P48" s="159"/>
      <c r="Q48" s="159"/>
    </row>
    <row r="49" spans="1:17" s="72" customFormat="1" ht="14.25" x14ac:dyDescent="0.2">
      <c r="A49" s="63"/>
      <c r="B49" s="175" t="s">
        <v>152</v>
      </c>
      <c r="C49" s="64">
        <v>4</v>
      </c>
      <c r="D49" s="75" t="s">
        <v>116</v>
      </c>
      <c r="E49" s="134">
        <v>0.1</v>
      </c>
      <c r="F49" s="134">
        <f>C49*E49</f>
        <v>0.4</v>
      </c>
      <c r="G49" s="134">
        <f>$H$11*E49</f>
        <v>5</v>
      </c>
      <c r="H49" s="135">
        <f>F49*$H$11</f>
        <v>20</v>
      </c>
      <c r="I49" s="152">
        <v>0</v>
      </c>
      <c r="J49" s="135">
        <f>C49*I49</f>
        <v>0</v>
      </c>
      <c r="K49" s="136">
        <f>SUM(H49,J49)</f>
        <v>20</v>
      </c>
      <c r="L49" s="194">
        <f>K49/C49</f>
        <v>5</v>
      </c>
      <c r="M49" s="137">
        <f>C49*L49</f>
        <v>20</v>
      </c>
      <c r="N49" s="144">
        <v>0</v>
      </c>
      <c r="O49" s="130">
        <f>M49*N49</f>
        <v>0</v>
      </c>
      <c r="P49" s="159"/>
      <c r="Q49" s="159"/>
    </row>
    <row r="50" spans="1:17" s="72" customFormat="1" ht="14.25" x14ac:dyDescent="0.2">
      <c r="A50" s="63"/>
      <c r="B50" s="175" t="s">
        <v>156</v>
      </c>
      <c r="C50" s="64">
        <v>4</v>
      </c>
      <c r="D50" s="75" t="s">
        <v>116</v>
      </c>
      <c r="E50" s="134">
        <v>0.1</v>
      </c>
      <c r="F50" s="134">
        <f>C50*E50</f>
        <v>0.4</v>
      </c>
      <c r="G50" s="134">
        <f>$H$11*E50</f>
        <v>5</v>
      </c>
      <c r="H50" s="135">
        <f>F50*$H$11</f>
        <v>20</v>
      </c>
      <c r="I50" s="152">
        <v>0</v>
      </c>
      <c r="J50" s="135">
        <f>C50*I50</f>
        <v>0</v>
      </c>
      <c r="K50" s="136">
        <f>SUM(H50,J50)</f>
        <v>20</v>
      </c>
      <c r="L50" s="194">
        <f>K50/C50</f>
        <v>5</v>
      </c>
      <c r="M50" s="137">
        <f>C50*L50</f>
        <v>20</v>
      </c>
      <c r="N50" s="144">
        <v>0</v>
      </c>
      <c r="O50" s="130">
        <f>M50*N50</f>
        <v>0</v>
      </c>
      <c r="P50" s="159"/>
      <c r="Q50" s="159"/>
    </row>
    <row r="51" spans="1:17" s="72" customFormat="1" ht="14.25" x14ac:dyDescent="0.2">
      <c r="A51" s="63"/>
      <c r="B51" s="175" t="s">
        <v>157</v>
      </c>
      <c r="C51" s="64">
        <v>4</v>
      </c>
      <c r="D51" s="75" t="s">
        <v>116</v>
      </c>
      <c r="E51" s="134">
        <v>0.05</v>
      </c>
      <c r="F51" s="134">
        <f>C51*E51</f>
        <v>0.2</v>
      </c>
      <c r="G51" s="134">
        <f>$H$11*E51</f>
        <v>2.5</v>
      </c>
      <c r="H51" s="135">
        <f>F51*$H$11</f>
        <v>10</v>
      </c>
      <c r="I51" s="152">
        <v>2.5</v>
      </c>
      <c r="J51" s="135">
        <f>C51*I51</f>
        <v>10</v>
      </c>
      <c r="K51" s="136">
        <f>SUM(H51,J51)</f>
        <v>20</v>
      </c>
      <c r="L51" s="194">
        <f>K51/C51</f>
        <v>5</v>
      </c>
      <c r="M51" s="137">
        <f>C51*L51</f>
        <v>20</v>
      </c>
      <c r="N51" s="144">
        <v>0</v>
      </c>
      <c r="O51" s="130">
        <f>M51*N51</f>
        <v>0</v>
      </c>
      <c r="P51" s="159">
        <f>SUM(C46,C43,C41)</f>
        <v>289</v>
      </c>
      <c r="Q51" s="159"/>
    </row>
    <row r="52" spans="1:17" s="72" customFormat="1" ht="14.25" x14ac:dyDescent="0.2">
      <c r="A52" s="63"/>
      <c r="B52" s="143"/>
      <c r="C52" s="64"/>
      <c r="D52" s="75"/>
      <c r="E52" s="134"/>
      <c r="F52" s="134"/>
      <c r="G52" s="134"/>
      <c r="H52" s="135"/>
      <c r="I52" s="152"/>
      <c r="J52" s="135"/>
      <c r="K52" s="136"/>
      <c r="L52" s="135"/>
      <c r="M52" s="137"/>
      <c r="N52" s="144"/>
      <c r="O52" s="130"/>
      <c r="P52" s="159"/>
      <c r="Q52" s="159"/>
    </row>
    <row r="53" spans="1:17" s="72" customFormat="1" ht="14.25" x14ac:dyDescent="0.2">
      <c r="A53" s="63"/>
      <c r="B53" s="143"/>
      <c r="C53" s="64"/>
      <c r="D53" s="75"/>
      <c r="E53" s="134"/>
      <c r="F53" s="134"/>
      <c r="G53" s="134"/>
      <c r="H53" s="135"/>
      <c r="I53" s="152"/>
      <c r="J53" s="135"/>
      <c r="K53" s="136"/>
      <c r="L53" s="135"/>
      <c r="M53" s="137"/>
      <c r="N53" s="144"/>
      <c r="O53" s="130"/>
      <c r="P53" s="159"/>
      <c r="Q53" s="159"/>
    </row>
    <row r="54" spans="1:17" s="72" customFormat="1" ht="14.25" x14ac:dyDescent="0.2">
      <c r="A54" s="63"/>
      <c r="B54" s="180" t="s">
        <v>63</v>
      </c>
      <c r="C54" s="64"/>
      <c r="D54" s="75"/>
      <c r="E54" s="134"/>
      <c r="F54" s="134"/>
      <c r="G54" s="134"/>
      <c r="H54" s="135"/>
      <c r="I54" s="152"/>
      <c r="J54" s="135"/>
      <c r="K54" s="136"/>
      <c r="L54" s="135"/>
      <c r="M54" s="137"/>
      <c r="N54" s="144"/>
      <c r="O54" s="130"/>
      <c r="P54" s="159"/>
      <c r="Q54" s="159"/>
    </row>
    <row r="55" spans="1:17" s="72" customFormat="1" ht="14.25" x14ac:dyDescent="0.2">
      <c r="A55" s="63"/>
      <c r="B55" s="121"/>
      <c r="C55" s="64"/>
      <c r="D55" s="75"/>
      <c r="E55" s="128"/>
      <c r="F55" s="129"/>
      <c r="G55" s="129"/>
      <c r="H55" s="129"/>
      <c r="I55" s="153"/>
      <c r="J55" s="128"/>
      <c r="K55" s="128"/>
      <c r="L55" s="179"/>
      <c r="M55" s="137"/>
      <c r="N55" s="126"/>
      <c r="O55" s="127"/>
      <c r="P55" s="159"/>
      <c r="Q55" s="159"/>
    </row>
    <row r="56" spans="1:17" s="72" customFormat="1" ht="15" x14ac:dyDescent="0.2">
      <c r="A56" s="63"/>
      <c r="B56" s="176" t="s">
        <v>58</v>
      </c>
      <c r="C56" s="64"/>
      <c r="D56" s="75"/>
      <c r="E56" s="128"/>
      <c r="F56" s="129"/>
      <c r="G56" s="129"/>
      <c r="H56" s="129"/>
      <c r="I56" s="153"/>
      <c r="J56" s="128"/>
      <c r="K56" s="128"/>
      <c r="L56" s="128"/>
      <c r="M56" s="120"/>
      <c r="N56" s="126"/>
      <c r="O56" s="127"/>
      <c r="P56" s="159">
        <f>SUM(C58,C59,C67,C68,C74,C75,C78,C79,C82,C83,C86,C88,C90,C92,C94)</f>
        <v>878</v>
      </c>
      <c r="Q56" s="159"/>
    </row>
    <row r="57" spans="1:17" s="72" customFormat="1" ht="14.25" x14ac:dyDescent="0.2">
      <c r="A57" s="63"/>
      <c r="B57" s="143"/>
      <c r="C57" s="64"/>
      <c r="D57" s="75"/>
      <c r="E57" s="134"/>
      <c r="F57" s="134"/>
      <c r="G57" s="134"/>
      <c r="H57" s="135"/>
      <c r="I57" s="152"/>
      <c r="J57" s="135"/>
      <c r="K57" s="136"/>
      <c r="L57" s="135"/>
      <c r="M57" s="137"/>
      <c r="N57" s="144"/>
      <c r="O57" s="130"/>
      <c r="P57" s="159">
        <f>SUM(C70,C95)</f>
        <v>31</v>
      </c>
      <c r="Q57" s="159"/>
    </row>
    <row r="58" spans="1:17" s="72" customFormat="1" ht="14.25" x14ac:dyDescent="0.2">
      <c r="A58" s="63"/>
      <c r="B58" s="143" t="s">
        <v>321</v>
      </c>
      <c r="C58" s="64">
        <v>4</v>
      </c>
      <c r="D58" s="75" t="s">
        <v>151</v>
      </c>
      <c r="E58" s="134">
        <v>0.42</v>
      </c>
      <c r="F58" s="134">
        <f>C58*E58</f>
        <v>1.68</v>
      </c>
      <c r="G58" s="134">
        <f>$H$11*E58</f>
        <v>21</v>
      </c>
      <c r="H58" s="135">
        <f>F58*$H$11</f>
        <v>84</v>
      </c>
      <c r="I58" s="152">
        <v>37.14</v>
      </c>
      <c r="J58" s="135">
        <f>C58*I58</f>
        <v>148.56</v>
      </c>
      <c r="K58" s="136">
        <f>SUM(H58,J58)</f>
        <v>232.56</v>
      </c>
      <c r="L58" s="135">
        <f>K58/C58</f>
        <v>58.14</v>
      </c>
      <c r="M58" s="137">
        <f>C58*L58</f>
        <v>232.56</v>
      </c>
      <c r="N58" s="144">
        <v>0</v>
      </c>
      <c r="O58" s="130">
        <f>M58*N58</f>
        <v>0</v>
      </c>
      <c r="P58" s="159"/>
      <c r="Q58" s="159"/>
    </row>
    <row r="59" spans="1:17" s="72" customFormat="1" ht="14.25" x14ac:dyDescent="0.2">
      <c r="A59" s="63"/>
      <c r="B59" s="143" t="s">
        <v>322</v>
      </c>
      <c r="C59" s="64">
        <v>4</v>
      </c>
      <c r="D59" s="75" t="s">
        <v>151</v>
      </c>
      <c r="E59" s="134">
        <v>0.21</v>
      </c>
      <c r="F59" s="134">
        <f>C59*E59</f>
        <v>0.84</v>
      </c>
      <c r="G59" s="134">
        <f>$H$11*E59</f>
        <v>10.5</v>
      </c>
      <c r="H59" s="135">
        <f>F59*$H$11</f>
        <v>42</v>
      </c>
      <c r="I59" s="152">
        <v>18.57</v>
      </c>
      <c r="J59" s="135">
        <f>C59*I59</f>
        <v>74.28</v>
      </c>
      <c r="K59" s="136">
        <f>SUM(H59,J59)</f>
        <v>116.28</v>
      </c>
      <c r="L59" s="135">
        <f>K59/C59</f>
        <v>29.07</v>
      </c>
      <c r="M59" s="137">
        <f>C59*L59</f>
        <v>116.28</v>
      </c>
      <c r="N59" s="144">
        <v>0</v>
      </c>
      <c r="O59" s="130">
        <f>M59*N59</f>
        <v>0</v>
      </c>
      <c r="P59" s="159"/>
      <c r="Q59" s="159"/>
    </row>
    <row r="60" spans="1:17" s="72" customFormat="1" ht="14.25" x14ac:dyDescent="0.2">
      <c r="A60" s="63"/>
      <c r="B60" s="143" t="s">
        <v>304</v>
      </c>
      <c r="C60" s="64">
        <v>8</v>
      </c>
      <c r="D60" s="75" t="s">
        <v>116</v>
      </c>
      <c r="E60" s="134">
        <v>0.05</v>
      </c>
      <c r="F60" s="134">
        <f>C60*E60</f>
        <v>0.4</v>
      </c>
      <c r="G60" s="134">
        <f>$H$11*E60</f>
        <v>2.5</v>
      </c>
      <c r="H60" s="135">
        <f>F60*$H$11</f>
        <v>20</v>
      </c>
      <c r="I60" s="152">
        <v>2.5</v>
      </c>
      <c r="J60" s="135">
        <f>C60*I60</f>
        <v>20</v>
      </c>
      <c r="K60" s="136">
        <f>SUM(H60,J60)</f>
        <v>40</v>
      </c>
      <c r="L60" s="135">
        <f>K60/C60</f>
        <v>5</v>
      </c>
      <c r="M60" s="137">
        <f>C60*L60</f>
        <v>40</v>
      </c>
      <c r="N60" s="144">
        <v>0</v>
      </c>
      <c r="O60" s="130">
        <f>M60*N60</f>
        <v>0</v>
      </c>
      <c r="P60" s="159"/>
      <c r="Q60" s="159"/>
    </row>
    <row r="61" spans="1:17" s="72" customFormat="1" ht="14.25" x14ac:dyDescent="0.2">
      <c r="A61" s="63"/>
      <c r="B61" s="175" t="s">
        <v>152</v>
      </c>
      <c r="C61" s="64">
        <v>12</v>
      </c>
      <c r="D61" s="75" t="s">
        <v>116</v>
      </c>
      <c r="E61" s="134">
        <v>0.1</v>
      </c>
      <c r="F61" s="134">
        <f>C61*E61</f>
        <v>1.2000000000000002</v>
      </c>
      <c r="G61" s="134">
        <f>$H$11*E61</f>
        <v>5</v>
      </c>
      <c r="H61" s="135">
        <f>F61*$H$11</f>
        <v>60.000000000000007</v>
      </c>
      <c r="I61" s="152">
        <v>0</v>
      </c>
      <c r="J61" s="135">
        <f>C61*I61</f>
        <v>0</v>
      </c>
      <c r="K61" s="136">
        <f>SUM(H61,J61)</f>
        <v>60.000000000000007</v>
      </c>
      <c r="L61" s="135">
        <f>K61/C61</f>
        <v>5.0000000000000009</v>
      </c>
      <c r="M61" s="137">
        <f>C61*L61</f>
        <v>60.000000000000014</v>
      </c>
      <c r="N61" s="144">
        <v>0</v>
      </c>
      <c r="O61" s="130">
        <f>M61*N61</f>
        <v>0</v>
      </c>
      <c r="P61" s="159"/>
      <c r="Q61" s="159"/>
    </row>
    <row r="62" spans="1:17" s="72" customFormat="1" ht="14.25" x14ac:dyDescent="0.2">
      <c r="A62" s="63"/>
      <c r="B62" s="143"/>
      <c r="C62" s="64"/>
      <c r="D62" s="75"/>
      <c r="E62" s="134"/>
      <c r="F62" s="134"/>
      <c r="G62" s="134"/>
      <c r="H62" s="135"/>
      <c r="I62" s="152"/>
      <c r="J62" s="135"/>
      <c r="K62" s="136"/>
      <c r="L62" s="135"/>
      <c r="M62" s="137"/>
      <c r="N62" s="144"/>
      <c r="O62" s="130"/>
      <c r="P62" s="159"/>
      <c r="Q62" s="159"/>
    </row>
    <row r="63" spans="1:17" s="72" customFormat="1" ht="14.25" x14ac:dyDescent="0.2">
      <c r="A63" s="63"/>
      <c r="B63" s="143" t="s">
        <v>308</v>
      </c>
      <c r="C63" s="192" t="s">
        <v>309</v>
      </c>
      <c r="D63" s="75"/>
      <c r="E63" s="134"/>
      <c r="F63" s="134"/>
      <c r="G63" s="134"/>
      <c r="H63" s="135"/>
      <c r="I63" s="152"/>
      <c r="J63" s="135"/>
      <c r="K63" s="136"/>
      <c r="L63" s="135"/>
      <c r="M63" s="137"/>
      <c r="N63" s="144"/>
      <c r="O63" s="130"/>
      <c r="P63" s="159"/>
      <c r="Q63" s="159"/>
    </row>
    <row r="64" spans="1:17" s="72" customFormat="1" ht="14.25" x14ac:dyDescent="0.2">
      <c r="A64" s="63"/>
      <c r="B64" s="143"/>
      <c r="C64" s="192"/>
      <c r="D64" s="75"/>
      <c r="E64" s="134"/>
      <c r="F64" s="134"/>
      <c r="G64" s="134"/>
      <c r="H64" s="135"/>
      <c r="I64" s="152"/>
      <c r="J64" s="135"/>
      <c r="K64" s="136"/>
      <c r="L64" s="135"/>
      <c r="M64" s="137"/>
      <c r="N64" s="144"/>
      <c r="O64" s="130"/>
      <c r="P64" s="159"/>
      <c r="Q64" s="159"/>
    </row>
    <row r="65" spans="1:17" s="72" customFormat="1" ht="14.25" x14ac:dyDescent="0.2">
      <c r="A65" s="63"/>
      <c r="B65" s="143" t="s">
        <v>340</v>
      </c>
      <c r="C65" s="199" t="s">
        <v>351</v>
      </c>
      <c r="D65" s="75"/>
      <c r="E65" s="134"/>
      <c r="F65" s="134"/>
      <c r="G65" s="134"/>
      <c r="H65" s="135"/>
      <c r="I65" s="152"/>
      <c r="J65" s="135"/>
      <c r="K65" s="136"/>
      <c r="L65" s="135"/>
      <c r="M65" s="137"/>
      <c r="N65" s="144"/>
      <c r="O65" s="130"/>
      <c r="P65" s="159"/>
      <c r="Q65" s="159"/>
    </row>
    <row r="66" spans="1:17" s="72" customFormat="1" ht="14.25" x14ac:dyDescent="0.2">
      <c r="A66" s="63"/>
      <c r="B66" s="143"/>
      <c r="C66" s="192"/>
      <c r="D66" s="75"/>
      <c r="E66" s="134"/>
      <c r="F66" s="134"/>
      <c r="G66" s="134"/>
      <c r="H66" s="135"/>
      <c r="I66" s="152"/>
      <c r="J66" s="135"/>
      <c r="K66" s="136"/>
      <c r="L66" s="135"/>
      <c r="M66" s="137"/>
      <c r="N66" s="144"/>
      <c r="O66" s="130"/>
      <c r="P66" s="159"/>
      <c r="Q66" s="159"/>
    </row>
    <row r="67" spans="1:17" s="72" customFormat="1" ht="14.25" x14ac:dyDescent="0.2">
      <c r="A67" s="63"/>
      <c r="B67" s="143" t="s">
        <v>317</v>
      </c>
      <c r="C67" s="195">
        <v>34</v>
      </c>
      <c r="D67" s="75" t="s">
        <v>151</v>
      </c>
      <c r="E67" s="134">
        <v>0.42</v>
      </c>
      <c r="F67" s="134">
        <f t="shared" ref="F67:F72" si="0">C67*E67</f>
        <v>14.28</v>
      </c>
      <c r="G67" s="134">
        <f t="shared" ref="G67:G72" si="1">$H$11*E67</f>
        <v>21</v>
      </c>
      <c r="H67" s="135">
        <f t="shared" ref="H67:H72" si="2">F67*$H$11</f>
        <v>714</v>
      </c>
      <c r="I67" s="152">
        <v>37.14</v>
      </c>
      <c r="J67" s="135">
        <f t="shared" ref="J67:J72" si="3">C67*I67</f>
        <v>1262.76</v>
      </c>
      <c r="K67" s="136">
        <f t="shared" ref="K67:K72" si="4">SUM(H67,J67)</f>
        <v>1976.76</v>
      </c>
      <c r="L67" s="135">
        <f t="shared" ref="L67:L72" si="5">K67/C67</f>
        <v>58.14</v>
      </c>
      <c r="M67" s="137">
        <f t="shared" ref="M67:M72" si="6">C67*L67</f>
        <v>1976.76</v>
      </c>
      <c r="N67" s="144">
        <v>0</v>
      </c>
      <c r="O67" s="130">
        <f t="shared" ref="O67:O72" si="7">M67*N67</f>
        <v>0</v>
      </c>
      <c r="P67" s="159"/>
      <c r="Q67" s="159"/>
    </row>
    <row r="68" spans="1:17" s="72" customFormat="1" ht="14.25" x14ac:dyDescent="0.2">
      <c r="A68" s="63"/>
      <c r="B68" s="143" t="s">
        <v>318</v>
      </c>
      <c r="C68" s="195">
        <v>34</v>
      </c>
      <c r="D68" s="75" t="s">
        <v>151</v>
      </c>
      <c r="E68" s="134">
        <v>0.21</v>
      </c>
      <c r="F68" s="134">
        <f t="shared" si="0"/>
        <v>7.14</v>
      </c>
      <c r="G68" s="134">
        <f t="shared" si="1"/>
        <v>10.5</v>
      </c>
      <c r="H68" s="135">
        <f t="shared" si="2"/>
        <v>357</v>
      </c>
      <c r="I68" s="152">
        <v>18.57</v>
      </c>
      <c r="J68" s="135">
        <f t="shared" si="3"/>
        <v>631.38</v>
      </c>
      <c r="K68" s="136">
        <f t="shared" si="4"/>
        <v>988.38</v>
      </c>
      <c r="L68" s="135">
        <f t="shared" si="5"/>
        <v>29.07</v>
      </c>
      <c r="M68" s="137">
        <f t="shared" si="6"/>
        <v>988.38</v>
      </c>
      <c r="N68" s="144">
        <v>0</v>
      </c>
      <c r="O68" s="130">
        <f t="shared" si="7"/>
        <v>0</v>
      </c>
      <c r="P68" s="159"/>
      <c r="Q68" s="159"/>
    </row>
    <row r="69" spans="1:17" s="72" customFormat="1" ht="14.25" x14ac:dyDescent="0.2">
      <c r="A69" s="63"/>
      <c r="B69" s="143" t="s">
        <v>304</v>
      </c>
      <c r="C69" s="195">
        <v>36</v>
      </c>
      <c r="D69" s="75" t="s">
        <v>116</v>
      </c>
      <c r="E69" s="134">
        <v>0.05</v>
      </c>
      <c r="F69" s="134">
        <f t="shared" si="0"/>
        <v>1.8</v>
      </c>
      <c r="G69" s="134">
        <f t="shared" si="1"/>
        <v>2.5</v>
      </c>
      <c r="H69" s="135">
        <f t="shared" si="2"/>
        <v>90</v>
      </c>
      <c r="I69" s="152">
        <v>2.5</v>
      </c>
      <c r="J69" s="135">
        <f t="shared" si="3"/>
        <v>90</v>
      </c>
      <c r="K69" s="136">
        <f t="shared" si="4"/>
        <v>180</v>
      </c>
      <c r="L69" s="135">
        <f t="shared" si="5"/>
        <v>5</v>
      </c>
      <c r="M69" s="137">
        <f t="shared" si="6"/>
        <v>180</v>
      </c>
      <c r="N69" s="144">
        <v>0</v>
      </c>
      <c r="O69" s="130">
        <f t="shared" si="7"/>
        <v>0</v>
      </c>
      <c r="P69" s="159"/>
      <c r="Q69" s="159"/>
    </row>
    <row r="70" spans="1:17" s="72" customFormat="1" ht="14.25" x14ac:dyDescent="0.2">
      <c r="A70" s="63"/>
      <c r="B70" s="143" t="s">
        <v>319</v>
      </c>
      <c r="C70" s="195">
        <v>20</v>
      </c>
      <c r="D70" s="75" t="s">
        <v>151</v>
      </c>
      <c r="E70" s="134">
        <v>0.21</v>
      </c>
      <c r="F70" s="134">
        <f t="shared" si="0"/>
        <v>4.2</v>
      </c>
      <c r="G70" s="134">
        <f t="shared" si="1"/>
        <v>10.5</v>
      </c>
      <c r="H70" s="135">
        <f t="shared" si="2"/>
        <v>210</v>
      </c>
      <c r="I70" s="152">
        <v>18.57</v>
      </c>
      <c r="J70" s="135">
        <f t="shared" si="3"/>
        <v>371.4</v>
      </c>
      <c r="K70" s="136">
        <f t="shared" si="4"/>
        <v>581.4</v>
      </c>
      <c r="L70" s="135">
        <f t="shared" si="5"/>
        <v>29.07</v>
      </c>
      <c r="M70" s="137">
        <f t="shared" si="6"/>
        <v>581.4</v>
      </c>
      <c r="N70" s="144">
        <v>0</v>
      </c>
      <c r="O70" s="130">
        <f t="shared" si="7"/>
        <v>0</v>
      </c>
      <c r="P70" s="159"/>
      <c r="Q70" s="159"/>
    </row>
    <row r="71" spans="1:17" s="72" customFormat="1" ht="14.25" x14ac:dyDescent="0.2">
      <c r="A71" s="63"/>
      <c r="B71" s="143" t="s">
        <v>320</v>
      </c>
      <c r="C71" s="195">
        <v>18</v>
      </c>
      <c r="D71" s="75" t="s">
        <v>116</v>
      </c>
      <c r="E71" s="134">
        <v>0.1</v>
      </c>
      <c r="F71" s="134">
        <f t="shared" si="0"/>
        <v>1.8</v>
      </c>
      <c r="G71" s="134">
        <f t="shared" si="1"/>
        <v>5</v>
      </c>
      <c r="H71" s="135">
        <f t="shared" si="2"/>
        <v>90</v>
      </c>
      <c r="I71" s="152">
        <v>0</v>
      </c>
      <c r="J71" s="135">
        <f t="shared" si="3"/>
        <v>0</v>
      </c>
      <c r="K71" s="136">
        <f t="shared" si="4"/>
        <v>90</v>
      </c>
      <c r="L71" s="135">
        <f t="shared" si="5"/>
        <v>5</v>
      </c>
      <c r="M71" s="137">
        <f t="shared" si="6"/>
        <v>90</v>
      </c>
      <c r="N71" s="144">
        <v>0</v>
      </c>
      <c r="O71" s="130">
        <f t="shared" si="7"/>
        <v>0</v>
      </c>
      <c r="P71" s="159"/>
      <c r="Q71" s="159"/>
    </row>
    <row r="72" spans="1:17" s="72" customFormat="1" ht="14.25" x14ac:dyDescent="0.2">
      <c r="A72" s="63"/>
      <c r="B72" s="175" t="s">
        <v>152</v>
      </c>
      <c r="C72" s="64">
        <v>27</v>
      </c>
      <c r="D72" s="75" t="s">
        <v>116</v>
      </c>
      <c r="E72" s="134">
        <v>0.1</v>
      </c>
      <c r="F72" s="134">
        <f t="shared" si="0"/>
        <v>2.7</v>
      </c>
      <c r="G72" s="134">
        <f t="shared" si="1"/>
        <v>5</v>
      </c>
      <c r="H72" s="135">
        <f t="shared" si="2"/>
        <v>135</v>
      </c>
      <c r="I72" s="152">
        <v>0</v>
      </c>
      <c r="J72" s="135">
        <f t="shared" si="3"/>
        <v>0</v>
      </c>
      <c r="K72" s="136">
        <f t="shared" si="4"/>
        <v>135</v>
      </c>
      <c r="L72" s="135">
        <f t="shared" si="5"/>
        <v>5</v>
      </c>
      <c r="M72" s="137">
        <f t="shared" si="6"/>
        <v>135</v>
      </c>
      <c r="N72" s="144">
        <v>0</v>
      </c>
      <c r="O72" s="130">
        <f t="shared" si="7"/>
        <v>0</v>
      </c>
      <c r="P72" s="159"/>
      <c r="Q72" s="159"/>
    </row>
    <row r="73" spans="1:17" s="72" customFormat="1" ht="14.25" x14ac:dyDescent="0.2">
      <c r="A73" s="63"/>
      <c r="B73" s="143"/>
      <c r="C73" s="192"/>
      <c r="D73" s="75"/>
      <c r="E73" s="134"/>
      <c r="F73" s="134"/>
      <c r="G73" s="134"/>
      <c r="H73" s="135"/>
      <c r="I73" s="152"/>
      <c r="J73" s="135"/>
      <c r="K73" s="136"/>
      <c r="L73" s="135"/>
      <c r="M73" s="137"/>
      <c r="N73" s="144"/>
      <c r="O73" s="130"/>
      <c r="P73" s="159"/>
      <c r="Q73" s="159"/>
    </row>
    <row r="74" spans="1:17" s="72" customFormat="1" ht="14.25" x14ac:dyDescent="0.2">
      <c r="A74" s="63"/>
      <c r="B74" s="143" t="s">
        <v>313</v>
      </c>
      <c r="C74" s="64">
        <v>19</v>
      </c>
      <c r="D74" s="75" t="s">
        <v>151</v>
      </c>
      <c r="E74" s="134">
        <v>0.42</v>
      </c>
      <c r="F74" s="134">
        <f>C74*E74</f>
        <v>7.9799999999999995</v>
      </c>
      <c r="G74" s="134">
        <f>$H$11*E74</f>
        <v>21</v>
      </c>
      <c r="H74" s="135">
        <f>F74*$H$11</f>
        <v>399</v>
      </c>
      <c r="I74" s="152">
        <v>37.14</v>
      </c>
      <c r="J74" s="135">
        <f>C74*I74</f>
        <v>705.66</v>
      </c>
      <c r="K74" s="136">
        <f>SUM(H74,J74)</f>
        <v>1104.6599999999999</v>
      </c>
      <c r="L74" s="135">
        <f>K74/C74</f>
        <v>58.139999999999993</v>
      </c>
      <c r="M74" s="137">
        <f>C74*L74</f>
        <v>1104.6599999999999</v>
      </c>
      <c r="N74" s="144">
        <v>0</v>
      </c>
      <c r="O74" s="130">
        <f>M74*N74</f>
        <v>0</v>
      </c>
      <c r="P74" s="159"/>
      <c r="Q74" s="159"/>
    </row>
    <row r="75" spans="1:17" s="72" customFormat="1" ht="14.25" x14ac:dyDescent="0.2">
      <c r="A75" s="63"/>
      <c r="B75" s="143" t="s">
        <v>314</v>
      </c>
      <c r="C75" s="64">
        <v>19</v>
      </c>
      <c r="D75" s="75" t="s">
        <v>151</v>
      </c>
      <c r="E75" s="134">
        <v>0.21</v>
      </c>
      <c r="F75" s="134">
        <f>C75*E75</f>
        <v>3.9899999999999998</v>
      </c>
      <c r="G75" s="134">
        <f>$H$11*E75</f>
        <v>10.5</v>
      </c>
      <c r="H75" s="135">
        <f>F75*$H$11</f>
        <v>199.5</v>
      </c>
      <c r="I75" s="152">
        <v>18.57</v>
      </c>
      <c r="J75" s="135">
        <f>C75*I75</f>
        <v>352.83</v>
      </c>
      <c r="K75" s="136">
        <f>SUM(H75,J75)</f>
        <v>552.32999999999993</v>
      </c>
      <c r="L75" s="135">
        <f>K75/C75</f>
        <v>29.069999999999997</v>
      </c>
      <c r="M75" s="137">
        <f>C75*L75</f>
        <v>552.32999999999993</v>
      </c>
      <c r="N75" s="144">
        <v>0</v>
      </c>
      <c r="O75" s="130">
        <f>M75*N75</f>
        <v>0</v>
      </c>
      <c r="P75" s="159"/>
      <c r="Q75" s="159"/>
    </row>
    <row r="76" spans="1:17" s="72" customFormat="1" ht="14.25" x14ac:dyDescent="0.2">
      <c r="A76" s="63"/>
      <c r="B76" s="143" t="s">
        <v>304</v>
      </c>
      <c r="C76" s="64">
        <v>14</v>
      </c>
      <c r="D76" s="75" t="s">
        <v>116</v>
      </c>
      <c r="E76" s="134">
        <v>0.05</v>
      </c>
      <c r="F76" s="134">
        <f>C76*E76</f>
        <v>0.70000000000000007</v>
      </c>
      <c r="G76" s="134">
        <f>$H$11*E76</f>
        <v>2.5</v>
      </c>
      <c r="H76" s="135">
        <f>F76*$H$11</f>
        <v>35</v>
      </c>
      <c r="I76" s="152">
        <v>2.5</v>
      </c>
      <c r="J76" s="135">
        <f>C76*I76</f>
        <v>35</v>
      </c>
      <c r="K76" s="136">
        <f>SUM(H76,J76)</f>
        <v>70</v>
      </c>
      <c r="L76" s="135">
        <f>K76/C76</f>
        <v>5</v>
      </c>
      <c r="M76" s="137">
        <f>C76*L76</f>
        <v>70</v>
      </c>
      <c r="N76" s="144">
        <v>0</v>
      </c>
      <c r="O76" s="130">
        <f>M76*N76</f>
        <v>0</v>
      </c>
      <c r="P76" s="159"/>
      <c r="Q76" s="159"/>
    </row>
    <row r="77" spans="1:17" s="72" customFormat="1" ht="14.25" x14ac:dyDescent="0.2">
      <c r="A77" s="63"/>
      <c r="B77" s="143"/>
      <c r="C77" s="64"/>
      <c r="D77" s="75"/>
      <c r="E77" s="134"/>
      <c r="F77" s="134"/>
      <c r="G77" s="134"/>
      <c r="H77" s="135"/>
      <c r="I77" s="152"/>
      <c r="J77" s="135"/>
      <c r="K77" s="136"/>
      <c r="L77" s="135"/>
      <c r="M77" s="137"/>
      <c r="N77" s="144"/>
      <c r="O77" s="130"/>
      <c r="P77" s="159"/>
      <c r="Q77" s="159"/>
    </row>
    <row r="78" spans="1:17" s="72" customFormat="1" ht="14.25" x14ac:dyDescent="0.2">
      <c r="A78" s="63"/>
      <c r="B78" s="143" t="s">
        <v>302</v>
      </c>
      <c r="C78" s="64">
        <v>141</v>
      </c>
      <c r="D78" s="75" t="s">
        <v>151</v>
      </c>
      <c r="E78" s="134">
        <v>0.42</v>
      </c>
      <c r="F78" s="134">
        <f>C78*E78</f>
        <v>59.22</v>
      </c>
      <c r="G78" s="134">
        <f>$H$11*E78</f>
        <v>21</v>
      </c>
      <c r="H78" s="135">
        <f>F78*$H$11</f>
        <v>2961</v>
      </c>
      <c r="I78" s="152">
        <v>37.14</v>
      </c>
      <c r="J78" s="135">
        <f>C78*I78</f>
        <v>5236.74</v>
      </c>
      <c r="K78" s="136">
        <f>SUM(H78,J78)</f>
        <v>8197.74</v>
      </c>
      <c r="L78" s="135">
        <f>K78/C78</f>
        <v>58.14</v>
      </c>
      <c r="M78" s="137">
        <f>C78*L78</f>
        <v>8197.74</v>
      </c>
      <c r="N78" s="144">
        <v>0</v>
      </c>
      <c r="O78" s="130">
        <f>M78*N78</f>
        <v>0</v>
      </c>
      <c r="P78" s="159"/>
      <c r="Q78" s="159"/>
    </row>
    <row r="79" spans="1:17" s="72" customFormat="1" ht="14.25" x14ac:dyDescent="0.2">
      <c r="A79" s="63"/>
      <c r="B79" s="143" t="s">
        <v>303</v>
      </c>
      <c r="C79" s="64">
        <v>141</v>
      </c>
      <c r="D79" s="75" t="s">
        <v>151</v>
      </c>
      <c r="E79" s="134">
        <v>0.21</v>
      </c>
      <c r="F79" s="134">
        <f>C79*E79</f>
        <v>29.61</v>
      </c>
      <c r="G79" s="134">
        <f>$H$11*E79</f>
        <v>10.5</v>
      </c>
      <c r="H79" s="135">
        <f>F79*$H$11</f>
        <v>1480.5</v>
      </c>
      <c r="I79" s="152">
        <v>18.57</v>
      </c>
      <c r="J79" s="135">
        <f>C79*I79</f>
        <v>2618.37</v>
      </c>
      <c r="K79" s="136">
        <f>SUM(H79,J79)</f>
        <v>4098.87</v>
      </c>
      <c r="L79" s="135">
        <f>K79/C79</f>
        <v>29.07</v>
      </c>
      <c r="M79" s="137">
        <f>C79*L79</f>
        <v>4098.87</v>
      </c>
      <c r="N79" s="144">
        <v>0</v>
      </c>
      <c r="O79" s="130">
        <f>M79*N79</f>
        <v>0</v>
      </c>
      <c r="P79" s="159"/>
      <c r="Q79" s="159"/>
    </row>
    <row r="80" spans="1:17" s="72" customFormat="1" ht="14.25" x14ac:dyDescent="0.2">
      <c r="A80" s="63"/>
      <c r="B80" s="143" t="s">
        <v>304</v>
      </c>
      <c r="C80" s="64">
        <v>96</v>
      </c>
      <c r="D80" s="75" t="s">
        <v>116</v>
      </c>
      <c r="E80" s="134">
        <v>0.05</v>
      </c>
      <c r="F80" s="134">
        <f>C80*E80</f>
        <v>4.8000000000000007</v>
      </c>
      <c r="G80" s="134">
        <f>$H$11*E80</f>
        <v>2.5</v>
      </c>
      <c r="H80" s="135">
        <f>F80*$H$11</f>
        <v>240.00000000000003</v>
      </c>
      <c r="I80" s="152">
        <v>2.5</v>
      </c>
      <c r="J80" s="135">
        <f>C80*I80</f>
        <v>240</v>
      </c>
      <c r="K80" s="136">
        <f>SUM(H80,J80)</f>
        <v>480</v>
      </c>
      <c r="L80" s="135">
        <f>K80/C80</f>
        <v>5</v>
      </c>
      <c r="M80" s="137">
        <f>C80*L80</f>
        <v>480</v>
      </c>
      <c r="N80" s="144">
        <v>0</v>
      </c>
      <c r="O80" s="130">
        <f>M80*N80</f>
        <v>0</v>
      </c>
      <c r="P80" s="159"/>
      <c r="Q80" s="159"/>
    </row>
    <row r="81" spans="1:17" s="72" customFormat="1" ht="14.25" x14ac:dyDescent="0.2">
      <c r="A81" s="63"/>
      <c r="B81" s="143"/>
      <c r="C81" s="64"/>
      <c r="D81" s="75"/>
      <c r="E81" s="134"/>
      <c r="F81" s="134"/>
      <c r="G81" s="134"/>
      <c r="H81" s="135"/>
      <c r="I81" s="152"/>
      <c r="J81" s="135"/>
      <c r="K81" s="136"/>
      <c r="L81" s="135"/>
      <c r="M81" s="137"/>
      <c r="N81" s="144"/>
      <c r="O81" s="130"/>
      <c r="P81" s="159"/>
      <c r="Q81" s="159"/>
    </row>
    <row r="82" spans="1:17" s="72" customFormat="1" ht="14.25" x14ac:dyDescent="0.2">
      <c r="A82" s="63"/>
      <c r="B82" s="143" t="s">
        <v>305</v>
      </c>
      <c r="C82" s="64">
        <v>28</v>
      </c>
      <c r="D82" s="75" t="s">
        <v>151</v>
      </c>
      <c r="E82" s="134">
        <v>0.42</v>
      </c>
      <c r="F82" s="134">
        <f>C82*E82</f>
        <v>11.76</v>
      </c>
      <c r="G82" s="134">
        <f>$H$11*E82</f>
        <v>21</v>
      </c>
      <c r="H82" s="135">
        <f>F82*$H$11</f>
        <v>588</v>
      </c>
      <c r="I82" s="152">
        <v>37.14</v>
      </c>
      <c r="J82" s="135">
        <f>C82*I82</f>
        <v>1039.92</v>
      </c>
      <c r="K82" s="136">
        <f>SUM(H82,J82)</f>
        <v>1627.92</v>
      </c>
      <c r="L82" s="135">
        <f>K82/C82</f>
        <v>58.14</v>
      </c>
      <c r="M82" s="137">
        <f>C82*L82</f>
        <v>1627.92</v>
      </c>
      <c r="N82" s="144">
        <v>0</v>
      </c>
      <c r="O82" s="130">
        <f>M82*N82</f>
        <v>0</v>
      </c>
      <c r="P82" s="159"/>
      <c r="Q82" s="159"/>
    </row>
    <row r="83" spans="1:17" s="72" customFormat="1" ht="14.25" x14ac:dyDescent="0.2">
      <c r="A83" s="63"/>
      <c r="B83" s="143" t="s">
        <v>306</v>
      </c>
      <c r="C83" s="64">
        <v>28</v>
      </c>
      <c r="D83" s="75" t="s">
        <v>151</v>
      </c>
      <c r="E83" s="134">
        <v>0.21</v>
      </c>
      <c r="F83" s="134">
        <f>C83*E83</f>
        <v>5.88</v>
      </c>
      <c r="G83" s="134">
        <f>$H$11*E83</f>
        <v>10.5</v>
      </c>
      <c r="H83" s="135">
        <f>F83*$H$11</f>
        <v>294</v>
      </c>
      <c r="I83" s="152">
        <v>18.57</v>
      </c>
      <c r="J83" s="135">
        <f>C83*I83</f>
        <v>519.96</v>
      </c>
      <c r="K83" s="136">
        <f>SUM(H83,J83)</f>
        <v>813.96</v>
      </c>
      <c r="L83" s="135">
        <f>K83/C83</f>
        <v>29.07</v>
      </c>
      <c r="M83" s="137">
        <f>C83*L83</f>
        <v>813.96</v>
      </c>
      <c r="N83" s="144">
        <v>0</v>
      </c>
      <c r="O83" s="130">
        <f>M83*N83</f>
        <v>0</v>
      </c>
      <c r="P83" s="159"/>
      <c r="Q83" s="159"/>
    </row>
    <row r="84" spans="1:17" s="72" customFormat="1" ht="14.25" x14ac:dyDescent="0.2">
      <c r="A84" s="63"/>
      <c r="B84" s="143" t="s">
        <v>304</v>
      </c>
      <c r="C84" s="64">
        <v>18</v>
      </c>
      <c r="D84" s="75" t="s">
        <v>116</v>
      </c>
      <c r="E84" s="134">
        <v>0.05</v>
      </c>
      <c r="F84" s="134">
        <f>C84*E84</f>
        <v>0.9</v>
      </c>
      <c r="G84" s="134">
        <f>$H$11*E84</f>
        <v>2.5</v>
      </c>
      <c r="H84" s="135">
        <f>F84*$H$11</f>
        <v>45</v>
      </c>
      <c r="I84" s="152">
        <v>2.5</v>
      </c>
      <c r="J84" s="135">
        <f>C84*I84</f>
        <v>45</v>
      </c>
      <c r="K84" s="136">
        <f>SUM(H84,J84)</f>
        <v>90</v>
      </c>
      <c r="L84" s="135">
        <f>K84/C84</f>
        <v>5</v>
      </c>
      <c r="M84" s="137">
        <f>C84*L84</f>
        <v>90</v>
      </c>
      <c r="N84" s="144">
        <v>0</v>
      </c>
      <c r="O84" s="130">
        <f>M84*N84</f>
        <v>0</v>
      </c>
      <c r="P84" s="159"/>
      <c r="Q84" s="159"/>
    </row>
    <row r="85" spans="1:17" s="72" customFormat="1" ht="14.25" x14ac:dyDescent="0.2">
      <c r="A85" s="63"/>
      <c r="B85" s="143"/>
      <c r="C85" s="64"/>
      <c r="D85" s="75"/>
      <c r="E85" s="134"/>
      <c r="F85" s="134"/>
      <c r="G85" s="134"/>
      <c r="H85" s="135"/>
      <c r="I85" s="152"/>
      <c r="J85" s="135"/>
      <c r="K85" s="136"/>
      <c r="L85" s="135"/>
      <c r="M85" s="137"/>
      <c r="N85" s="144"/>
      <c r="O85" s="130"/>
      <c r="P85" s="159"/>
      <c r="Q85" s="159"/>
    </row>
    <row r="86" spans="1:17" s="72" customFormat="1" ht="14.25" x14ac:dyDescent="0.2">
      <c r="A86" s="63"/>
      <c r="B86" s="143" t="s">
        <v>310</v>
      </c>
      <c r="C86" s="64">
        <v>168</v>
      </c>
      <c r="D86" s="75" t="s">
        <v>151</v>
      </c>
      <c r="E86" s="134">
        <v>0.18</v>
      </c>
      <c r="F86" s="134">
        <f>C86*E86</f>
        <v>30.24</v>
      </c>
      <c r="G86" s="134">
        <f>$H$11*E86</f>
        <v>9</v>
      </c>
      <c r="H86" s="135">
        <f>F86*$H$11</f>
        <v>1512</v>
      </c>
      <c r="I86" s="152">
        <v>14</v>
      </c>
      <c r="J86" s="135">
        <f>C86*I86</f>
        <v>2352</v>
      </c>
      <c r="K86" s="136">
        <f>SUM(H86,J86)</f>
        <v>3864</v>
      </c>
      <c r="L86" s="135">
        <f>K86/C86</f>
        <v>23</v>
      </c>
      <c r="M86" s="137">
        <f>C86*L86</f>
        <v>3864</v>
      </c>
      <c r="N86" s="144">
        <v>0</v>
      </c>
      <c r="O86" s="130">
        <f>M86*N86</f>
        <v>0</v>
      </c>
      <c r="P86" s="159"/>
      <c r="Q86" s="159"/>
    </row>
    <row r="87" spans="1:17" s="72" customFormat="1" ht="14.25" x14ac:dyDescent="0.2">
      <c r="A87" s="63"/>
      <c r="B87" s="143"/>
      <c r="C87" s="64"/>
      <c r="D87" s="75"/>
      <c r="E87" s="134"/>
      <c r="F87" s="134"/>
      <c r="G87" s="134"/>
      <c r="H87" s="135"/>
      <c r="I87" s="152"/>
      <c r="J87" s="135"/>
      <c r="K87" s="136"/>
      <c r="L87" s="135"/>
      <c r="M87" s="137"/>
      <c r="N87" s="144"/>
      <c r="O87" s="130"/>
      <c r="P87" s="159"/>
      <c r="Q87" s="159"/>
    </row>
    <row r="88" spans="1:17" s="72" customFormat="1" ht="14.25" x14ac:dyDescent="0.2">
      <c r="A88" s="63"/>
      <c r="B88" s="143" t="s">
        <v>312</v>
      </c>
      <c r="C88" s="64">
        <v>24</v>
      </c>
      <c r="D88" s="75" t="s">
        <v>151</v>
      </c>
      <c r="E88" s="134">
        <v>0.18</v>
      </c>
      <c r="F88" s="134">
        <f>C88*E88</f>
        <v>4.32</v>
      </c>
      <c r="G88" s="134">
        <f>$H$11*E88</f>
        <v>9</v>
      </c>
      <c r="H88" s="135">
        <f>F88*$H$11</f>
        <v>216</v>
      </c>
      <c r="I88" s="152">
        <v>14</v>
      </c>
      <c r="J88" s="135">
        <f>C88*I88</f>
        <v>336</v>
      </c>
      <c r="K88" s="136">
        <f>SUM(H88,J88)</f>
        <v>552</v>
      </c>
      <c r="L88" s="135">
        <f>K88/C88</f>
        <v>23</v>
      </c>
      <c r="M88" s="137">
        <f>C88*L88</f>
        <v>552</v>
      </c>
      <c r="N88" s="144">
        <v>0</v>
      </c>
      <c r="O88" s="130">
        <f>M88*N88</f>
        <v>0</v>
      </c>
      <c r="P88" s="159"/>
      <c r="Q88" s="159"/>
    </row>
    <row r="89" spans="1:17" s="72" customFormat="1" ht="14.25" x14ac:dyDescent="0.2">
      <c r="A89" s="63"/>
      <c r="B89" s="143"/>
      <c r="C89" s="64"/>
      <c r="D89" s="75"/>
      <c r="E89" s="134"/>
      <c r="F89" s="134"/>
      <c r="G89" s="134"/>
      <c r="H89" s="135"/>
      <c r="I89" s="152"/>
      <c r="J89" s="135"/>
      <c r="K89" s="136"/>
      <c r="L89" s="135"/>
      <c r="M89" s="137"/>
      <c r="N89" s="144"/>
      <c r="O89" s="130"/>
      <c r="P89" s="159"/>
      <c r="Q89" s="159"/>
    </row>
    <row r="90" spans="1:17" s="72" customFormat="1" ht="14.25" x14ac:dyDescent="0.2">
      <c r="A90" s="63"/>
      <c r="B90" s="143" t="s">
        <v>311</v>
      </c>
      <c r="C90" s="64">
        <v>24</v>
      </c>
      <c r="D90" s="75" t="s">
        <v>151</v>
      </c>
      <c r="E90" s="134">
        <v>0.18</v>
      </c>
      <c r="F90" s="134">
        <f>C90*E90</f>
        <v>4.32</v>
      </c>
      <c r="G90" s="134">
        <f>$H$11*E90</f>
        <v>9</v>
      </c>
      <c r="H90" s="135">
        <f>F90*$H$11</f>
        <v>216</v>
      </c>
      <c r="I90" s="152">
        <v>14</v>
      </c>
      <c r="J90" s="135">
        <f>C90*I90</f>
        <v>336</v>
      </c>
      <c r="K90" s="136">
        <f>SUM(H90,J90)</f>
        <v>552</v>
      </c>
      <c r="L90" s="135">
        <f>K90/C90</f>
        <v>23</v>
      </c>
      <c r="M90" s="137">
        <f>C90*L90</f>
        <v>552</v>
      </c>
      <c r="N90" s="144">
        <v>0</v>
      </c>
      <c r="O90" s="130">
        <f>M90*N90</f>
        <v>0</v>
      </c>
      <c r="P90" s="159"/>
      <c r="Q90" s="159"/>
    </row>
    <row r="91" spans="1:17" s="72" customFormat="1" ht="14.25" x14ac:dyDescent="0.2">
      <c r="A91" s="63"/>
      <c r="B91" s="143"/>
      <c r="C91" s="64"/>
      <c r="D91" s="75"/>
      <c r="E91" s="134"/>
      <c r="F91" s="134"/>
      <c r="G91" s="134"/>
      <c r="H91" s="135"/>
      <c r="I91" s="152"/>
      <c r="J91" s="135"/>
      <c r="K91" s="136"/>
      <c r="L91" s="135"/>
      <c r="M91" s="137"/>
      <c r="N91" s="144"/>
      <c r="O91" s="130"/>
      <c r="P91" s="159"/>
      <c r="Q91" s="159"/>
    </row>
    <row r="92" spans="1:17" s="72" customFormat="1" ht="14.25" x14ac:dyDescent="0.2">
      <c r="A92" s="63"/>
      <c r="B92" s="143" t="s">
        <v>307</v>
      </c>
      <c r="C92" s="64">
        <v>148</v>
      </c>
      <c r="D92" s="75" t="s">
        <v>151</v>
      </c>
      <c r="E92" s="134">
        <v>0.18</v>
      </c>
      <c r="F92" s="134">
        <f>C92*E92</f>
        <v>26.64</v>
      </c>
      <c r="G92" s="134">
        <f>$H$11*E92</f>
        <v>9</v>
      </c>
      <c r="H92" s="135">
        <f>F92*$H$11</f>
        <v>1332</v>
      </c>
      <c r="I92" s="152">
        <v>14</v>
      </c>
      <c r="J92" s="135">
        <f>C92*I92</f>
        <v>2072</v>
      </c>
      <c r="K92" s="136">
        <f>SUM(H92,J92)</f>
        <v>3404</v>
      </c>
      <c r="L92" s="135">
        <f>K92/C92</f>
        <v>23</v>
      </c>
      <c r="M92" s="137">
        <f>C92*L92</f>
        <v>3404</v>
      </c>
      <c r="N92" s="144">
        <v>0</v>
      </c>
      <c r="O92" s="130">
        <f>M92*N92</f>
        <v>0</v>
      </c>
      <c r="P92" s="159"/>
      <c r="Q92" s="159"/>
    </row>
    <row r="93" spans="1:17" s="72" customFormat="1" ht="14.25" x14ac:dyDescent="0.2">
      <c r="A93" s="63"/>
      <c r="B93" s="143"/>
      <c r="C93" s="64"/>
      <c r="D93" s="75"/>
      <c r="E93" s="134"/>
      <c r="F93" s="134"/>
      <c r="G93" s="134"/>
      <c r="H93" s="135"/>
      <c r="I93" s="152"/>
      <c r="J93" s="135"/>
      <c r="K93" s="136"/>
      <c r="L93" s="135"/>
      <c r="M93" s="137"/>
      <c r="N93" s="144"/>
      <c r="O93" s="130"/>
      <c r="P93" s="159"/>
      <c r="Q93" s="159"/>
    </row>
    <row r="94" spans="1:17" s="72" customFormat="1" ht="14.25" x14ac:dyDescent="0.2">
      <c r="A94" s="63"/>
      <c r="B94" s="143" t="s">
        <v>315</v>
      </c>
      <c r="C94" s="64">
        <v>62</v>
      </c>
      <c r="D94" s="75" t="s">
        <v>151</v>
      </c>
      <c r="E94" s="134">
        <v>0.18</v>
      </c>
      <c r="F94" s="134">
        <f>C94*E94</f>
        <v>11.16</v>
      </c>
      <c r="G94" s="134">
        <f>$H$11*E94</f>
        <v>9</v>
      </c>
      <c r="H94" s="135">
        <f>F94*$H$11</f>
        <v>558</v>
      </c>
      <c r="I94" s="152">
        <v>14</v>
      </c>
      <c r="J94" s="135">
        <f>C94*I94</f>
        <v>868</v>
      </c>
      <c r="K94" s="136">
        <f>SUM(H94,J94)</f>
        <v>1426</v>
      </c>
      <c r="L94" s="135">
        <f>K94/C94</f>
        <v>23</v>
      </c>
      <c r="M94" s="137">
        <f>C94*L94</f>
        <v>1426</v>
      </c>
      <c r="N94" s="144">
        <v>0</v>
      </c>
      <c r="O94" s="130">
        <f>M94*N94</f>
        <v>0</v>
      </c>
      <c r="P94" s="159"/>
      <c r="Q94" s="159"/>
    </row>
    <row r="95" spans="1:17" s="72" customFormat="1" ht="14.25" x14ac:dyDescent="0.2">
      <c r="A95" s="63"/>
      <c r="B95" s="143" t="s">
        <v>316</v>
      </c>
      <c r="C95" s="64">
        <v>11</v>
      </c>
      <c r="D95" s="75" t="s">
        <v>151</v>
      </c>
      <c r="E95" s="134">
        <v>0.2</v>
      </c>
      <c r="F95" s="134">
        <f>C95*E95</f>
        <v>2.2000000000000002</v>
      </c>
      <c r="G95" s="134">
        <f>$H$11*E95</f>
        <v>10</v>
      </c>
      <c r="H95" s="135">
        <f>F95*$H$11</f>
        <v>110.00000000000001</v>
      </c>
      <c r="I95" s="152">
        <v>14</v>
      </c>
      <c r="J95" s="135">
        <f>C95*I95</f>
        <v>154</v>
      </c>
      <c r="K95" s="136">
        <f>SUM(H95,J95)</f>
        <v>264</v>
      </c>
      <c r="L95" s="135">
        <f>K95/C95</f>
        <v>24</v>
      </c>
      <c r="M95" s="137">
        <f>C95*L95</f>
        <v>264</v>
      </c>
      <c r="N95" s="144">
        <v>0</v>
      </c>
      <c r="O95" s="130">
        <f>M95*N95</f>
        <v>0</v>
      </c>
      <c r="P95" s="159"/>
      <c r="Q95" s="159"/>
    </row>
    <row r="96" spans="1:17" s="72" customFormat="1" ht="14.25" x14ac:dyDescent="0.2">
      <c r="A96" s="63"/>
      <c r="B96" s="175" t="s">
        <v>152</v>
      </c>
      <c r="C96" s="64">
        <v>11</v>
      </c>
      <c r="D96" s="75" t="s">
        <v>116</v>
      </c>
      <c r="E96" s="134">
        <v>0.15</v>
      </c>
      <c r="F96" s="134">
        <f>C96*E96</f>
        <v>1.65</v>
      </c>
      <c r="G96" s="134">
        <f>$H$11*E96</f>
        <v>7.5</v>
      </c>
      <c r="H96" s="135">
        <f>F96*$H$11</f>
        <v>82.5</v>
      </c>
      <c r="I96" s="152">
        <v>0</v>
      </c>
      <c r="J96" s="135">
        <f>C96*I96</f>
        <v>0</v>
      </c>
      <c r="K96" s="136">
        <f>SUM(H96,J96)</f>
        <v>82.5</v>
      </c>
      <c r="L96" s="135">
        <f>K96/C96</f>
        <v>7.5</v>
      </c>
      <c r="M96" s="137">
        <f>C96*L96</f>
        <v>82.5</v>
      </c>
      <c r="N96" s="144">
        <v>0</v>
      </c>
      <c r="O96" s="130">
        <f>M96*N96</f>
        <v>0</v>
      </c>
      <c r="P96" s="159"/>
      <c r="Q96" s="159"/>
    </row>
    <row r="97" spans="1:17" s="72" customFormat="1" ht="14.25" x14ac:dyDescent="0.2">
      <c r="A97" s="63"/>
      <c r="B97" s="143"/>
      <c r="C97" s="64"/>
      <c r="D97" s="75"/>
      <c r="E97" s="134"/>
      <c r="F97" s="134"/>
      <c r="G97" s="134"/>
      <c r="H97" s="135"/>
      <c r="I97" s="152"/>
      <c r="J97" s="135"/>
      <c r="K97" s="136"/>
      <c r="L97" s="135"/>
      <c r="M97" s="137"/>
      <c r="N97" s="144"/>
      <c r="O97" s="130"/>
      <c r="P97" s="159"/>
      <c r="Q97" s="159"/>
    </row>
    <row r="98" spans="1:17" s="72" customFormat="1" ht="14.25" x14ac:dyDescent="0.2">
      <c r="A98" s="63"/>
      <c r="B98" s="143" t="s">
        <v>742</v>
      </c>
      <c r="C98" s="64">
        <v>7</v>
      </c>
      <c r="D98" s="75" t="s">
        <v>116</v>
      </c>
      <c r="E98" s="134">
        <v>0</v>
      </c>
      <c r="F98" s="134">
        <f>C98*E98</f>
        <v>0</v>
      </c>
      <c r="G98" s="134">
        <f>$H$11*E98</f>
        <v>0</v>
      </c>
      <c r="H98" s="135">
        <f>F98*$H$11</f>
        <v>0</v>
      </c>
      <c r="I98" s="152">
        <v>310</v>
      </c>
      <c r="J98" s="135">
        <f>C98*I98</f>
        <v>2170</v>
      </c>
      <c r="K98" s="136">
        <f>SUM(H98,J98)</f>
        <v>2170</v>
      </c>
      <c r="L98" s="135">
        <f>K98/C98</f>
        <v>310</v>
      </c>
      <c r="M98" s="137">
        <f>C98*L98</f>
        <v>2170</v>
      </c>
      <c r="N98" s="144">
        <v>0</v>
      </c>
      <c r="O98" s="130">
        <f>M98*N98</f>
        <v>0</v>
      </c>
      <c r="P98" s="159"/>
      <c r="Q98" s="159"/>
    </row>
    <row r="99" spans="1:17" s="72" customFormat="1" ht="14.25" x14ac:dyDescent="0.2">
      <c r="A99" s="63"/>
      <c r="B99" s="143" t="s">
        <v>743</v>
      </c>
      <c r="C99" s="64">
        <v>7</v>
      </c>
      <c r="D99" s="75" t="s">
        <v>116</v>
      </c>
      <c r="E99" s="134">
        <v>0</v>
      </c>
      <c r="F99" s="134">
        <f>C99*E99</f>
        <v>0</v>
      </c>
      <c r="G99" s="134">
        <f>$H$11*E99</f>
        <v>0</v>
      </c>
      <c r="H99" s="135">
        <f>F99*$H$11</f>
        <v>0</v>
      </c>
      <c r="I99" s="152">
        <v>213</v>
      </c>
      <c r="J99" s="135">
        <f>C99*I99</f>
        <v>1491</v>
      </c>
      <c r="K99" s="136">
        <f>SUM(H99,J99)</f>
        <v>1491</v>
      </c>
      <c r="L99" s="135">
        <f>K99/C99</f>
        <v>213</v>
      </c>
      <c r="M99" s="137">
        <f>C99*L99</f>
        <v>1491</v>
      </c>
      <c r="N99" s="144">
        <v>0</v>
      </c>
      <c r="O99" s="130">
        <f>M99*N99</f>
        <v>0</v>
      </c>
      <c r="P99" s="159"/>
      <c r="Q99" s="159"/>
    </row>
    <row r="100" spans="1:17" s="72" customFormat="1" ht="14.25" x14ac:dyDescent="0.2">
      <c r="A100" s="63"/>
      <c r="B100" s="143" t="s">
        <v>961</v>
      </c>
      <c r="C100" s="64">
        <v>1</v>
      </c>
      <c r="D100" s="75" t="s">
        <v>75</v>
      </c>
      <c r="E100" s="134">
        <v>1</v>
      </c>
      <c r="F100" s="134">
        <f>C100*E100</f>
        <v>1</v>
      </c>
      <c r="G100" s="134">
        <f>$H$11*E100</f>
        <v>50</v>
      </c>
      <c r="H100" s="135">
        <f>F100*$H$11</f>
        <v>50</v>
      </c>
      <c r="I100" s="152">
        <v>214</v>
      </c>
      <c r="J100" s="135">
        <f>C100*I100</f>
        <v>214</v>
      </c>
      <c r="K100" s="136">
        <f>SUM(H100,J100)</f>
        <v>264</v>
      </c>
      <c r="L100" s="135">
        <f>K100/C100</f>
        <v>264</v>
      </c>
      <c r="M100" s="137">
        <f>C100*L100</f>
        <v>264</v>
      </c>
      <c r="N100" s="144">
        <v>0</v>
      </c>
      <c r="O100" s="130">
        <f>M100*N100</f>
        <v>0</v>
      </c>
      <c r="P100" s="159"/>
      <c r="Q100" s="159"/>
    </row>
    <row r="101" spans="1:17" s="72" customFormat="1" ht="14.25" x14ac:dyDescent="0.2">
      <c r="A101" s="63"/>
      <c r="B101" s="143"/>
      <c r="C101" s="64"/>
      <c r="D101" s="75"/>
      <c r="E101" s="134"/>
      <c r="F101" s="134"/>
      <c r="G101" s="134"/>
      <c r="H101" s="135"/>
      <c r="I101" s="152"/>
      <c r="J101" s="135"/>
      <c r="K101" s="136"/>
      <c r="L101" s="135"/>
      <c r="M101" s="137"/>
      <c r="N101" s="144"/>
      <c r="O101" s="130"/>
      <c r="P101" s="159"/>
      <c r="Q101" s="159"/>
    </row>
    <row r="102" spans="1:17" s="72" customFormat="1" ht="14.25" x14ac:dyDescent="0.2">
      <c r="A102" s="63"/>
      <c r="B102" s="143" t="s">
        <v>962</v>
      </c>
      <c r="C102" s="64">
        <v>12</v>
      </c>
      <c r="D102" s="75" t="s">
        <v>148</v>
      </c>
      <c r="E102" s="134">
        <v>2.25</v>
      </c>
      <c r="F102" s="134">
        <f>C102*E102</f>
        <v>27</v>
      </c>
      <c r="G102" s="134">
        <f>$H$11*E102</f>
        <v>112.5</v>
      </c>
      <c r="H102" s="135">
        <f>F102*$H$11</f>
        <v>1350</v>
      </c>
      <c r="I102" s="229">
        <v>215</v>
      </c>
      <c r="J102" s="135">
        <f>C102*I102</f>
        <v>2580</v>
      </c>
      <c r="K102" s="136">
        <f>SUM(H102,J102)</f>
        <v>3930</v>
      </c>
      <c r="L102" s="135">
        <f>K102/C102</f>
        <v>327.5</v>
      </c>
      <c r="M102" s="137">
        <f>C102*L102</f>
        <v>3930</v>
      </c>
      <c r="N102" s="144">
        <v>0</v>
      </c>
      <c r="O102" s="130">
        <f>M102*N102</f>
        <v>0</v>
      </c>
      <c r="P102" s="159"/>
      <c r="Q102" s="550"/>
    </row>
    <row r="103" spans="1:17" s="72" customFormat="1" ht="14.25" x14ac:dyDescent="0.2">
      <c r="A103" s="63"/>
      <c r="B103" s="143" t="s">
        <v>963</v>
      </c>
      <c r="C103" s="64">
        <v>1</v>
      </c>
      <c r="D103" s="75" t="s">
        <v>148</v>
      </c>
      <c r="E103" s="134">
        <v>4</v>
      </c>
      <c r="F103" s="134">
        <f>C103*E103</f>
        <v>4</v>
      </c>
      <c r="G103" s="134">
        <f>$H$11*E103</f>
        <v>200</v>
      </c>
      <c r="H103" s="135">
        <f>F103*$H$11</f>
        <v>200</v>
      </c>
      <c r="I103" s="229">
        <v>430</v>
      </c>
      <c r="J103" s="135">
        <f>C103*I103</f>
        <v>430</v>
      </c>
      <c r="K103" s="136">
        <f>SUM(H103,J103)</f>
        <v>630</v>
      </c>
      <c r="L103" s="135">
        <f>K103/C103</f>
        <v>630</v>
      </c>
      <c r="M103" s="137">
        <f>C103*L103</f>
        <v>630</v>
      </c>
      <c r="N103" s="144">
        <v>0</v>
      </c>
      <c r="O103" s="130">
        <f>M103*N103</f>
        <v>0</v>
      </c>
      <c r="P103" s="159"/>
      <c r="Q103" s="159"/>
    </row>
    <row r="104" spans="1:17" s="72" customFormat="1" ht="14.25" x14ac:dyDescent="0.2">
      <c r="A104" s="63"/>
      <c r="B104" s="143"/>
      <c r="C104" s="64"/>
      <c r="D104" s="75"/>
      <c r="E104" s="134"/>
      <c r="F104" s="134"/>
      <c r="G104" s="134"/>
      <c r="H104" s="135"/>
      <c r="I104" s="152"/>
      <c r="J104" s="135"/>
      <c r="K104" s="136"/>
      <c r="L104" s="135"/>
      <c r="M104" s="137"/>
      <c r="N104" s="144"/>
      <c r="O104" s="130"/>
      <c r="P104" s="159"/>
      <c r="Q104" s="159"/>
    </row>
    <row r="105" spans="1:17" s="72" customFormat="1" ht="15" x14ac:dyDescent="0.2">
      <c r="A105" s="63"/>
      <c r="B105" s="176" t="s">
        <v>59</v>
      </c>
      <c r="C105" s="64"/>
      <c r="D105" s="75"/>
      <c r="E105" s="128"/>
      <c r="F105" s="129"/>
      <c r="G105" s="129"/>
      <c r="H105" s="129"/>
      <c r="I105" s="153"/>
      <c r="J105" s="128"/>
      <c r="K105" s="128"/>
      <c r="L105" s="128"/>
      <c r="M105" s="120"/>
      <c r="N105" s="126"/>
      <c r="O105" s="127"/>
      <c r="P105" s="159">
        <f>SUM(C107,C108,C114,C115,C118,C119,C125,C126,C129,C130,C133,C135,C137)</f>
        <v>762</v>
      </c>
      <c r="Q105" s="159"/>
    </row>
    <row r="106" spans="1:17" s="72" customFormat="1" ht="14.25" x14ac:dyDescent="0.2">
      <c r="A106" s="63"/>
      <c r="B106" s="143"/>
      <c r="C106" s="64"/>
      <c r="D106" s="75"/>
      <c r="E106" s="134"/>
      <c r="F106" s="134"/>
      <c r="G106" s="134"/>
      <c r="H106" s="135"/>
      <c r="I106" s="152"/>
      <c r="J106" s="135"/>
      <c r="K106" s="136"/>
      <c r="L106" s="135"/>
      <c r="M106" s="137"/>
      <c r="N106" s="144"/>
      <c r="O106" s="130"/>
      <c r="P106" s="159">
        <f>SUM(C121,C138)</f>
        <v>25</v>
      </c>
      <c r="Q106" s="159"/>
    </row>
    <row r="107" spans="1:17" s="72" customFormat="1" ht="14.25" x14ac:dyDescent="0.2">
      <c r="A107" s="63"/>
      <c r="B107" s="143" t="s">
        <v>321</v>
      </c>
      <c r="C107" s="64">
        <v>14</v>
      </c>
      <c r="D107" s="75" t="s">
        <v>151</v>
      </c>
      <c r="E107" s="134">
        <v>0.42</v>
      </c>
      <c r="F107" s="134">
        <f>C107*E107</f>
        <v>5.88</v>
      </c>
      <c r="G107" s="134">
        <f>$H$11*E107</f>
        <v>21</v>
      </c>
      <c r="H107" s="135">
        <f>F107*$H$11</f>
        <v>294</v>
      </c>
      <c r="I107" s="152">
        <v>37.14</v>
      </c>
      <c r="J107" s="135">
        <f>C107*I107</f>
        <v>519.96</v>
      </c>
      <c r="K107" s="136">
        <f>SUM(H107,J107)</f>
        <v>813.96</v>
      </c>
      <c r="L107" s="135">
        <f>K107/C107</f>
        <v>58.14</v>
      </c>
      <c r="M107" s="137">
        <f>C107*L107</f>
        <v>813.96</v>
      </c>
      <c r="N107" s="144">
        <v>0</v>
      </c>
      <c r="O107" s="130">
        <f>M107*N107</f>
        <v>0</v>
      </c>
      <c r="P107" s="159"/>
      <c r="Q107" s="159"/>
    </row>
    <row r="108" spans="1:17" s="72" customFormat="1" ht="14.25" x14ac:dyDescent="0.2">
      <c r="A108" s="63"/>
      <c r="B108" s="143" t="s">
        <v>322</v>
      </c>
      <c r="C108" s="64">
        <v>14</v>
      </c>
      <c r="D108" s="75" t="s">
        <v>151</v>
      </c>
      <c r="E108" s="134">
        <v>0.21</v>
      </c>
      <c r="F108" s="134">
        <f>C108*E108</f>
        <v>2.94</v>
      </c>
      <c r="G108" s="134">
        <f>$H$11*E108</f>
        <v>10.5</v>
      </c>
      <c r="H108" s="135">
        <f>F108*$H$11</f>
        <v>147</v>
      </c>
      <c r="I108" s="152">
        <v>18.57</v>
      </c>
      <c r="J108" s="135">
        <f>C108*I108</f>
        <v>259.98</v>
      </c>
      <c r="K108" s="136">
        <f>SUM(H108,J108)</f>
        <v>406.98</v>
      </c>
      <c r="L108" s="135">
        <f>K108/C108</f>
        <v>29.07</v>
      </c>
      <c r="M108" s="137">
        <f>C108*L108</f>
        <v>406.98</v>
      </c>
      <c r="N108" s="144">
        <v>0</v>
      </c>
      <c r="O108" s="130">
        <f>M108*N108</f>
        <v>0</v>
      </c>
      <c r="P108" s="159"/>
      <c r="Q108" s="159"/>
    </row>
    <row r="109" spans="1:17" s="72" customFormat="1" ht="14.25" x14ac:dyDescent="0.2">
      <c r="A109" s="63"/>
      <c r="B109" s="143" t="s">
        <v>304</v>
      </c>
      <c r="C109" s="64">
        <v>28</v>
      </c>
      <c r="D109" s="75" t="s">
        <v>116</v>
      </c>
      <c r="E109" s="134">
        <v>0.05</v>
      </c>
      <c r="F109" s="134">
        <f>C109*E109</f>
        <v>1.4000000000000001</v>
      </c>
      <c r="G109" s="134">
        <f>$H$11*E109</f>
        <v>2.5</v>
      </c>
      <c r="H109" s="135">
        <f>F109*$H$11</f>
        <v>70</v>
      </c>
      <c r="I109" s="152">
        <v>2.5</v>
      </c>
      <c r="J109" s="135">
        <f>C109*I109</f>
        <v>70</v>
      </c>
      <c r="K109" s="136">
        <f>SUM(H109,J109)</f>
        <v>140</v>
      </c>
      <c r="L109" s="135">
        <f>K109/C109</f>
        <v>5</v>
      </c>
      <c r="M109" s="137">
        <f>C109*L109</f>
        <v>140</v>
      </c>
      <c r="N109" s="144">
        <v>0</v>
      </c>
      <c r="O109" s="130">
        <f>M109*N109</f>
        <v>0</v>
      </c>
      <c r="P109" s="159"/>
      <c r="Q109" s="159"/>
    </row>
    <row r="110" spans="1:17" s="72" customFormat="1" ht="14.25" x14ac:dyDescent="0.2">
      <c r="A110" s="63"/>
      <c r="B110" s="175" t="s">
        <v>152</v>
      </c>
      <c r="C110" s="64">
        <v>42</v>
      </c>
      <c r="D110" s="75" t="s">
        <v>116</v>
      </c>
      <c r="E110" s="134">
        <v>0.1</v>
      </c>
      <c r="F110" s="134">
        <f>C110*E110</f>
        <v>4.2</v>
      </c>
      <c r="G110" s="134">
        <f>$H$11*E110</f>
        <v>5</v>
      </c>
      <c r="H110" s="135">
        <f>F110*$H$11</f>
        <v>210</v>
      </c>
      <c r="I110" s="152">
        <v>0</v>
      </c>
      <c r="J110" s="135">
        <f>C110*I110</f>
        <v>0</v>
      </c>
      <c r="K110" s="136">
        <f>SUM(H110,J110)</f>
        <v>210</v>
      </c>
      <c r="L110" s="135">
        <f>K110/C110</f>
        <v>5</v>
      </c>
      <c r="M110" s="137">
        <f>C110*L110</f>
        <v>210</v>
      </c>
      <c r="N110" s="144">
        <v>0</v>
      </c>
      <c r="O110" s="130">
        <f>M110*N110</f>
        <v>0</v>
      </c>
      <c r="P110" s="159"/>
      <c r="Q110" s="159"/>
    </row>
    <row r="111" spans="1:17" s="72" customFormat="1" ht="14.25" x14ac:dyDescent="0.2">
      <c r="A111" s="63"/>
      <c r="B111" s="143"/>
      <c r="C111" s="64"/>
      <c r="D111" s="75"/>
      <c r="E111" s="134"/>
      <c r="F111" s="134"/>
      <c r="G111" s="134"/>
      <c r="H111" s="135"/>
      <c r="I111" s="152"/>
      <c r="J111" s="135"/>
      <c r="K111" s="136"/>
      <c r="L111" s="135"/>
      <c r="M111" s="137"/>
      <c r="N111" s="144"/>
      <c r="O111" s="130"/>
      <c r="P111" s="159"/>
      <c r="Q111" s="159"/>
    </row>
    <row r="112" spans="1:17" s="72" customFormat="1" ht="14.25" x14ac:dyDescent="0.2">
      <c r="A112" s="63"/>
      <c r="B112" s="143" t="s">
        <v>308</v>
      </c>
      <c r="C112" s="192" t="s">
        <v>309</v>
      </c>
      <c r="D112" s="75"/>
      <c r="E112" s="134"/>
      <c r="F112" s="134"/>
      <c r="G112" s="134"/>
      <c r="H112" s="135"/>
      <c r="I112" s="152"/>
      <c r="J112" s="135"/>
      <c r="K112" s="136"/>
      <c r="L112" s="135"/>
      <c r="M112" s="137"/>
      <c r="N112" s="144"/>
      <c r="O112" s="130"/>
      <c r="P112" s="159"/>
      <c r="Q112" s="159"/>
    </row>
    <row r="113" spans="1:17" s="72" customFormat="1" ht="14.25" x14ac:dyDescent="0.2">
      <c r="A113" s="63"/>
      <c r="B113" s="143"/>
      <c r="C113" s="192"/>
      <c r="D113" s="75"/>
      <c r="E113" s="134"/>
      <c r="F113" s="134"/>
      <c r="G113" s="134"/>
      <c r="H113" s="135"/>
      <c r="I113" s="152"/>
      <c r="J113" s="135"/>
      <c r="K113" s="136"/>
      <c r="L113" s="135"/>
      <c r="M113" s="137"/>
      <c r="N113" s="144"/>
      <c r="O113" s="130"/>
      <c r="P113" s="159"/>
      <c r="Q113" s="159"/>
    </row>
    <row r="114" spans="1:17" s="72" customFormat="1" ht="14.25" x14ac:dyDescent="0.2">
      <c r="A114" s="63"/>
      <c r="B114" s="143" t="s">
        <v>331</v>
      </c>
      <c r="C114" s="64">
        <v>114</v>
      </c>
      <c r="D114" s="75" t="s">
        <v>151</v>
      </c>
      <c r="E114" s="134">
        <v>0.42</v>
      </c>
      <c r="F114" s="134">
        <f>C114*E114</f>
        <v>47.879999999999995</v>
      </c>
      <c r="G114" s="134">
        <f>$H$11*E114</f>
        <v>21</v>
      </c>
      <c r="H114" s="135">
        <f>F114*$H$11</f>
        <v>2394</v>
      </c>
      <c r="I114" s="152">
        <v>37.14</v>
      </c>
      <c r="J114" s="135">
        <f>C114*I114</f>
        <v>4233.96</v>
      </c>
      <c r="K114" s="136">
        <f>SUM(H114,J114)</f>
        <v>6627.96</v>
      </c>
      <c r="L114" s="135">
        <f>K114/C114</f>
        <v>58.14</v>
      </c>
      <c r="M114" s="137">
        <f>C114*L114</f>
        <v>6627.96</v>
      </c>
      <c r="N114" s="144">
        <v>0</v>
      </c>
      <c r="O114" s="130">
        <f>M114*N114</f>
        <v>0</v>
      </c>
      <c r="P114" s="159"/>
      <c r="Q114" s="159"/>
    </row>
    <row r="115" spans="1:17" s="72" customFormat="1" ht="14.25" x14ac:dyDescent="0.2">
      <c r="A115" s="63"/>
      <c r="B115" s="143" t="s">
        <v>332</v>
      </c>
      <c r="C115" s="64">
        <v>114</v>
      </c>
      <c r="D115" s="75" t="s">
        <v>151</v>
      </c>
      <c r="E115" s="134">
        <v>0.21</v>
      </c>
      <c r="F115" s="134">
        <f>C115*E115</f>
        <v>23.939999999999998</v>
      </c>
      <c r="G115" s="134">
        <f>$H$11*E115</f>
        <v>10.5</v>
      </c>
      <c r="H115" s="135">
        <f>F115*$H$11</f>
        <v>1197</v>
      </c>
      <c r="I115" s="152">
        <v>18.57</v>
      </c>
      <c r="J115" s="135">
        <f>C115*I115</f>
        <v>2116.98</v>
      </c>
      <c r="K115" s="136">
        <f>SUM(H115,J115)</f>
        <v>3313.98</v>
      </c>
      <c r="L115" s="135">
        <f>K115/C115</f>
        <v>29.07</v>
      </c>
      <c r="M115" s="137">
        <f>C115*L115</f>
        <v>3313.98</v>
      </c>
      <c r="N115" s="144">
        <v>0</v>
      </c>
      <c r="O115" s="130">
        <f>M115*N115</f>
        <v>0</v>
      </c>
      <c r="P115" s="159"/>
      <c r="Q115" s="159"/>
    </row>
    <row r="116" spans="1:17" s="72" customFormat="1" ht="14.25" x14ac:dyDescent="0.2">
      <c r="A116" s="63"/>
      <c r="B116" s="143" t="s">
        <v>304</v>
      </c>
      <c r="C116" s="64">
        <v>116</v>
      </c>
      <c r="D116" s="75" t="s">
        <v>116</v>
      </c>
      <c r="E116" s="134">
        <v>0.05</v>
      </c>
      <c r="F116" s="134">
        <f>C116*E116</f>
        <v>5.8000000000000007</v>
      </c>
      <c r="G116" s="134">
        <f>$H$11*E116</f>
        <v>2.5</v>
      </c>
      <c r="H116" s="135">
        <f>F116*$H$11</f>
        <v>290.00000000000006</v>
      </c>
      <c r="I116" s="152">
        <v>2.5</v>
      </c>
      <c r="J116" s="135">
        <f>C116*I116</f>
        <v>290</v>
      </c>
      <c r="K116" s="136">
        <f>SUM(H116,J116)</f>
        <v>580</v>
      </c>
      <c r="L116" s="135">
        <f>K116/C116</f>
        <v>5</v>
      </c>
      <c r="M116" s="137">
        <f>C116*L116</f>
        <v>580</v>
      </c>
      <c r="N116" s="144">
        <v>0</v>
      </c>
      <c r="O116" s="130">
        <f>M116*N116</f>
        <v>0</v>
      </c>
      <c r="P116" s="159"/>
      <c r="Q116" s="159"/>
    </row>
    <row r="117" spans="1:17" s="72" customFormat="1" ht="14.25" x14ac:dyDescent="0.2">
      <c r="A117" s="63"/>
      <c r="B117" s="143"/>
      <c r="C117" s="192"/>
      <c r="D117" s="75"/>
      <c r="E117" s="134"/>
      <c r="F117" s="134"/>
      <c r="G117" s="134"/>
      <c r="H117" s="135"/>
      <c r="I117" s="152"/>
      <c r="J117" s="135"/>
      <c r="K117" s="136"/>
      <c r="L117" s="135"/>
      <c r="M117" s="137"/>
      <c r="N117" s="144"/>
      <c r="O117" s="130"/>
      <c r="P117" s="159"/>
      <c r="Q117" s="159"/>
    </row>
    <row r="118" spans="1:17" s="72" customFormat="1" ht="14.25" x14ac:dyDescent="0.2">
      <c r="A118" s="63"/>
      <c r="B118" s="143" t="s">
        <v>317</v>
      </c>
      <c r="C118" s="195">
        <v>72</v>
      </c>
      <c r="D118" s="75" t="s">
        <v>151</v>
      </c>
      <c r="E118" s="134">
        <v>0.42</v>
      </c>
      <c r="F118" s="134">
        <f t="shared" ref="F118:F123" si="8">C118*E118</f>
        <v>30.24</v>
      </c>
      <c r="G118" s="134">
        <f t="shared" ref="G118:G123" si="9">$H$11*E118</f>
        <v>21</v>
      </c>
      <c r="H118" s="135">
        <f t="shared" ref="H118:H123" si="10">F118*$H$11</f>
        <v>1512</v>
      </c>
      <c r="I118" s="152">
        <v>37.14</v>
      </c>
      <c r="J118" s="135">
        <f t="shared" ref="J118:J123" si="11">C118*I118</f>
        <v>2674.08</v>
      </c>
      <c r="K118" s="136">
        <f t="shared" ref="K118:K123" si="12">SUM(H118,J118)</f>
        <v>4186.08</v>
      </c>
      <c r="L118" s="135">
        <f t="shared" ref="L118:L123" si="13">K118/C118</f>
        <v>58.14</v>
      </c>
      <c r="M118" s="137">
        <f t="shared" ref="M118:M123" si="14">C118*L118</f>
        <v>4186.08</v>
      </c>
      <c r="N118" s="144">
        <v>0</v>
      </c>
      <c r="O118" s="130">
        <f t="shared" ref="O118:O123" si="15">M118*N118</f>
        <v>0</v>
      </c>
      <c r="P118" s="159"/>
      <c r="Q118" s="159"/>
    </row>
    <row r="119" spans="1:17" s="72" customFormat="1" ht="14.25" x14ac:dyDescent="0.2">
      <c r="A119" s="63"/>
      <c r="B119" s="143" t="s">
        <v>318</v>
      </c>
      <c r="C119" s="195">
        <v>72</v>
      </c>
      <c r="D119" s="75" t="s">
        <v>151</v>
      </c>
      <c r="E119" s="134">
        <v>0.21</v>
      </c>
      <c r="F119" s="134">
        <f t="shared" si="8"/>
        <v>15.12</v>
      </c>
      <c r="G119" s="134">
        <f t="shared" si="9"/>
        <v>10.5</v>
      </c>
      <c r="H119" s="135">
        <f t="shared" si="10"/>
        <v>756</v>
      </c>
      <c r="I119" s="152">
        <v>18.57</v>
      </c>
      <c r="J119" s="135">
        <f t="shared" si="11"/>
        <v>1337.04</v>
      </c>
      <c r="K119" s="136">
        <f t="shared" si="12"/>
        <v>2093.04</v>
      </c>
      <c r="L119" s="135">
        <f t="shared" si="13"/>
        <v>29.07</v>
      </c>
      <c r="M119" s="137">
        <f t="shared" si="14"/>
        <v>2093.04</v>
      </c>
      <c r="N119" s="144">
        <v>0</v>
      </c>
      <c r="O119" s="130">
        <f t="shared" si="15"/>
        <v>0</v>
      </c>
      <c r="P119" s="159"/>
      <c r="Q119" s="159"/>
    </row>
    <row r="120" spans="1:17" s="72" customFormat="1" ht="14.25" x14ac:dyDescent="0.2">
      <c r="A120" s="63"/>
      <c r="B120" s="143" t="s">
        <v>304</v>
      </c>
      <c r="C120" s="195">
        <v>72</v>
      </c>
      <c r="D120" s="75" t="s">
        <v>116</v>
      </c>
      <c r="E120" s="134">
        <v>0.05</v>
      </c>
      <c r="F120" s="134">
        <f t="shared" si="8"/>
        <v>3.6</v>
      </c>
      <c r="G120" s="134">
        <f t="shared" si="9"/>
        <v>2.5</v>
      </c>
      <c r="H120" s="135">
        <f t="shared" si="10"/>
        <v>180</v>
      </c>
      <c r="I120" s="152">
        <v>2.5</v>
      </c>
      <c r="J120" s="135">
        <f t="shared" si="11"/>
        <v>180</v>
      </c>
      <c r="K120" s="136">
        <f t="shared" si="12"/>
        <v>360</v>
      </c>
      <c r="L120" s="135">
        <f t="shared" si="13"/>
        <v>5</v>
      </c>
      <c r="M120" s="137">
        <f t="shared" si="14"/>
        <v>360</v>
      </c>
      <c r="N120" s="144">
        <v>0</v>
      </c>
      <c r="O120" s="130">
        <f t="shared" si="15"/>
        <v>0</v>
      </c>
      <c r="P120" s="159"/>
      <c r="Q120" s="159"/>
    </row>
    <row r="121" spans="1:17" s="72" customFormat="1" ht="14.25" x14ac:dyDescent="0.2">
      <c r="A121" s="63"/>
      <c r="B121" s="143" t="s">
        <v>319</v>
      </c>
      <c r="C121" s="195">
        <v>20</v>
      </c>
      <c r="D121" s="75" t="s">
        <v>151</v>
      </c>
      <c r="E121" s="134">
        <v>0.21</v>
      </c>
      <c r="F121" s="134">
        <f t="shared" si="8"/>
        <v>4.2</v>
      </c>
      <c r="G121" s="134">
        <f t="shared" si="9"/>
        <v>10.5</v>
      </c>
      <c r="H121" s="135">
        <f t="shared" si="10"/>
        <v>210</v>
      </c>
      <c r="I121" s="152">
        <v>18.57</v>
      </c>
      <c r="J121" s="135">
        <f t="shared" si="11"/>
        <v>371.4</v>
      </c>
      <c r="K121" s="136">
        <f t="shared" si="12"/>
        <v>581.4</v>
      </c>
      <c r="L121" s="135">
        <f t="shared" si="13"/>
        <v>29.07</v>
      </c>
      <c r="M121" s="137">
        <f t="shared" si="14"/>
        <v>581.4</v>
      </c>
      <c r="N121" s="144">
        <v>0</v>
      </c>
      <c r="O121" s="130">
        <f t="shared" si="15"/>
        <v>0</v>
      </c>
      <c r="P121" s="159"/>
      <c r="Q121" s="159"/>
    </row>
    <row r="122" spans="1:17" s="72" customFormat="1" ht="14.25" x14ac:dyDescent="0.2">
      <c r="A122" s="63"/>
      <c r="B122" s="143" t="s">
        <v>320</v>
      </c>
      <c r="C122" s="195">
        <v>18</v>
      </c>
      <c r="D122" s="75" t="s">
        <v>116</v>
      </c>
      <c r="E122" s="134">
        <v>0.1</v>
      </c>
      <c r="F122" s="134">
        <f t="shared" si="8"/>
        <v>1.8</v>
      </c>
      <c r="G122" s="134">
        <f t="shared" si="9"/>
        <v>5</v>
      </c>
      <c r="H122" s="135">
        <f t="shared" si="10"/>
        <v>90</v>
      </c>
      <c r="I122" s="152">
        <v>2.5</v>
      </c>
      <c r="J122" s="135">
        <f t="shared" si="11"/>
        <v>45</v>
      </c>
      <c r="K122" s="136">
        <f t="shared" si="12"/>
        <v>135</v>
      </c>
      <c r="L122" s="135">
        <f t="shared" si="13"/>
        <v>7.5</v>
      </c>
      <c r="M122" s="137">
        <f t="shared" si="14"/>
        <v>135</v>
      </c>
      <c r="N122" s="144">
        <v>0</v>
      </c>
      <c r="O122" s="130">
        <f t="shared" si="15"/>
        <v>0</v>
      </c>
      <c r="P122" s="159"/>
      <c r="Q122" s="159"/>
    </row>
    <row r="123" spans="1:17" s="72" customFormat="1" ht="14.25" x14ac:dyDescent="0.2">
      <c r="A123" s="63"/>
      <c r="B123" s="175" t="s">
        <v>152</v>
      </c>
      <c r="C123" s="64">
        <v>87</v>
      </c>
      <c r="D123" s="75" t="s">
        <v>116</v>
      </c>
      <c r="E123" s="134">
        <v>0.1</v>
      </c>
      <c r="F123" s="134">
        <f t="shared" si="8"/>
        <v>8.7000000000000011</v>
      </c>
      <c r="G123" s="134">
        <f t="shared" si="9"/>
        <v>5</v>
      </c>
      <c r="H123" s="135">
        <f t="shared" si="10"/>
        <v>435.00000000000006</v>
      </c>
      <c r="I123" s="152">
        <v>0</v>
      </c>
      <c r="J123" s="135">
        <f t="shared" si="11"/>
        <v>0</v>
      </c>
      <c r="K123" s="136">
        <f t="shared" si="12"/>
        <v>435.00000000000006</v>
      </c>
      <c r="L123" s="135">
        <f t="shared" si="13"/>
        <v>5.0000000000000009</v>
      </c>
      <c r="M123" s="137">
        <f t="shared" si="14"/>
        <v>435.00000000000006</v>
      </c>
      <c r="N123" s="144">
        <v>0</v>
      </c>
      <c r="O123" s="130">
        <f t="shared" si="15"/>
        <v>0</v>
      </c>
      <c r="P123" s="159"/>
      <c r="Q123" s="159"/>
    </row>
    <row r="124" spans="1:17" s="72" customFormat="1" ht="14.25" x14ac:dyDescent="0.2">
      <c r="A124" s="63"/>
      <c r="B124" s="143"/>
      <c r="C124" s="192"/>
      <c r="D124" s="75"/>
      <c r="E124" s="134"/>
      <c r="F124" s="134"/>
      <c r="G124" s="134"/>
      <c r="H124" s="135"/>
      <c r="I124" s="152"/>
      <c r="J124" s="135"/>
      <c r="K124" s="136"/>
      <c r="L124" s="135"/>
      <c r="M124" s="137"/>
      <c r="N124" s="144"/>
      <c r="O124" s="130"/>
      <c r="P124" s="159"/>
      <c r="Q124" s="159"/>
    </row>
    <row r="125" spans="1:17" s="72" customFormat="1" ht="14.25" x14ac:dyDescent="0.2">
      <c r="A125" s="63"/>
      <c r="B125" s="143" t="s">
        <v>302</v>
      </c>
      <c r="C125" s="64">
        <v>84</v>
      </c>
      <c r="D125" s="75" t="s">
        <v>151</v>
      </c>
      <c r="E125" s="134">
        <v>0.42</v>
      </c>
      <c r="F125" s="134">
        <f>C125*E125</f>
        <v>35.28</v>
      </c>
      <c r="G125" s="134">
        <f>$H$11*E125</f>
        <v>21</v>
      </c>
      <c r="H125" s="135">
        <f>F125*$H$11</f>
        <v>1764</v>
      </c>
      <c r="I125" s="152">
        <v>37.14</v>
      </c>
      <c r="J125" s="135">
        <f>C125*I125</f>
        <v>3119.76</v>
      </c>
      <c r="K125" s="136">
        <f>SUM(H125,J125)</f>
        <v>4883.76</v>
      </c>
      <c r="L125" s="135">
        <f>K125/C125</f>
        <v>58.14</v>
      </c>
      <c r="M125" s="137">
        <f>C125*L125</f>
        <v>4883.76</v>
      </c>
      <c r="N125" s="144">
        <v>0</v>
      </c>
      <c r="O125" s="130">
        <f>M125*N125</f>
        <v>0</v>
      </c>
      <c r="P125" s="159"/>
      <c r="Q125" s="159"/>
    </row>
    <row r="126" spans="1:17" s="72" customFormat="1" ht="14.25" x14ac:dyDescent="0.2">
      <c r="A126" s="63"/>
      <c r="B126" s="143" t="s">
        <v>303</v>
      </c>
      <c r="C126" s="64">
        <v>84</v>
      </c>
      <c r="D126" s="75" t="s">
        <v>151</v>
      </c>
      <c r="E126" s="134">
        <v>0.21</v>
      </c>
      <c r="F126" s="134">
        <f>C126*E126</f>
        <v>17.64</v>
      </c>
      <c r="G126" s="134">
        <f>$H$11*E126</f>
        <v>10.5</v>
      </c>
      <c r="H126" s="135">
        <f>F126*$H$11</f>
        <v>882</v>
      </c>
      <c r="I126" s="152">
        <v>18.57</v>
      </c>
      <c r="J126" s="135">
        <f>C126*I126</f>
        <v>1559.88</v>
      </c>
      <c r="K126" s="136">
        <f>SUM(H126,J126)</f>
        <v>2441.88</v>
      </c>
      <c r="L126" s="135">
        <f>K126/C126</f>
        <v>29.07</v>
      </c>
      <c r="M126" s="137">
        <f>C126*L126</f>
        <v>2441.88</v>
      </c>
      <c r="N126" s="144">
        <v>0</v>
      </c>
      <c r="O126" s="130">
        <f>M126*N126</f>
        <v>0</v>
      </c>
      <c r="P126" s="159"/>
      <c r="Q126" s="159"/>
    </row>
    <row r="127" spans="1:17" s="72" customFormat="1" ht="14.25" x14ac:dyDescent="0.2">
      <c r="A127" s="63"/>
      <c r="B127" s="143" t="s">
        <v>304</v>
      </c>
      <c r="C127" s="64">
        <v>58</v>
      </c>
      <c r="D127" s="75" t="s">
        <v>116</v>
      </c>
      <c r="E127" s="134">
        <v>0.05</v>
      </c>
      <c r="F127" s="134">
        <f>C127*E127</f>
        <v>2.9000000000000004</v>
      </c>
      <c r="G127" s="134">
        <f>$H$11*E127</f>
        <v>2.5</v>
      </c>
      <c r="H127" s="135">
        <f>F127*$H$11</f>
        <v>145.00000000000003</v>
      </c>
      <c r="I127" s="152">
        <v>2.5</v>
      </c>
      <c r="J127" s="135">
        <f>C127*I127</f>
        <v>145</v>
      </c>
      <c r="K127" s="136">
        <f>SUM(H127,J127)</f>
        <v>290</v>
      </c>
      <c r="L127" s="135">
        <f>K127/C127</f>
        <v>5</v>
      </c>
      <c r="M127" s="137">
        <f>C127*L127</f>
        <v>290</v>
      </c>
      <c r="N127" s="144">
        <v>0</v>
      </c>
      <c r="O127" s="130">
        <f>M127*N127</f>
        <v>0</v>
      </c>
      <c r="P127" s="159"/>
      <c r="Q127" s="159"/>
    </row>
    <row r="128" spans="1:17" s="72" customFormat="1" ht="14.25" x14ac:dyDescent="0.2">
      <c r="A128" s="63"/>
      <c r="B128" s="143"/>
      <c r="C128" s="64"/>
      <c r="D128" s="75"/>
      <c r="E128" s="134"/>
      <c r="F128" s="134"/>
      <c r="G128" s="134"/>
      <c r="H128" s="135"/>
      <c r="I128" s="152"/>
      <c r="J128" s="135"/>
      <c r="K128" s="136"/>
      <c r="L128" s="135"/>
      <c r="M128" s="137"/>
      <c r="N128" s="144"/>
      <c r="O128" s="130"/>
      <c r="P128" s="159"/>
      <c r="Q128" s="159"/>
    </row>
    <row r="129" spans="1:19" s="72" customFormat="1" ht="14.25" x14ac:dyDescent="0.2">
      <c r="A129" s="63"/>
      <c r="B129" s="143" t="s">
        <v>305</v>
      </c>
      <c r="C129" s="64">
        <v>16</v>
      </c>
      <c r="D129" s="75" t="s">
        <v>151</v>
      </c>
      <c r="E129" s="134">
        <v>0.42</v>
      </c>
      <c r="F129" s="134">
        <f>C129*E129</f>
        <v>6.72</v>
      </c>
      <c r="G129" s="134">
        <f>$H$11*E129</f>
        <v>21</v>
      </c>
      <c r="H129" s="135">
        <f>F129*$H$11</f>
        <v>336</v>
      </c>
      <c r="I129" s="152">
        <v>37.14</v>
      </c>
      <c r="J129" s="135">
        <f>C129*I129</f>
        <v>594.24</v>
      </c>
      <c r="K129" s="136">
        <f>SUM(H129,J129)</f>
        <v>930.24</v>
      </c>
      <c r="L129" s="135">
        <f>K129/C129</f>
        <v>58.14</v>
      </c>
      <c r="M129" s="137">
        <f>C129*L129</f>
        <v>930.24</v>
      </c>
      <c r="N129" s="144">
        <v>0</v>
      </c>
      <c r="O129" s="130">
        <f>M129*N129</f>
        <v>0</v>
      </c>
      <c r="P129" s="159"/>
      <c r="Q129" s="159"/>
    </row>
    <row r="130" spans="1:19" s="72" customFormat="1" ht="14.25" x14ac:dyDescent="0.2">
      <c r="A130" s="63"/>
      <c r="B130" s="143" t="s">
        <v>306</v>
      </c>
      <c r="C130" s="64">
        <v>16</v>
      </c>
      <c r="D130" s="75" t="s">
        <v>151</v>
      </c>
      <c r="E130" s="134">
        <v>0.21</v>
      </c>
      <c r="F130" s="134">
        <f>C130*E130</f>
        <v>3.36</v>
      </c>
      <c r="G130" s="134">
        <f>$H$11*E130</f>
        <v>10.5</v>
      </c>
      <c r="H130" s="135">
        <f>F130*$H$11</f>
        <v>168</v>
      </c>
      <c r="I130" s="152">
        <v>18.57</v>
      </c>
      <c r="J130" s="135">
        <f>C130*I130</f>
        <v>297.12</v>
      </c>
      <c r="K130" s="136">
        <f>SUM(H130,J130)</f>
        <v>465.12</v>
      </c>
      <c r="L130" s="135">
        <f>K130/C130</f>
        <v>29.07</v>
      </c>
      <c r="M130" s="137">
        <f>C130*L130</f>
        <v>465.12</v>
      </c>
      <c r="N130" s="144">
        <v>0</v>
      </c>
      <c r="O130" s="130">
        <f>M130*N130</f>
        <v>0</v>
      </c>
      <c r="P130" s="159"/>
      <c r="Q130" s="159"/>
    </row>
    <row r="131" spans="1:19" s="72" customFormat="1" ht="14.25" x14ac:dyDescent="0.2">
      <c r="A131" s="63"/>
      <c r="B131" s="143" t="s">
        <v>304</v>
      </c>
      <c r="C131" s="64">
        <v>10</v>
      </c>
      <c r="D131" s="75" t="s">
        <v>116</v>
      </c>
      <c r="E131" s="134">
        <v>0.05</v>
      </c>
      <c r="F131" s="134">
        <f>C131*E131</f>
        <v>0.5</v>
      </c>
      <c r="G131" s="134">
        <f>$H$11*E131</f>
        <v>2.5</v>
      </c>
      <c r="H131" s="135">
        <f>F131*$H$11</f>
        <v>25</v>
      </c>
      <c r="I131" s="152">
        <v>2.5</v>
      </c>
      <c r="J131" s="135">
        <f>C131*I131</f>
        <v>25</v>
      </c>
      <c r="K131" s="136">
        <f>SUM(H131,J131)</f>
        <v>50</v>
      </c>
      <c r="L131" s="135">
        <f>K131/C131</f>
        <v>5</v>
      </c>
      <c r="M131" s="137">
        <f>C131*L131</f>
        <v>50</v>
      </c>
      <c r="N131" s="144">
        <v>0</v>
      </c>
      <c r="O131" s="130">
        <f>M131*N131</f>
        <v>0</v>
      </c>
      <c r="P131" s="159"/>
      <c r="Q131" s="159"/>
    </row>
    <row r="132" spans="1:19" s="72" customFormat="1" ht="14.25" x14ac:dyDescent="0.2">
      <c r="A132" s="63"/>
      <c r="B132" s="143"/>
      <c r="C132" s="64"/>
      <c r="D132" s="75"/>
      <c r="E132" s="134"/>
      <c r="F132" s="134"/>
      <c r="G132" s="134"/>
      <c r="H132" s="135"/>
      <c r="I132" s="152"/>
      <c r="J132" s="135"/>
      <c r="K132" s="136"/>
      <c r="L132" s="135"/>
      <c r="M132" s="137"/>
      <c r="N132" s="144"/>
      <c r="O132" s="130"/>
      <c r="P132" s="159"/>
      <c r="Q132" s="159"/>
    </row>
    <row r="133" spans="1:19" s="72" customFormat="1" ht="14.25" x14ac:dyDescent="0.2">
      <c r="A133" s="63"/>
      <c r="B133" s="143" t="s">
        <v>310</v>
      </c>
      <c r="C133" s="64">
        <v>30</v>
      </c>
      <c r="D133" s="75" t="s">
        <v>151</v>
      </c>
      <c r="E133" s="134">
        <v>0.18</v>
      </c>
      <c r="F133" s="134">
        <f>C133*E133</f>
        <v>5.3999999999999995</v>
      </c>
      <c r="G133" s="134">
        <f>$H$11*E133</f>
        <v>9</v>
      </c>
      <c r="H133" s="135">
        <f>F133*$H$11</f>
        <v>270</v>
      </c>
      <c r="I133" s="152">
        <v>14</v>
      </c>
      <c r="J133" s="135">
        <f>C133*I133</f>
        <v>420</v>
      </c>
      <c r="K133" s="136">
        <f>SUM(H133,J133)</f>
        <v>690</v>
      </c>
      <c r="L133" s="135">
        <f>K133/C133</f>
        <v>23</v>
      </c>
      <c r="M133" s="137">
        <f>C133*L133</f>
        <v>690</v>
      </c>
      <c r="N133" s="144">
        <v>0</v>
      </c>
      <c r="O133" s="130">
        <f>M133*N133</f>
        <v>0</v>
      </c>
      <c r="P133" s="159"/>
      <c r="Q133" s="159"/>
    </row>
    <row r="134" spans="1:19" s="72" customFormat="1" ht="14.25" x14ac:dyDescent="0.2">
      <c r="A134" s="63"/>
      <c r="B134" s="143"/>
      <c r="C134" s="64"/>
      <c r="D134" s="75"/>
      <c r="E134" s="134"/>
      <c r="F134" s="134"/>
      <c r="G134" s="134"/>
      <c r="H134" s="135"/>
      <c r="I134" s="152"/>
      <c r="J134" s="135"/>
      <c r="K134" s="136"/>
      <c r="L134" s="135"/>
      <c r="M134" s="137"/>
      <c r="N134" s="144"/>
      <c r="O134" s="130"/>
      <c r="P134" s="159"/>
      <c r="Q134" s="159"/>
    </row>
    <row r="135" spans="1:19" s="72" customFormat="1" ht="14.25" x14ac:dyDescent="0.2">
      <c r="A135" s="63"/>
      <c r="B135" s="143" t="s">
        <v>307</v>
      </c>
      <c r="C135" s="64">
        <v>104</v>
      </c>
      <c r="D135" s="75" t="s">
        <v>151</v>
      </c>
      <c r="E135" s="134">
        <v>0.18</v>
      </c>
      <c r="F135" s="134">
        <f>C135*E135</f>
        <v>18.72</v>
      </c>
      <c r="G135" s="134">
        <f>$H$11*E135</f>
        <v>9</v>
      </c>
      <c r="H135" s="135">
        <f>F135*$H$11</f>
        <v>936</v>
      </c>
      <c r="I135" s="152">
        <v>14</v>
      </c>
      <c r="J135" s="135">
        <f>C135*I135</f>
        <v>1456</v>
      </c>
      <c r="K135" s="136">
        <f>SUM(H135,J135)</f>
        <v>2392</v>
      </c>
      <c r="L135" s="135">
        <f>K135/C135</f>
        <v>23</v>
      </c>
      <c r="M135" s="137">
        <f>C135*L135</f>
        <v>2392</v>
      </c>
      <c r="N135" s="144">
        <v>0</v>
      </c>
      <c r="O135" s="130">
        <f>M135*N135</f>
        <v>0</v>
      </c>
      <c r="P135" s="159"/>
      <c r="Q135" s="159"/>
    </row>
    <row r="136" spans="1:19" s="72" customFormat="1" ht="14.25" x14ac:dyDescent="0.2">
      <c r="A136" s="63"/>
      <c r="B136" s="143"/>
      <c r="C136" s="64"/>
      <c r="D136" s="75"/>
      <c r="E136" s="134"/>
      <c r="F136" s="134"/>
      <c r="G136" s="134"/>
      <c r="H136" s="135"/>
      <c r="I136" s="152"/>
      <c r="J136" s="135"/>
      <c r="K136" s="136"/>
      <c r="L136" s="135"/>
      <c r="M136" s="137"/>
      <c r="N136" s="144"/>
      <c r="O136" s="130"/>
      <c r="P136" s="159"/>
      <c r="Q136" s="159"/>
    </row>
    <row r="137" spans="1:19" s="72" customFormat="1" ht="14.25" x14ac:dyDescent="0.2">
      <c r="A137" s="63"/>
      <c r="B137" s="143" t="s">
        <v>315</v>
      </c>
      <c r="C137" s="64">
        <v>28</v>
      </c>
      <c r="D137" s="75" t="s">
        <v>151</v>
      </c>
      <c r="E137" s="134">
        <v>0.18</v>
      </c>
      <c r="F137" s="134">
        <f>C137*E137</f>
        <v>5.04</v>
      </c>
      <c r="G137" s="134">
        <f>$H$11*E137</f>
        <v>9</v>
      </c>
      <c r="H137" s="135">
        <f>F137*$H$11</f>
        <v>252</v>
      </c>
      <c r="I137" s="152">
        <v>14</v>
      </c>
      <c r="J137" s="135">
        <f>C137*I137</f>
        <v>392</v>
      </c>
      <c r="K137" s="136">
        <f>SUM(H137,J137)</f>
        <v>644</v>
      </c>
      <c r="L137" s="135">
        <f>K137/C137</f>
        <v>23</v>
      </c>
      <c r="M137" s="137">
        <f>C137*L137</f>
        <v>644</v>
      </c>
      <c r="N137" s="144">
        <v>0</v>
      </c>
      <c r="O137" s="130">
        <f>M137*N137</f>
        <v>0</v>
      </c>
      <c r="P137" s="159"/>
      <c r="Q137" s="159"/>
    </row>
    <row r="138" spans="1:19" s="72" customFormat="1" ht="14.25" x14ac:dyDescent="0.2">
      <c r="A138" s="63"/>
      <c r="B138" s="143" t="s">
        <v>316</v>
      </c>
      <c r="C138" s="64">
        <v>5</v>
      </c>
      <c r="D138" s="75" t="s">
        <v>151</v>
      </c>
      <c r="E138" s="134">
        <v>0.2</v>
      </c>
      <c r="F138" s="134">
        <f>C138*E138</f>
        <v>1</v>
      </c>
      <c r="G138" s="134">
        <f>$H$11*E138</f>
        <v>10</v>
      </c>
      <c r="H138" s="135">
        <f>F138*$H$11</f>
        <v>50</v>
      </c>
      <c r="I138" s="152">
        <v>14</v>
      </c>
      <c r="J138" s="135">
        <f>C138*I138</f>
        <v>70</v>
      </c>
      <c r="K138" s="136">
        <f>SUM(H138,J138)</f>
        <v>120</v>
      </c>
      <c r="L138" s="135">
        <f>K138/C138</f>
        <v>24</v>
      </c>
      <c r="M138" s="137">
        <f>C138*L138</f>
        <v>120</v>
      </c>
      <c r="N138" s="144">
        <v>0</v>
      </c>
      <c r="O138" s="130">
        <f>M138*N138</f>
        <v>0</v>
      </c>
      <c r="P138" s="159"/>
      <c r="Q138" s="159"/>
    </row>
    <row r="139" spans="1:19" s="72" customFormat="1" ht="14.25" x14ac:dyDescent="0.2">
      <c r="A139" s="63"/>
      <c r="B139" s="175" t="s">
        <v>152</v>
      </c>
      <c r="C139" s="64">
        <v>5</v>
      </c>
      <c r="D139" s="75" t="s">
        <v>116</v>
      </c>
      <c r="E139" s="134">
        <v>0.1</v>
      </c>
      <c r="F139" s="134">
        <f>C139*E139</f>
        <v>0.5</v>
      </c>
      <c r="G139" s="134">
        <f>$H$11*E139</f>
        <v>5</v>
      </c>
      <c r="H139" s="135">
        <f>F139*$H$11</f>
        <v>25</v>
      </c>
      <c r="I139" s="152">
        <v>0</v>
      </c>
      <c r="J139" s="135">
        <f>C139*I139</f>
        <v>0</v>
      </c>
      <c r="K139" s="136">
        <f>SUM(H139,J139)</f>
        <v>25</v>
      </c>
      <c r="L139" s="135">
        <f>K139/C139</f>
        <v>5</v>
      </c>
      <c r="M139" s="137">
        <f>C139*L139</f>
        <v>25</v>
      </c>
      <c r="N139" s="144">
        <v>0</v>
      </c>
      <c r="O139" s="130">
        <f>M139*N139</f>
        <v>0</v>
      </c>
      <c r="P139" s="159"/>
      <c r="Q139" s="159"/>
    </row>
    <row r="140" spans="1:19" s="72" customFormat="1" ht="14.25" x14ac:dyDescent="0.2">
      <c r="A140" s="63"/>
      <c r="B140" s="143"/>
      <c r="C140" s="64"/>
      <c r="D140" s="75"/>
      <c r="E140" s="134"/>
      <c r="F140" s="134"/>
      <c r="G140" s="134"/>
      <c r="H140" s="135"/>
      <c r="I140" s="152"/>
      <c r="J140" s="135"/>
      <c r="K140" s="136"/>
      <c r="L140" s="135"/>
      <c r="M140" s="137"/>
      <c r="N140" s="144"/>
      <c r="O140" s="130"/>
      <c r="P140" s="159"/>
      <c r="Q140" s="159"/>
    </row>
    <row r="141" spans="1:19" s="72" customFormat="1" ht="14.25" x14ac:dyDescent="0.2">
      <c r="A141" s="63"/>
      <c r="B141" s="143" t="s">
        <v>744</v>
      </c>
      <c r="C141" s="64">
        <v>2</v>
      </c>
      <c r="D141" s="75" t="s">
        <v>116</v>
      </c>
      <c r="E141" s="134">
        <v>0</v>
      </c>
      <c r="F141" s="134">
        <f>C141*E141</f>
        <v>0</v>
      </c>
      <c r="G141" s="134">
        <f>$H$11*E141</f>
        <v>0</v>
      </c>
      <c r="H141" s="135">
        <f>F141*$H$11</f>
        <v>0</v>
      </c>
      <c r="I141" s="152">
        <v>310</v>
      </c>
      <c r="J141" s="135">
        <f>C141*I141</f>
        <v>620</v>
      </c>
      <c r="K141" s="136">
        <f>SUM(H141,J141)</f>
        <v>620</v>
      </c>
      <c r="L141" s="135">
        <f>K141/C141</f>
        <v>310</v>
      </c>
      <c r="M141" s="137">
        <f>C141*L141</f>
        <v>620</v>
      </c>
      <c r="N141" s="144">
        <v>0</v>
      </c>
      <c r="O141" s="130">
        <f>M141*N141</f>
        <v>0</v>
      </c>
      <c r="P141" s="159"/>
      <c r="Q141" s="159"/>
    </row>
    <row r="142" spans="1:19" s="72" customFormat="1" ht="14.25" x14ac:dyDescent="0.2">
      <c r="A142" s="63"/>
      <c r="B142" s="143" t="s">
        <v>742</v>
      </c>
      <c r="C142" s="64">
        <v>8</v>
      </c>
      <c r="D142" s="75" t="s">
        <v>116</v>
      </c>
      <c r="E142" s="134">
        <v>0</v>
      </c>
      <c r="F142" s="134">
        <f>C142*E142</f>
        <v>0</v>
      </c>
      <c r="G142" s="134">
        <f>$H$11*E142</f>
        <v>0</v>
      </c>
      <c r="H142" s="135">
        <f>F142*$H$11</f>
        <v>0</v>
      </c>
      <c r="I142" s="152">
        <v>310</v>
      </c>
      <c r="J142" s="135">
        <f>C142*I142</f>
        <v>2480</v>
      </c>
      <c r="K142" s="136">
        <f>SUM(H142,J142)</f>
        <v>2480</v>
      </c>
      <c r="L142" s="135">
        <f>K142/C142</f>
        <v>310</v>
      </c>
      <c r="M142" s="137">
        <f>C142*L142</f>
        <v>2480</v>
      </c>
      <c r="N142" s="144">
        <v>0</v>
      </c>
      <c r="O142" s="130">
        <f>M142*N142</f>
        <v>0</v>
      </c>
      <c r="P142" s="159"/>
      <c r="Q142" s="159"/>
      <c r="S142" s="306"/>
    </row>
    <row r="143" spans="1:19" s="72" customFormat="1" ht="14.25" x14ac:dyDescent="0.2">
      <c r="A143" s="63"/>
      <c r="B143" s="143"/>
      <c r="C143" s="64"/>
      <c r="D143" s="75"/>
      <c r="E143" s="134"/>
      <c r="F143" s="134"/>
      <c r="G143" s="134"/>
      <c r="H143" s="135"/>
      <c r="I143" s="152"/>
      <c r="J143" s="135"/>
      <c r="K143" s="136"/>
      <c r="L143" s="135"/>
      <c r="M143" s="137"/>
      <c r="N143" s="144"/>
      <c r="O143" s="130"/>
      <c r="P143" s="159"/>
      <c r="Q143" s="159"/>
      <c r="S143" s="306"/>
    </row>
    <row r="144" spans="1:19" s="72" customFormat="1" ht="14.25" x14ac:dyDescent="0.2">
      <c r="A144" s="63"/>
      <c r="B144" s="143" t="s">
        <v>962</v>
      </c>
      <c r="C144" s="64">
        <v>12</v>
      </c>
      <c r="D144" s="75" t="s">
        <v>148</v>
      </c>
      <c r="E144" s="134">
        <v>2.25</v>
      </c>
      <c r="F144" s="134">
        <f>C144*E144</f>
        <v>27</v>
      </c>
      <c r="G144" s="134">
        <f>$H$11*E144</f>
        <v>112.5</v>
      </c>
      <c r="H144" s="135">
        <f>F144*$H$11</f>
        <v>1350</v>
      </c>
      <c r="I144" s="229">
        <v>215</v>
      </c>
      <c r="J144" s="135">
        <f>C144*I144</f>
        <v>2580</v>
      </c>
      <c r="K144" s="136">
        <f>SUM(H144,J144)</f>
        <v>3930</v>
      </c>
      <c r="L144" s="135">
        <f>K144/C144</f>
        <v>327.5</v>
      </c>
      <c r="M144" s="137">
        <f>C144*L144</f>
        <v>3930</v>
      </c>
      <c r="N144" s="144">
        <v>0</v>
      </c>
      <c r="O144" s="130">
        <f>M144*N144</f>
        <v>0</v>
      </c>
      <c r="P144" s="159"/>
      <c r="Q144" s="159"/>
      <c r="S144" s="306"/>
    </row>
    <row r="145" spans="1:17" s="72" customFormat="1" ht="14.25" x14ac:dyDescent="0.2">
      <c r="A145" s="63"/>
      <c r="B145" s="143"/>
      <c r="C145" s="64"/>
      <c r="D145" s="75"/>
      <c r="E145" s="134"/>
      <c r="F145" s="134"/>
      <c r="G145" s="134"/>
      <c r="H145" s="135"/>
      <c r="I145" s="152"/>
      <c r="J145" s="135"/>
      <c r="K145" s="136"/>
      <c r="L145" s="135"/>
      <c r="M145" s="137"/>
      <c r="N145" s="144"/>
      <c r="O145" s="130"/>
      <c r="P145" s="159"/>
      <c r="Q145" s="159"/>
    </row>
    <row r="146" spans="1:17" s="72" customFormat="1" ht="14.25" x14ac:dyDescent="0.2">
      <c r="A146" s="63"/>
      <c r="B146" s="143"/>
      <c r="C146" s="64"/>
      <c r="D146" s="75"/>
      <c r="E146" s="134"/>
      <c r="F146" s="134"/>
      <c r="G146" s="134"/>
      <c r="H146" s="135"/>
      <c r="I146" s="152"/>
      <c r="J146" s="135"/>
      <c r="K146" s="136"/>
      <c r="L146" s="135"/>
      <c r="M146" s="137"/>
      <c r="N146" s="144"/>
      <c r="O146" s="130"/>
      <c r="P146" s="159"/>
      <c r="Q146" s="159"/>
    </row>
    <row r="147" spans="1:17" s="72" customFormat="1" ht="15" x14ac:dyDescent="0.2">
      <c r="A147" s="63"/>
      <c r="B147" s="176" t="s">
        <v>60</v>
      </c>
      <c r="C147" s="64"/>
      <c r="D147" s="75"/>
      <c r="E147" s="128"/>
      <c r="F147" s="129"/>
      <c r="G147" s="129"/>
      <c r="H147" s="129"/>
      <c r="I147" s="153"/>
      <c r="J147" s="128"/>
      <c r="K147" s="128"/>
      <c r="L147" s="128"/>
      <c r="M147" s="120"/>
      <c r="N147" s="126"/>
      <c r="O147" s="127"/>
      <c r="P147" s="159">
        <f>SUM(C149,C150,C154,C155,C161,C162,C166,C167,C175,C177,C179,C181,C183)</f>
        <v>1324</v>
      </c>
      <c r="Q147" s="159"/>
    </row>
    <row r="148" spans="1:17" s="72" customFormat="1" ht="14.25" x14ac:dyDescent="0.2">
      <c r="A148" s="63"/>
      <c r="B148" s="143"/>
      <c r="C148" s="64"/>
      <c r="D148" s="75"/>
      <c r="E148" s="134"/>
      <c r="F148" s="134"/>
      <c r="G148" s="134"/>
      <c r="H148" s="135"/>
      <c r="I148" s="152"/>
      <c r="J148" s="135"/>
      <c r="K148" s="136"/>
      <c r="L148" s="135"/>
      <c r="M148" s="137"/>
      <c r="N148" s="144"/>
      <c r="O148" s="130"/>
      <c r="P148" s="159">
        <f>SUM(C169)</f>
        <v>76</v>
      </c>
      <c r="Q148" s="159"/>
    </row>
    <row r="149" spans="1:17" s="72" customFormat="1" ht="14.25" x14ac:dyDescent="0.2">
      <c r="A149" s="63"/>
      <c r="B149" s="143" t="s">
        <v>321</v>
      </c>
      <c r="C149" s="64">
        <v>68</v>
      </c>
      <c r="D149" s="75" t="s">
        <v>151</v>
      </c>
      <c r="E149" s="134">
        <v>0.42</v>
      </c>
      <c r="F149" s="134">
        <f>C149*E149</f>
        <v>28.56</v>
      </c>
      <c r="G149" s="134">
        <f>$H$11*E149</f>
        <v>21</v>
      </c>
      <c r="H149" s="135">
        <f>F149*$H$11</f>
        <v>1428</v>
      </c>
      <c r="I149" s="152">
        <v>37.14</v>
      </c>
      <c r="J149" s="135">
        <f>C149*I149</f>
        <v>2525.52</v>
      </c>
      <c r="K149" s="136">
        <f>SUM(H149,J149)</f>
        <v>3953.52</v>
      </c>
      <c r="L149" s="135">
        <f>K149/C149</f>
        <v>58.14</v>
      </c>
      <c r="M149" s="137">
        <f>C149*L149</f>
        <v>3953.52</v>
      </c>
      <c r="N149" s="144">
        <v>0</v>
      </c>
      <c r="O149" s="130">
        <f>M149*N149</f>
        <v>0</v>
      </c>
      <c r="P149" s="159"/>
      <c r="Q149" s="159"/>
    </row>
    <row r="150" spans="1:17" s="72" customFormat="1" ht="14.25" x14ac:dyDescent="0.2">
      <c r="A150" s="63"/>
      <c r="B150" s="143" t="s">
        <v>322</v>
      </c>
      <c r="C150" s="64">
        <v>68</v>
      </c>
      <c r="D150" s="75" t="s">
        <v>151</v>
      </c>
      <c r="E150" s="134">
        <v>0.21</v>
      </c>
      <c r="F150" s="134">
        <f>C150*E150</f>
        <v>14.28</v>
      </c>
      <c r="G150" s="134">
        <f>$H$11*E150</f>
        <v>10.5</v>
      </c>
      <c r="H150" s="135">
        <f>F150*$H$11</f>
        <v>714</v>
      </c>
      <c r="I150" s="152">
        <v>18.57</v>
      </c>
      <c r="J150" s="135">
        <f>C150*I150</f>
        <v>1262.76</v>
      </c>
      <c r="K150" s="136">
        <f>SUM(H150,J150)</f>
        <v>1976.76</v>
      </c>
      <c r="L150" s="135">
        <f>K150/C150</f>
        <v>29.07</v>
      </c>
      <c r="M150" s="137">
        <f>C150*L150</f>
        <v>1976.76</v>
      </c>
      <c r="N150" s="144">
        <v>0</v>
      </c>
      <c r="O150" s="130">
        <f>M150*N150</f>
        <v>0</v>
      </c>
      <c r="P150" s="159"/>
      <c r="Q150" s="159"/>
    </row>
    <row r="151" spans="1:17" s="72" customFormat="1" ht="14.25" x14ac:dyDescent="0.2">
      <c r="A151" s="63"/>
      <c r="B151" s="143" t="s">
        <v>304</v>
      </c>
      <c r="C151" s="64">
        <v>96</v>
      </c>
      <c r="D151" s="75" t="s">
        <v>116</v>
      </c>
      <c r="E151" s="134">
        <v>0.05</v>
      </c>
      <c r="F151" s="134">
        <f>C151*E151</f>
        <v>4.8000000000000007</v>
      </c>
      <c r="G151" s="134">
        <f>$H$11*E151</f>
        <v>2.5</v>
      </c>
      <c r="H151" s="135">
        <f>F151*$H$11</f>
        <v>240.00000000000003</v>
      </c>
      <c r="I151" s="152">
        <v>2.5</v>
      </c>
      <c r="J151" s="135">
        <f>C151*I151</f>
        <v>240</v>
      </c>
      <c r="K151" s="136">
        <f>SUM(H151,J151)</f>
        <v>480</v>
      </c>
      <c r="L151" s="135">
        <f>K151/C151</f>
        <v>5</v>
      </c>
      <c r="M151" s="137">
        <f>C151*L151</f>
        <v>480</v>
      </c>
      <c r="N151" s="144">
        <v>0</v>
      </c>
      <c r="O151" s="130">
        <f>M151*N151</f>
        <v>0</v>
      </c>
      <c r="P151" s="159"/>
      <c r="Q151" s="159"/>
    </row>
    <row r="152" spans="1:17" s="72" customFormat="1" ht="14.25" x14ac:dyDescent="0.2">
      <c r="A152" s="63"/>
      <c r="B152" s="175" t="s">
        <v>152</v>
      </c>
      <c r="C152" s="64">
        <v>144</v>
      </c>
      <c r="D152" s="75" t="s">
        <v>116</v>
      </c>
      <c r="E152" s="134">
        <v>0.1</v>
      </c>
      <c r="F152" s="134">
        <f>C152*E152</f>
        <v>14.4</v>
      </c>
      <c r="G152" s="134">
        <f>$H$11*E152</f>
        <v>5</v>
      </c>
      <c r="H152" s="135">
        <f>F152*$H$11</f>
        <v>720</v>
      </c>
      <c r="I152" s="152">
        <v>0</v>
      </c>
      <c r="J152" s="135">
        <f>C152*I152</f>
        <v>0</v>
      </c>
      <c r="K152" s="136">
        <f>SUM(H152,J152)</f>
        <v>720</v>
      </c>
      <c r="L152" s="135">
        <f>K152/C152</f>
        <v>5</v>
      </c>
      <c r="M152" s="137">
        <f>C152*L152</f>
        <v>720</v>
      </c>
      <c r="N152" s="144">
        <v>0</v>
      </c>
      <c r="O152" s="130">
        <f>M152*N152</f>
        <v>0</v>
      </c>
      <c r="P152" s="159"/>
      <c r="Q152" s="159"/>
    </row>
    <row r="153" spans="1:17" s="72" customFormat="1" ht="14.25" x14ac:dyDescent="0.2">
      <c r="A153" s="63"/>
      <c r="B153" s="143"/>
      <c r="C153" s="64"/>
      <c r="D153" s="75"/>
      <c r="E153" s="134"/>
      <c r="F153" s="134"/>
      <c r="G153" s="134"/>
      <c r="H153" s="135"/>
      <c r="I153" s="152"/>
      <c r="J153" s="135"/>
      <c r="K153" s="136"/>
      <c r="L153" s="135"/>
      <c r="M153" s="137"/>
      <c r="N153" s="144"/>
      <c r="O153" s="130"/>
      <c r="P153" s="159"/>
      <c r="Q153" s="159"/>
    </row>
    <row r="154" spans="1:17" s="72" customFormat="1" ht="14.25" x14ac:dyDescent="0.2">
      <c r="A154" s="63"/>
      <c r="B154" s="143" t="s">
        <v>349</v>
      </c>
      <c r="C154" s="64">
        <v>15</v>
      </c>
      <c r="D154" s="75" t="s">
        <v>151</v>
      </c>
      <c r="E154" s="134">
        <v>0.42</v>
      </c>
      <c r="F154" s="134">
        <f>C154*E154</f>
        <v>6.3</v>
      </c>
      <c r="G154" s="134">
        <f>$H$11*E154</f>
        <v>21</v>
      </c>
      <c r="H154" s="135">
        <f>F154*$H$11</f>
        <v>315</v>
      </c>
      <c r="I154" s="152">
        <v>37.14</v>
      </c>
      <c r="J154" s="135">
        <f>C154*I154</f>
        <v>557.1</v>
      </c>
      <c r="K154" s="136">
        <f>SUM(H154,J154)</f>
        <v>872.1</v>
      </c>
      <c r="L154" s="135">
        <f>K154/C154</f>
        <v>58.14</v>
      </c>
      <c r="M154" s="137">
        <f>C154*L154</f>
        <v>872.1</v>
      </c>
      <c r="N154" s="144">
        <v>0</v>
      </c>
      <c r="O154" s="130">
        <f>M154*N154</f>
        <v>0</v>
      </c>
      <c r="P154" s="159"/>
      <c r="Q154" s="159"/>
    </row>
    <row r="155" spans="1:17" s="72" customFormat="1" ht="14.25" x14ac:dyDescent="0.2">
      <c r="A155" s="63"/>
      <c r="B155" s="143" t="s">
        <v>350</v>
      </c>
      <c r="C155" s="64">
        <v>15</v>
      </c>
      <c r="D155" s="75" t="s">
        <v>151</v>
      </c>
      <c r="E155" s="134">
        <v>0.21</v>
      </c>
      <c r="F155" s="134">
        <f>C155*E155</f>
        <v>3.15</v>
      </c>
      <c r="G155" s="134">
        <f>$H$11*E155</f>
        <v>10.5</v>
      </c>
      <c r="H155" s="135">
        <f>F155*$H$11</f>
        <v>157.5</v>
      </c>
      <c r="I155" s="152">
        <v>18.57</v>
      </c>
      <c r="J155" s="135">
        <f>C155*I155</f>
        <v>278.55</v>
      </c>
      <c r="K155" s="136">
        <f>SUM(H155,J155)</f>
        <v>436.05</v>
      </c>
      <c r="L155" s="135">
        <f>K155/C155</f>
        <v>29.07</v>
      </c>
      <c r="M155" s="137">
        <f>C155*L155</f>
        <v>436.05</v>
      </c>
      <c r="N155" s="144">
        <v>0</v>
      </c>
      <c r="O155" s="130">
        <f>M155*N155</f>
        <v>0</v>
      </c>
      <c r="P155" s="159"/>
      <c r="Q155" s="159"/>
    </row>
    <row r="156" spans="1:17" s="72" customFormat="1" ht="14.25" x14ac:dyDescent="0.2">
      <c r="A156" s="63"/>
      <c r="B156" s="143" t="s">
        <v>304</v>
      </c>
      <c r="C156" s="64">
        <v>20</v>
      </c>
      <c r="D156" s="75" t="s">
        <v>116</v>
      </c>
      <c r="E156" s="134">
        <v>0.05</v>
      </c>
      <c r="F156" s="134">
        <f>C156*E156</f>
        <v>1</v>
      </c>
      <c r="G156" s="134">
        <f>$H$11*E156</f>
        <v>2.5</v>
      </c>
      <c r="H156" s="135">
        <f>F156*$H$11</f>
        <v>50</v>
      </c>
      <c r="I156" s="152">
        <v>2.5</v>
      </c>
      <c r="J156" s="135">
        <f>C156*I156</f>
        <v>50</v>
      </c>
      <c r="K156" s="136">
        <f>SUM(H156,J156)</f>
        <v>100</v>
      </c>
      <c r="L156" s="135">
        <f>K156/C156</f>
        <v>5</v>
      </c>
      <c r="M156" s="137">
        <f>C156*L156</f>
        <v>100</v>
      </c>
      <c r="N156" s="144">
        <v>0</v>
      </c>
      <c r="O156" s="130">
        <f>M156*N156</f>
        <v>0</v>
      </c>
      <c r="P156" s="159"/>
      <c r="Q156" s="159"/>
    </row>
    <row r="157" spans="1:17" s="72" customFormat="1" ht="14.25" x14ac:dyDescent="0.2">
      <c r="A157" s="63"/>
      <c r="B157" s="175" t="s">
        <v>152</v>
      </c>
      <c r="C157" s="64">
        <v>40</v>
      </c>
      <c r="D157" s="75" t="s">
        <v>116</v>
      </c>
      <c r="E157" s="134">
        <v>0.1</v>
      </c>
      <c r="F157" s="134">
        <f>C157*E157</f>
        <v>4</v>
      </c>
      <c r="G157" s="134">
        <f>$H$11*E157</f>
        <v>5</v>
      </c>
      <c r="H157" s="135">
        <f>F157*$H$11</f>
        <v>200</v>
      </c>
      <c r="I157" s="152">
        <v>0</v>
      </c>
      <c r="J157" s="135">
        <f>C157*I157</f>
        <v>0</v>
      </c>
      <c r="K157" s="136">
        <f>SUM(H157,J157)</f>
        <v>200</v>
      </c>
      <c r="L157" s="135">
        <f>K157/C157</f>
        <v>5</v>
      </c>
      <c r="M157" s="137">
        <f>C157*L157</f>
        <v>200</v>
      </c>
      <c r="N157" s="144">
        <v>0</v>
      </c>
      <c r="O157" s="130">
        <f>M157*N157</f>
        <v>0</v>
      </c>
      <c r="P157" s="159"/>
      <c r="Q157" s="159"/>
    </row>
    <row r="158" spans="1:17" s="72" customFormat="1" ht="14.25" x14ac:dyDescent="0.2">
      <c r="A158" s="63"/>
      <c r="B158" s="143"/>
      <c r="C158" s="64"/>
      <c r="D158" s="75"/>
      <c r="E158" s="134"/>
      <c r="F158" s="134"/>
      <c r="G158" s="134"/>
      <c r="H158" s="135"/>
      <c r="I158" s="152"/>
      <c r="J158" s="135"/>
      <c r="K158" s="136"/>
      <c r="L158" s="135"/>
      <c r="M158" s="137"/>
      <c r="N158" s="144"/>
      <c r="O158" s="130"/>
      <c r="P158" s="159"/>
      <c r="Q158" s="159"/>
    </row>
    <row r="159" spans="1:17" s="72" customFormat="1" ht="14.25" x14ac:dyDescent="0.2">
      <c r="A159" s="63"/>
      <c r="B159" s="143" t="s">
        <v>340</v>
      </c>
      <c r="C159" s="199" t="s">
        <v>351</v>
      </c>
      <c r="D159" s="75"/>
      <c r="E159" s="134"/>
      <c r="F159" s="134"/>
      <c r="G159" s="134"/>
      <c r="H159" s="135"/>
      <c r="I159" s="152"/>
      <c r="J159" s="135"/>
      <c r="K159" s="136"/>
      <c r="L159" s="135"/>
      <c r="M159" s="137"/>
      <c r="N159" s="144"/>
      <c r="O159" s="130"/>
      <c r="P159" s="159"/>
      <c r="Q159" s="159"/>
    </row>
    <row r="160" spans="1:17" s="72" customFormat="1" ht="14.25" x14ac:dyDescent="0.2">
      <c r="A160" s="63"/>
      <c r="B160" s="143"/>
      <c r="C160" s="64"/>
      <c r="D160" s="75"/>
      <c r="E160" s="134"/>
      <c r="F160" s="134"/>
      <c r="G160" s="134"/>
      <c r="H160" s="135"/>
      <c r="I160" s="152"/>
      <c r="J160" s="135"/>
      <c r="K160" s="136"/>
      <c r="L160" s="135"/>
      <c r="M160" s="137"/>
      <c r="N160" s="144"/>
      <c r="O160" s="130"/>
      <c r="P160" s="159"/>
      <c r="Q160" s="159"/>
    </row>
    <row r="161" spans="1:17" s="72" customFormat="1" ht="14.25" x14ac:dyDescent="0.2">
      <c r="A161" s="63"/>
      <c r="B161" s="143" t="s">
        <v>331</v>
      </c>
      <c r="C161" s="64">
        <v>239</v>
      </c>
      <c r="D161" s="75" t="s">
        <v>151</v>
      </c>
      <c r="E161" s="134">
        <v>0.42</v>
      </c>
      <c r="F161" s="134">
        <f>C161*E161</f>
        <v>100.38</v>
      </c>
      <c r="G161" s="134">
        <f>$H$11*E161</f>
        <v>21</v>
      </c>
      <c r="H161" s="135">
        <f>F161*$H$11</f>
        <v>5019</v>
      </c>
      <c r="I161" s="152">
        <v>37.14</v>
      </c>
      <c r="J161" s="135">
        <f>C161*I161</f>
        <v>8876.4600000000009</v>
      </c>
      <c r="K161" s="136">
        <f>SUM(H161,J161)</f>
        <v>13895.460000000001</v>
      </c>
      <c r="L161" s="135">
        <f>K161/C161</f>
        <v>58.14</v>
      </c>
      <c r="M161" s="137">
        <f>C161*L161</f>
        <v>13895.460000000001</v>
      </c>
      <c r="N161" s="144">
        <v>0</v>
      </c>
      <c r="O161" s="130">
        <f>M161*N161</f>
        <v>0</v>
      </c>
      <c r="P161" s="159"/>
      <c r="Q161" s="159"/>
    </row>
    <row r="162" spans="1:17" s="72" customFormat="1" ht="14.25" x14ac:dyDescent="0.2">
      <c r="A162" s="63"/>
      <c r="B162" s="143" t="s">
        <v>332</v>
      </c>
      <c r="C162" s="64">
        <v>239</v>
      </c>
      <c r="D162" s="75" t="s">
        <v>151</v>
      </c>
      <c r="E162" s="134">
        <v>0.21</v>
      </c>
      <c r="F162" s="134">
        <f>C162*E162</f>
        <v>50.19</v>
      </c>
      <c r="G162" s="134">
        <f>$H$11*E162</f>
        <v>10.5</v>
      </c>
      <c r="H162" s="135">
        <f>F162*$H$11</f>
        <v>2509.5</v>
      </c>
      <c r="I162" s="152">
        <v>18.57</v>
      </c>
      <c r="J162" s="135">
        <f>C162*I162</f>
        <v>4438.2300000000005</v>
      </c>
      <c r="K162" s="136">
        <f>SUM(H162,J162)</f>
        <v>6947.7300000000005</v>
      </c>
      <c r="L162" s="135">
        <f>K162/C162</f>
        <v>29.07</v>
      </c>
      <c r="M162" s="137">
        <f>C162*L162</f>
        <v>6947.7300000000005</v>
      </c>
      <c r="N162" s="144">
        <v>0</v>
      </c>
      <c r="O162" s="130">
        <f>M162*N162</f>
        <v>0</v>
      </c>
      <c r="P162" s="159"/>
      <c r="Q162" s="159"/>
    </row>
    <row r="163" spans="1:17" s="72" customFormat="1" ht="14.25" x14ac:dyDescent="0.2">
      <c r="A163" s="63"/>
      <c r="B163" s="143" t="s">
        <v>304</v>
      </c>
      <c r="C163" s="64">
        <v>216</v>
      </c>
      <c r="D163" s="75" t="s">
        <v>116</v>
      </c>
      <c r="E163" s="134">
        <v>0.05</v>
      </c>
      <c r="F163" s="134">
        <f>C163*E163</f>
        <v>10.8</v>
      </c>
      <c r="G163" s="134">
        <f>$H$11*E163</f>
        <v>2.5</v>
      </c>
      <c r="H163" s="135">
        <f>F163*$H$11</f>
        <v>540</v>
      </c>
      <c r="I163" s="152">
        <v>2.5</v>
      </c>
      <c r="J163" s="135">
        <f>C163*I163</f>
        <v>540</v>
      </c>
      <c r="K163" s="136">
        <f>SUM(H163,J163)</f>
        <v>1080</v>
      </c>
      <c r="L163" s="135">
        <f>K163/C163</f>
        <v>5</v>
      </c>
      <c r="M163" s="137">
        <f>C163*L163</f>
        <v>1080</v>
      </c>
      <c r="N163" s="144">
        <v>0</v>
      </c>
      <c r="O163" s="130">
        <f>M163*N163</f>
        <v>0</v>
      </c>
      <c r="P163" s="159"/>
      <c r="Q163" s="159"/>
    </row>
    <row r="164" spans="1:17" s="72" customFormat="1" ht="14.25" x14ac:dyDescent="0.2">
      <c r="A164" s="63"/>
      <c r="B164" s="175" t="s">
        <v>152</v>
      </c>
      <c r="C164" s="64">
        <v>162</v>
      </c>
      <c r="D164" s="75" t="s">
        <v>116</v>
      </c>
      <c r="E164" s="134">
        <v>0.1</v>
      </c>
      <c r="F164" s="134">
        <f>C164*E164</f>
        <v>16.2</v>
      </c>
      <c r="G164" s="134">
        <f>$H$11*E164</f>
        <v>5</v>
      </c>
      <c r="H164" s="135">
        <f>F164*$H$11</f>
        <v>810</v>
      </c>
      <c r="I164" s="152">
        <v>0</v>
      </c>
      <c r="J164" s="135">
        <f>C164*I164</f>
        <v>0</v>
      </c>
      <c r="K164" s="136">
        <f>SUM(H164,J164)</f>
        <v>810</v>
      </c>
      <c r="L164" s="135">
        <f>K164/C164</f>
        <v>5</v>
      </c>
      <c r="M164" s="137">
        <f>C164*L164</f>
        <v>810</v>
      </c>
      <c r="N164" s="144">
        <v>0</v>
      </c>
      <c r="O164" s="130">
        <f>M164*N164</f>
        <v>0</v>
      </c>
      <c r="P164" s="159"/>
      <c r="Q164" s="159"/>
    </row>
    <row r="165" spans="1:17" s="72" customFormat="1" ht="14.25" x14ac:dyDescent="0.2">
      <c r="A165" s="63"/>
      <c r="B165" s="143"/>
      <c r="C165" s="64"/>
      <c r="D165" s="75"/>
      <c r="E165" s="134"/>
      <c r="F165" s="134"/>
      <c r="G165" s="134"/>
      <c r="H165" s="135"/>
      <c r="I165" s="152"/>
      <c r="J165" s="135"/>
      <c r="K165" s="136"/>
      <c r="L165" s="135"/>
      <c r="M165" s="137"/>
      <c r="N165" s="144"/>
      <c r="O165" s="130"/>
      <c r="P165" s="159"/>
      <c r="Q165" s="159"/>
    </row>
    <row r="166" spans="1:17" s="72" customFormat="1" ht="14.25" x14ac:dyDescent="0.2">
      <c r="A166" s="63"/>
      <c r="B166" s="143" t="s">
        <v>317</v>
      </c>
      <c r="C166" s="195">
        <v>221</v>
      </c>
      <c r="D166" s="75" t="s">
        <v>151</v>
      </c>
      <c r="E166" s="134">
        <v>0.42</v>
      </c>
      <c r="F166" s="134">
        <f t="shared" ref="F166:F171" si="16">C166*E166</f>
        <v>92.82</v>
      </c>
      <c r="G166" s="134">
        <f t="shared" ref="G166:G171" si="17">$H$11*E166</f>
        <v>21</v>
      </c>
      <c r="H166" s="135">
        <f t="shared" ref="H166:H171" si="18">F166*$H$11</f>
        <v>4641</v>
      </c>
      <c r="I166" s="152">
        <v>37.14</v>
      </c>
      <c r="J166" s="135">
        <f t="shared" ref="J166:J171" si="19">C166*I166</f>
        <v>8207.94</v>
      </c>
      <c r="K166" s="136">
        <f t="shared" ref="K166:K171" si="20">SUM(H166,J166)</f>
        <v>12848.94</v>
      </c>
      <c r="L166" s="135">
        <f t="shared" ref="L166:L171" si="21">K166/C166</f>
        <v>58.14</v>
      </c>
      <c r="M166" s="137">
        <f t="shared" ref="M166:M171" si="22">C166*L166</f>
        <v>12848.94</v>
      </c>
      <c r="N166" s="144">
        <v>0</v>
      </c>
      <c r="O166" s="130">
        <f t="shared" ref="O166:O171" si="23">M166*N166</f>
        <v>0</v>
      </c>
      <c r="P166" s="159"/>
      <c r="Q166" s="159"/>
    </row>
    <row r="167" spans="1:17" s="72" customFormat="1" ht="14.25" x14ac:dyDescent="0.2">
      <c r="A167" s="63"/>
      <c r="B167" s="143" t="s">
        <v>318</v>
      </c>
      <c r="C167" s="195">
        <v>221</v>
      </c>
      <c r="D167" s="75" t="s">
        <v>151</v>
      </c>
      <c r="E167" s="134">
        <v>0.21</v>
      </c>
      <c r="F167" s="134">
        <f t="shared" si="16"/>
        <v>46.41</v>
      </c>
      <c r="G167" s="134">
        <f t="shared" si="17"/>
        <v>10.5</v>
      </c>
      <c r="H167" s="135">
        <f t="shared" si="18"/>
        <v>2320.5</v>
      </c>
      <c r="I167" s="152">
        <v>18.57</v>
      </c>
      <c r="J167" s="135">
        <f t="shared" si="19"/>
        <v>4103.97</v>
      </c>
      <c r="K167" s="136">
        <f t="shared" si="20"/>
        <v>6424.47</v>
      </c>
      <c r="L167" s="135">
        <f t="shared" si="21"/>
        <v>29.07</v>
      </c>
      <c r="M167" s="137">
        <f t="shared" si="22"/>
        <v>6424.47</v>
      </c>
      <c r="N167" s="144">
        <v>0</v>
      </c>
      <c r="O167" s="130">
        <f t="shared" si="23"/>
        <v>0</v>
      </c>
      <c r="P167" s="159"/>
      <c r="Q167" s="159"/>
    </row>
    <row r="168" spans="1:17" s="72" customFormat="1" ht="14.25" x14ac:dyDescent="0.2">
      <c r="A168" s="63"/>
      <c r="B168" s="143" t="s">
        <v>304</v>
      </c>
      <c r="C168" s="195">
        <v>200</v>
      </c>
      <c r="D168" s="75" t="s">
        <v>116</v>
      </c>
      <c r="E168" s="134">
        <v>0.05</v>
      </c>
      <c r="F168" s="134">
        <f t="shared" si="16"/>
        <v>10</v>
      </c>
      <c r="G168" s="134">
        <f t="shared" si="17"/>
        <v>2.5</v>
      </c>
      <c r="H168" s="135">
        <f t="shared" si="18"/>
        <v>500</v>
      </c>
      <c r="I168" s="152">
        <v>2.5</v>
      </c>
      <c r="J168" s="135">
        <f t="shared" si="19"/>
        <v>500</v>
      </c>
      <c r="K168" s="136">
        <f t="shared" si="20"/>
        <v>1000</v>
      </c>
      <c r="L168" s="135">
        <f t="shared" si="21"/>
        <v>5</v>
      </c>
      <c r="M168" s="137">
        <f t="shared" si="22"/>
        <v>1000</v>
      </c>
      <c r="N168" s="144">
        <v>0</v>
      </c>
      <c r="O168" s="130">
        <f t="shared" si="23"/>
        <v>0</v>
      </c>
      <c r="P168" s="159"/>
      <c r="Q168" s="159"/>
    </row>
    <row r="169" spans="1:17" s="72" customFormat="1" ht="14.25" x14ac:dyDescent="0.2">
      <c r="A169" s="63"/>
      <c r="B169" s="143" t="s">
        <v>319</v>
      </c>
      <c r="C169" s="195">
        <v>76</v>
      </c>
      <c r="D169" s="75" t="s">
        <v>151</v>
      </c>
      <c r="E169" s="134">
        <v>0.21</v>
      </c>
      <c r="F169" s="134">
        <f t="shared" si="16"/>
        <v>15.959999999999999</v>
      </c>
      <c r="G169" s="134">
        <f t="shared" si="17"/>
        <v>10.5</v>
      </c>
      <c r="H169" s="135">
        <f t="shared" si="18"/>
        <v>798</v>
      </c>
      <c r="I169" s="152">
        <v>18.57</v>
      </c>
      <c r="J169" s="135">
        <f t="shared" si="19"/>
        <v>1411.32</v>
      </c>
      <c r="K169" s="136">
        <f t="shared" si="20"/>
        <v>2209.3199999999997</v>
      </c>
      <c r="L169" s="135">
        <f t="shared" si="21"/>
        <v>29.069999999999997</v>
      </c>
      <c r="M169" s="137">
        <f t="shared" si="22"/>
        <v>2209.3199999999997</v>
      </c>
      <c r="N169" s="144">
        <v>0</v>
      </c>
      <c r="O169" s="130">
        <f t="shared" si="23"/>
        <v>0</v>
      </c>
      <c r="P169" s="159"/>
      <c r="Q169" s="159"/>
    </row>
    <row r="170" spans="1:17" s="72" customFormat="1" ht="14.25" x14ac:dyDescent="0.2">
      <c r="A170" s="63"/>
      <c r="B170" s="143" t="s">
        <v>320</v>
      </c>
      <c r="C170" s="195">
        <v>50</v>
      </c>
      <c r="D170" s="75" t="s">
        <v>116</v>
      </c>
      <c r="E170" s="134">
        <v>0.1</v>
      </c>
      <c r="F170" s="134">
        <f t="shared" si="16"/>
        <v>5</v>
      </c>
      <c r="G170" s="134">
        <f t="shared" si="17"/>
        <v>5</v>
      </c>
      <c r="H170" s="135">
        <f t="shared" si="18"/>
        <v>250</v>
      </c>
      <c r="I170" s="152">
        <v>0</v>
      </c>
      <c r="J170" s="135">
        <f t="shared" si="19"/>
        <v>0</v>
      </c>
      <c r="K170" s="136">
        <f t="shared" si="20"/>
        <v>250</v>
      </c>
      <c r="L170" s="135">
        <f t="shared" si="21"/>
        <v>5</v>
      </c>
      <c r="M170" s="137">
        <f t="shared" si="22"/>
        <v>250</v>
      </c>
      <c r="N170" s="144">
        <v>0</v>
      </c>
      <c r="O170" s="130">
        <f t="shared" si="23"/>
        <v>0</v>
      </c>
      <c r="P170" s="159"/>
      <c r="Q170" s="159"/>
    </row>
    <row r="171" spans="1:17" s="72" customFormat="1" ht="14.25" x14ac:dyDescent="0.2">
      <c r="A171" s="63"/>
      <c r="B171" s="175" t="s">
        <v>152</v>
      </c>
      <c r="C171" s="64">
        <v>50</v>
      </c>
      <c r="D171" s="75" t="s">
        <v>116</v>
      </c>
      <c r="E171" s="134">
        <v>0.1</v>
      </c>
      <c r="F171" s="134">
        <f t="shared" si="16"/>
        <v>5</v>
      </c>
      <c r="G171" s="134">
        <f t="shared" si="17"/>
        <v>5</v>
      </c>
      <c r="H171" s="135">
        <f t="shared" si="18"/>
        <v>250</v>
      </c>
      <c r="I171" s="152">
        <v>0</v>
      </c>
      <c r="J171" s="135">
        <f t="shared" si="19"/>
        <v>0</v>
      </c>
      <c r="K171" s="136">
        <f t="shared" si="20"/>
        <v>250</v>
      </c>
      <c r="L171" s="194">
        <f t="shared" si="21"/>
        <v>5</v>
      </c>
      <c r="M171" s="137">
        <f t="shared" si="22"/>
        <v>250</v>
      </c>
      <c r="N171" s="144">
        <v>0</v>
      </c>
      <c r="O171" s="130">
        <f t="shared" si="23"/>
        <v>0</v>
      </c>
      <c r="P171" s="159"/>
      <c r="Q171" s="159"/>
    </row>
    <row r="172" spans="1:17" s="72" customFormat="1" ht="14.25" x14ac:dyDescent="0.2">
      <c r="A172" s="63"/>
      <c r="B172" s="175"/>
      <c r="C172" s="64"/>
      <c r="D172" s="75"/>
      <c r="E172" s="134"/>
      <c r="F172" s="134"/>
      <c r="G172" s="134"/>
      <c r="H172" s="135"/>
      <c r="I172" s="152"/>
      <c r="J172" s="135"/>
      <c r="K172" s="136"/>
      <c r="L172" s="194"/>
      <c r="M172" s="137"/>
      <c r="N172" s="144"/>
      <c r="O172" s="130"/>
      <c r="P172" s="159"/>
      <c r="Q172" s="159"/>
    </row>
    <row r="173" spans="1:17" s="72" customFormat="1" ht="14.25" x14ac:dyDescent="0.2">
      <c r="A173" s="63"/>
      <c r="B173" s="655" t="s">
        <v>998</v>
      </c>
      <c r="C173" s="195">
        <v>-30</v>
      </c>
      <c r="D173" s="75" t="s">
        <v>116</v>
      </c>
      <c r="E173" s="134">
        <v>0.1</v>
      </c>
      <c r="F173" s="134">
        <f>C173*E173</f>
        <v>-3</v>
      </c>
      <c r="G173" s="134">
        <f>$H$11*E173</f>
        <v>5</v>
      </c>
      <c r="H173" s="135">
        <f>F173*$H$11</f>
        <v>-150</v>
      </c>
      <c r="I173" s="152">
        <v>0</v>
      </c>
      <c r="J173" s="135">
        <f>C173*I173</f>
        <v>0</v>
      </c>
      <c r="K173" s="136">
        <f>SUM(H173,J173)</f>
        <v>-150</v>
      </c>
      <c r="L173" s="135">
        <f>K173/C173</f>
        <v>5</v>
      </c>
      <c r="M173" s="137">
        <f>C173*L173</f>
        <v>-150</v>
      </c>
      <c r="N173" s="144">
        <v>0</v>
      </c>
      <c r="O173" s="130">
        <f>M173*N173</f>
        <v>0</v>
      </c>
      <c r="P173" s="159"/>
      <c r="Q173" s="159"/>
    </row>
    <row r="174" spans="1:17" s="72" customFormat="1" ht="14.25" x14ac:dyDescent="0.2">
      <c r="A174" s="63"/>
      <c r="B174" s="143"/>
      <c r="C174" s="195"/>
      <c r="D174" s="75"/>
      <c r="E174" s="134"/>
      <c r="F174" s="134"/>
      <c r="G174" s="134"/>
      <c r="H174" s="135"/>
      <c r="I174" s="152"/>
      <c r="J174" s="135"/>
      <c r="K174" s="136"/>
      <c r="L174" s="135"/>
      <c r="M174" s="137"/>
      <c r="N174" s="144"/>
      <c r="O174" s="130"/>
      <c r="P174" s="159"/>
      <c r="Q174" s="159"/>
    </row>
    <row r="175" spans="1:17" s="72" customFormat="1" ht="14.25" x14ac:dyDescent="0.2">
      <c r="A175" s="63"/>
      <c r="B175" s="143" t="s">
        <v>310</v>
      </c>
      <c r="C175" s="195">
        <v>116</v>
      </c>
      <c r="D175" s="75" t="s">
        <v>151</v>
      </c>
      <c r="E175" s="134">
        <v>0.18</v>
      </c>
      <c r="F175" s="134">
        <f>C175*E175</f>
        <v>20.88</v>
      </c>
      <c r="G175" s="134">
        <f>$H$11*E175</f>
        <v>9</v>
      </c>
      <c r="H175" s="135">
        <f>F175*$H$11</f>
        <v>1044</v>
      </c>
      <c r="I175" s="152">
        <v>14</v>
      </c>
      <c r="J175" s="135">
        <f>C175*I175</f>
        <v>1624</v>
      </c>
      <c r="K175" s="136">
        <f>SUM(H175,J175)</f>
        <v>2668</v>
      </c>
      <c r="L175" s="135">
        <f>K175/C175</f>
        <v>23</v>
      </c>
      <c r="M175" s="137">
        <f>C175*L175</f>
        <v>2668</v>
      </c>
      <c r="N175" s="144">
        <v>0</v>
      </c>
      <c r="O175" s="130">
        <f>M175*N175</f>
        <v>0</v>
      </c>
      <c r="P175" s="159"/>
      <c r="Q175" s="159"/>
    </row>
    <row r="176" spans="1:17" s="72" customFormat="1" ht="14.25" x14ac:dyDescent="0.2">
      <c r="A176" s="63"/>
      <c r="B176" s="143"/>
      <c r="C176" s="195"/>
      <c r="D176" s="75"/>
      <c r="E176" s="134"/>
      <c r="F176" s="134"/>
      <c r="G176" s="134"/>
      <c r="H176" s="135"/>
      <c r="I176" s="152"/>
      <c r="J176" s="135"/>
      <c r="K176" s="136"/>
      <c r="L176" s="135"/>
      <c r="M176" s="137"/>
      <c r="N176" s="144"/>
      <c r="O176" s="130"/>
      <c r="P176" s="159"/>
      <c r="Q176" s="159"/>
    </row>
    <row r="177" spans="1:17" s="72" customFormat="1" ht="14.25" x14ac:dyDescent="0.2">
      <c r="A177" s="63"/>
      <c r="B177" s="143" t="s">
        <v>312</v>
      </c>
      <c r="C177" s="195">
        <v>26</v>
      </c>
      <c r="D177" s="75" t="s">
        <v>151</v>
      </c>
      <c r="E177" s="134">
        <v>0.18</v>
      </c>
      <c r="F177" s="134">
        <f>C177*E177</f>
        <v>4.68</v>
      </c>
      <c r="G177" s="134">
        <f>$H$11*E177</f>
        <v>9</v>
      </c>
      <c r="H177" s="135">
        <f>F177*$H$11</f>
        <v>234</v>
      </c>
      <c r="I177" s="152">
        <v>14</v>
      </c>
      <c r="J177" s="135">
        <f>C177*I177</f>
        <v>364</v>
      </c>
      <c r="K177" s="136">
        <f>SUM(H177,J177)</f>
        <v>598</v>
      </c>
      <c r="L177" s="135">
        <f>K177/C177</f>
        <v>23</v>
      </c>
      <c r="M177" s="137">
        <f>C177*L177</f>
        <v>598</v>
      </c>
      <c r="N177" s="144">
        <v>0</v>
      </c>
      <c r="O177" s="130">
        <f>M177*N177</f>
        <v>0</v>
      </c>
      <c r="P177" s="159"/>
      <c r="Q177" s="159"/>
    </row>
    <row r="178" spans="1:17" s="72" customFormat="1" ht="14.25" x14ac:dyDescent="0.2">
      <c r="A178" s="63"/>
      <c r="B178" s="143"/>
      <c r="C178" s="195"/>
      <c r="D178" s="75"/>
      <c r="E178" s="134"/>
      <c r="F178" s="134"/>
      <c r="G178" s="134"/>
      <c r="H178" s="135"/>
      <c r="I178" s="152"/>
      <c r="J178" s="135"/>
      <c r="K178" s="136"/>
      <c r="L178" s="135"/>
      <c r="M178" s="137"/>
      <c r="N178" s="144"/>
      <c r="O178" s="130"/>
      <c r="P178" s="159"/>
      <c r="Q178" s="159"/>
    </row>
    <row r="179" spans="1:17" s="72" customFormat="1" ht="14.25" x14ac:dyDescent="0.2">
      <c r="A179" s="63"/>
      <c r="B179" s="143" t="s">
        <v>311</v>
      </c>
      <c r="C179" s="64">
        <v>14</v>
      </c>
      <c r="D179" s="75" t="s">
        <v>151</v>
      </c>
      <c r="E179" s="134">
        <v>0.18</v>
      </c>
      <c r="F179" s="134">
        <f>C179*E179</f>
        <v>2.52</v>
      </c>
      <c r="G179" s="134">
        <f>$H$11*E179</f>
        <v>9</v>
      </c>
      <c r="H179" s="135">
        <f>F179*$H$11</f>
        <v>126</v>
      </c>
      <c r="I179" s="152">
        <v>14</v>
      </c>
      <c r="J179" s="135">
        <f>C179*I179</f>
        <v>196</v>
      </c>
      <c r="K179" s="136">
        <f>SUM(H179,J179)</f>
        <v>322</v>
      </c>
      <c r="L179" s="135">
        <f>K179/C179</f>
        <v>23</v>
      </c>
      <c r="M179" s="137">
        <f>C179*L179</f>
        <v>322</v>
      </c>
      <c r="N179" s="144">
        <v>0</v>
      </c>
      <c r="O179" s="130">
        <f>M179*N179</f>
        <v>0</v>
      </c>
      <c r="P179" s="159"/>
      <c r="Q179" s="159"/>
    </row>
    <row r="180" spans="1:17" s="72" customFormat="1" ht="14.25" x14ac:dyDescent="0.2">
      <c r="A180" s="63"/>
      <c r="B180" s="143"/>
      <c r="C180" s="195"/>
      <c r="D180" s="75"/>
      <c r="E180" s="134"/>
      <c r="F180" s="134"/>
      <c r="G180" s="134"/>
      <c r="H180" s="135"/>
      <c r="I180" s="152"/>
      <c r="J180" s="135"/>
      <c r="K180" s="136"/>
      <c r="L180" s="135"/>
      <c r="M180" s="137"/>
      <c r="N180" s="144"/>
      <c r="O180" s="130"/>
      <c r="P180" s="159"/>
      <c r="Q180" s="159"/>
    </row>
    <row r="181" spans="1:17" s="72" customFormat="1" ht="14.25" x14ac:dyDescent="0.2">
      <c r="A181" s="63"/>
      <c r="B181" s="143" t="s">
        <v>307</v>
      </c>
      <c r="C181" s="195">
        <v>20</v>
      </c>
      <c r="D181" s="75" t="s">
        <v>151</v>
      </c>
      <c r="E181" s="134">
        <v>0.18</v>
      </c>
      <c r="F181" s="134">
        <f>C181*E181</f>
        <v>3.5999999999999996</v>
      </c>
      <c r="G181" s="134">
        <f>$H$11*E181</f>
        <v>9</v>
      </c>
      <c r="H181" s="135">
        <f>F181*$H$11</f>
        <v>179.99999999999997</v>
      </c>
      <c r="I181" s="152">
        <v>14</v>
      </c>
      <c r="J181" s="135">
        <f>C181*I181</f>
        <v>280</v>
      </c>
      <c r="K181" s="136">
        <f>SUM(H181,J181)</f>
        <v>460</v>
      </c>
      <c r="L181" s="135">
        <f>K181/C181</f>
        <v>23</v>
      </c>
      <c r="M181" s="137">
        <f>C181*L181</f>
        <v>460</v>
      </c>
      <c r="N181" s="144">
        <v>0</v>
      </c>
      <c r="O181" s="130">
        <f>M181*N181</f>
        <v>0</v>
      </c>
      <c r="P181" s="159"/>
      <c r="Q181" s="159"/>
    </row>
    <row r="182" spans="1:17" s="72" customFormat="1" ht="14.25" x14ac:dyDescent="0.2">
      <c r="A182" s="63"/>
      <c r="B182" s="143"/>
      <c r="C182" s="195"/>
      <c r="D182" s="75"/>
      <c r="E182" s="134"/>
      <c r="F182" s="134"/>
      <c r="G182" s="134"/>
      <c r="H182" s="135"/>
      <c r="I182" s="152"/>
      <c r="J182" s="135"/>
      <c r="K182" s="136"/>
      <c r="L182" s="135"/>
      <c r="M182" s="137"/>
      <c r="N182" s="144"/>
      <c r="O182" s="130"/>
      <c r="P182" s="159"/>
      <c r="Q182" s="159"/>
    </row>
    <row r="183" spans="1:17" s="72" customFormat="1" ht="14.25" x14ac:dyDescent="0.2">
      <c r="A183" s="63"/>
      <c r="B183" s="143" t="s">
        <v>348</v>
      </c>
      <c r="C183" s="64">
        <v>62</v>
      </c>
      <c r="D183" s="75" t="s">
        <v>151</v>
      </c>
      <c r="E183" s="134">
        <v>0.21</v>
      </c>
      <c r="F183" s="134">
        <f>C183*E183</f>
        <v>13.02</v>
      </c>
      <c r="G183" s="134">
        <f>$H$11*E183</f>
        <v>10.5</v>
      </c>
      <c r="H183" s="135">
        <f>F183*$H$11</f>
        <v>651</v>
      </c>
      <c r="I183" s="152">
        <v>18.57</v>
      </c>
      <c r="J183" s="135">
        <f>C183*I183</f>
        <v>1151.3399999999999</v>
      </c>
      <c r="K183" s="136">
        <f>SUM(H183,J183)</f>
        <v>1802.34</v>
      </c>
      <c r="L183" s="135">
        <f>K183/C183</f>
        <v>29.07</v>
      </c>
      <c r="M183" s="137">
        <f>C183*L183</f>
        <v>1802.34</v>
      </c>
      <c r="N183" s="144">
        <v>0</v>
      </c>
      <c r="O183" s="130">
        <f>M183*N183</f>
        <v>0</v>
      </c>
      <c r="P183" s="159"/>
      <c r="Q183" s="159"/>
    </row>
    <row r="184" spans="1:17" s="72" customFormat="1" ht="14.25" x14ac:dyDescent="0.2">
      <c r="A184" s="63"/>
      <c r="B184" s="143" t="s">
        <v>304</v>
      </c>
      <c r="C184" s="195">
        <v>28</v>
      </c>
      <c r="D184" s="75" t="s">
        <v>116</v>
      </c>
      <c r="E184" s="134">
        <v>0.05</v>
      </c>
      <c r="F184" s="134">
        <f>C184*E184</f>
        <v>1.4000000000000001</v>
      </c>
      <c r="G184" s="134">
        <f>$H$11*E184</f>
        <v>2.5</v>
      </c>
      <c r="H184" s="135">
        <f>F184*$H$11</f>
        <v>70</v>
      </c>
      <c r="I184" s="152">
        <v>2.5</v>
      </c>
      <c r="J184" s="135">
        <f>C184*I184</f>
        <v>70</v>
      </c>
      <c r="K184" s="136">
        <f>SUM(H184,J184)</f>
        <v>140</v>
      </c>
      <c r="L184" s="135">
        <f>K184/C184</f>
        <v>5</v>
      </c>
      <c r="M184" s="137">
        <f>C184*L184</f>
        <v>140</v>
      </c>
      <c r="N184" s="144">
        <v>0</v>
      </c>
      <c r="O184" s="130">
        <f>M184*N184</f>
        <v>0</v>
      </c>
      <c r="P184" s="159"/>
      <c r="Q184" s="159"/>
    </row>
    <row r="185" spans="1:17" s="72" customFormat="1" ht="14.25" x14ac:dyDescent="0.2">
      <c r="A185" s="63"/>
      <c r="B185" s="175" t="s">
        <v>152</v>
      </c>
      <c r="C185" s="64">
        <v>14</v>
      </c>
      <c r="D185" s="75" t="s">
        <v>116</v>
      </c>
      <c r="E185" s="134">
        <v>0.1</v>
      </c>
      <c r="F185" s="134">
        <f>C185*E185</f>
        <v>1.4000000000000001</v>
      </c>
      <c r="G185" s="134">
        <f>$H$11*E185</f>
        <v>5</v>
      </c>
      <c r="H185" s="135">
        <f>F185*$H$11</f>
        <v>70</v>
      </c>
      <c r="I185" s="152">
        <v>0</v>
      </c>
      <c r="J185" s="135">
        <f>C185*I185</f>
        <v>0</v>
      </c>
      <c r="K185" s="136">
        <f>SUM(H185,J185)</f>
        <v>70</v>
      </c>
      <c r="L185" s="135">
        <f>K185/C185</f>
        <v>5</v>
      </c>
      <c r="M185" s="137">
        <f>C185*L185</f>
        <v>70</v>
      </c>
      <c r="N185" s="144">
        <v>0</v>
      </c>
      <c r="O185" s="130">
        <f>M185*N185</f>
        <v>0</v>
      </c>
      <c r="P185" s="159"/>
      <c r="Q185" s="159"/>
    </row>
    <row r="186" spans="1:17" s="72" customFormat="1" ht="14.25" x14ac:dyDescent="0.2">
      <c r="A186" s="63"/>
      <c r="B186" s="143"/>
      <c r="C186" s="195"/>
      <c r="D186" s="75"/>
      <c r="E186" s="134"/>
      <c r="F186" s="134"/>
      <c r="G186" s="134"/>
      <c r="H186" s="135"/>
      <c r="I186" s="152"/>
      <c r="J186" s="135"/>
      <c r="K186" s="136"/>
      <c r="L186" s="135"/>
      <c r="M186" s="137"/>
      <c r="N186" s="144"/>
      <c r="O186" s="130"/>
      <c r="P186" s="159"/>
      <c r="Q186" s="159"/>
    </row>
    <row r="187" spans="1:17" s="72" customFormat="1" ht="14.25" x14ac:dyDescent="0.2">
      <c r="A187" s="63"/>
      <c r="B187" s="143" t="s">
        <v>742</v>
      </c>
      <c r="C187" s="64">
        <v>12</v>
      </c>
      <c r="D187" s="75" t="s">
        <v>116</v>
      </c>
      <c r="E187" s="134">
        <v>0</v>
      </c>
      <c r="F187" s="134">
        <f>C187*E187</f>
        <v>0</v>
      </c>
      <c r="G187" s="134">
        <f>$H$11*E187</f>
        <v>0</v>
      </c>
      <c r="H187" s="135">
        <f>F187*$H$11</f>
        <v>0</v>
      </c>
      <c r="I187" s="152">
        <v>348</v>
      </c>
      <c r="J187" s="135">
        <f>C187*I187</f>
        <v>4176</v>
      </c>
      <c r="K187" s="136">
        <f>SUM(H187,J187)</f>
        <v>4176</v>
      </c>
      <c r="L187" s="135">
        <f>K187/C187</f>
        <v>348</v>
      </c>
      <c r="M187" s="137">
        <f>C187*L187</f>
        <v>4176</v>
      </c>
      <c r="N187" s="144">
        <v>0</v>
      </c>
      <c r="O187" s="130">
        <f>M187*N187</f>
        <v>0</v>
      </c>
      <c r="P187" s="159"/>
      <c r="Q187" s="159"/>
    </row>
    <row r="188" spans="1:17" s="72" customFormat="1" ht="14.25" x14ac:dyDescent="0.2">
      <c r="A188" s="63"/>
      <c r="B188" s="143" t="s">
        <v>961</v>
      </c>
      <c r="C188" s="64">
        <v>1</v>
      </c>
      <c r="D188" s="75" t="s">
        <v>75</v>
      </c>
      <c r="E188" s="134">
        <v>18</v>
      </c>
      <c r="F188" s="134">
        <f>C188*E188</f>
        <v>18</v>
      </c>
      <c r="G188" s="134">
        <f>$H$11*E188</f>
        <v>900</v>
      </c>
      <c r="H188" s="135">
        <f>F188*$H$11</f>
        <v>900</v>
      </c>
      <c r="I188" s="152">
        <v>500</v>
      </c>
      <c r="J188" s="135">
        <f>C188*I188</f>
        <v>500</v>
      </c>
      <c r="K188" s="136">
        <f>SUM(H188,J188)</f>
        <v>1400</v>
      </c>
      <c r="L188" s="135">
        <f>K188/C188</f>
        <v>1400</v>
      </c>
      <c r="M188" s="137">
        <f>C188*L188</f>
        <v>1400</v>
      </c>
      <c r="N188" s="144">
        <v>0</v>
      </c>
      <c r="O188" s="130">
        <f>M188*N188</f>
        <v>0</v>
      </c>
      <c r="P188" s="159"/>
      <c r="Q188" s="159"/>
    </row>
    <row r="189" spans="1:17" s="72" customFormat="1" ht="14.25" x14ac:dyDescent="0.2">
      <c r="A189" s="63"/>
      <c r="B189" s="143"/>
      <c r="C189" s="64"/>
      <c r="D189" s="75"/>
      <c r="E189" s="134"/>
      <c r="F189" s="134"/>
      <c r="G189" s="134"/>
      <c r="H189" s="135"/>
      <c r="I189" s="152"/>
      <c r="J189" s="135"/>
      <c r="K189" s="136"/>
      <c r="L189" s="135"/>
      <c r="M189" s="137"/>
      <c r="N189" s="144"/>
      <c r="O189" s="130"/>
      <c r="P189" s="159"/>
      <c r="Q189" s="159"/>
    </row>
    <row r="190" spans="1:17" s="72" customFormat="1" ht="14.25" x14ac:dyDescent="0.2">
      <c r="A190" s="63"/>
      <c r="B190" s="143" t="s">
        <v>962</v>
      </c>
      <c r="C190" s="64">
        <v>4</v>
      </c>
      <c r="D190" s="75" t="s">
        <v>148</v>
      </c>
      <c r="E190" s="134">
        <v>2.25</v>
      </c>
      <c r="F190" s="134">
        <f>C190*E190</f>
        <v>9</v>
      </c>
      <c r="G190" s="134">
        <f>$H$11*E190</f>
        <v>112.5</v>
      </c>
      <c r="H190" s="135">
        <f>F190*$H$11</f>
        <v>450</v>
      </c>
      <c r="I190" s="229">
        <v>215</v>
      </c>
      <c r="J190" s="135">
        <f>C190*I190</f>
        <v>860</v>
      </c>
      <c r="K190" s="136">
        <f>SUM(H190,J190)</f>
        <v>1310</v>
      </c>
      <c r="L190" s="135">
        <f>K190/C190</f>
        <v>327.5</v>
      </c>
      <c r="M190" s="137">
        <f>C190*L190</f>
        <v>1310</v>
      </c>
      <c r="N190" s="144">
        <v>0</v>
      </c>
      <c r="O190" s="130">
        <f>M190*N190</f>
        <v>0</v>
      </c>
      <c r="P190" s="159"/>
      <c r="Q190" s="159"/>
    </row>
    <row r="191" spans="1:17" s="72" customFormat="1" ht="14.25" x14ac:dyDescent="0.2">
      <c r="A191" s="63"/>
      <c r="B191" s="143" t="s">
        <v>963</v>
      </c>
      <c r="C191" s="64">
        <v>11</v>
      </c>
      <c r="D191" s="75" t="s">
        <v>148</v>
      </c>
      <c r="E191" s="134">
        <v>4</v>
      </c>
      <c r="F191" s="134">
        <f>C191*E191</f>
        <v>44</v>
      </c>
      <c r="G191" s="134">
        <f>$H$11*E191</f>
        <v>200</v>
      </c>
      <c r="H191" s="135">
        <f>F191*$H$11</f>
        <v>2200</v>
      </c>
      <c r="I191" s="229">
        <v>430</v>
      </c>
      <c r="J191" s="135">
        <f>C191*I191</f>
        <v>4730</v>
      </c>
      <c r="K191" s="136">
        <f>SUM(H191,J191)</f>
        <v>6930</v>
      </c>
      <c r="L191" s="135">
        <f>K191/C191</f>
        <v>630</v>
      </c>
      <c r="M191" s="137">
        <f>C191*L191</f>
        <v>6930</v>
      </c>
      <c r="N191" s="144">
        <v>0</v>
      </c>
      <c r="O191" s="130">
        <f>M191*N191</f>
        <v>0</v>
      </c>
      <c r="P191" s="159"/>
      <c r="Q191" s="159"/>
    </row>
    <row r="192" spans="1:17" ht="23.25" customHeight="1" x14ac:dyDescent="0.2">
      <c r="A192" s="63"/>
      <c r="B192" s="132"/>
      <c r="C192" s="138"/>
      <c r="D192" s="142"/>
      <c r="E192" s="133"/>
      <c r="F192" s="134"/>
      <c r="G192" s="134"/>
      <c r="H192" s="135"/>
      <c r="I192" s="135"/>
      <c r="J192" s="135"/>
      <c r="K192" s="136"/>
      <c r="L192" s="135"/>
      <c r="M192" s="137"/>
      <c r="N192" s="131"/>
      <c r="O192" s="130"/>
      <c r="P192" s="60"/>
      <c r="Q192" s="59"/>
    </row>
    <row r="193" spans="1:17" ht="24" customHeight="1" x14ac:dyDescent="0.2">
      <c r="A193" s="30"/>
      <c r="B193" s="31"/>
      <c r="C193" s="32"/>
      <c r="D193" s="33"/>
      <c r="E193" s="33"/>
      <c r="F193" s="33">
        <f>SUM(F13:F192)</f>
        <v>1226.8999999999999</v>
      </c>
      <c r="G193" s="33"/>
      <c r="H193" s="86">
        <f>SUM(H13:H192)</f>
        <v>61345</v>
      </c>
      <c r="I193" s="33"/>
      <c r="J193" s="78">
        <f>SUM(J13:J192)</f>
        <v>107600.30000000002</v>
      </c>
      <c r="K193" s="33"/>
      <c r="L193" s="33"/>
      <c r="M193" s="68"/>
      <c r="N193" s="94"/>
      <c r="O193" s="104"/>
      <c r="P193" s="60"/>
      <c r="Q193" s="59"/>
    </row>
    <row r="194" spans="1:17" ht="15" customHeight="1" x14ac:dyDescent="0.2">
      <c r="A194" s="15"/>
      <c r="B194" s="28" t="s">
        <v>16</v>
      </c>
      <c r="C194" s="24"/>
      <c r="D194" s="25"/>
      <c r="E194" s="25"/>
      <c r="F194" s="25"/>
      <c r="G194" s="25"/>
      <c r="H194" s="25"/>
      <c r="I194" s="25"/>
      <c r="J194" s="25"/>
      <c r="K194" s="25"/>
      <c r="L194" s="25"/>
      <c r="M194" s="26">
        <f>SUM(M13:M192)</f>
        <v>168945.3</v>
      </c>
      <c r="N194" s="100"/>
      <c r="O194" s="103">
        <f>SUM(O13:O192)</f>
        <v>0</v>
      </c>
      <c r="P194" s="60"/>
      <c r="Q194" s="65"/>
    </row>
    <row r="195" spans="1:17" x14ac:dyDescent="0.2">
      <c r="A195" s="13"/>
      <c r="B195" s="35" t="s">
        <v>12</v>
      </c>
      <c r="C195" s="24"/>
      <c r="D195" s="36"/>
      <c r="E195" s="36"/>
      <c r="F195" s="36"/>
      <c r="G195" s="36"/>
      <c r="H195" s="36"/>
      <c r="I195" s="36"/>
      <c r="J195" s="36"/>
      <c r="K195" s="36"/>
      <c r="L195" s="36"/>
      <c r="M195" s="26"/>
      <c r="N195" s="100"/>
      <c r="O195" s="103"/>
      <c r="P195" s="60"/>
      <c r="Q195" s="65"/>
    </row>
    <row r="196" spans="1:17" ht="24" customHeight="1" x14ac:dyDescent="0.2">
      <c r="A196" s="13"/>
      <c r="B196" s="37"/>
      <c r="C196" s="24"/>
      <c r="D196" s="36"/>
      <c r="E196" s="36"/>
      <c r="F196" s="36"/>
      <c r="G196" s="36"/>
      <c r="H196" s="36"/>
      <c r="I196" s="36"/>
      <c r="J196" s="36"/>
      <c r="K196" s="36"/>
      <c r="L196" s="36"/>
      <c r="M196" s="26"/>
      <c r="N196" s="100"/>
      <c r="O196" s="103"/>
      <c r="P196" s="60"/>
      <c r="Q196" s="59"/>
    </row>
    <row r="197" spans="1:17" ht="18.75" customHeight="1" x14ac:dyDescent="0.2">
      <c r="A197" s="15"/>
      <c r="B197" s="13" t="s">
        <v>8</v>
      </c>
      <c r="C197" s="24"/>
      <c r="D197" s="36" t="s">
        <v>5</v>
      </c>
      <c r="E197" s="36"/>
      <c r="F197" s="36"/>
      <c r="G197" s="36"/>
      <c r="H197" s="36"/>
      <c r="I197" s="36"/>
      <c r="J197" s="36"/>
      <c r="K197" s="36"/>
      <c r="L197" s="609">
        <v>2.0500000000000001E-2</v>
      </c>
      <c r="M197" s="84">
        <f>M194*L197</f>
        <v>3463.3786500000001</v>
      </c>
      <c r="N197" s="100"/>
      <c r="O197" s="103">
        <f>(O194/M194)*M197</f>
        <v>0</v>
      </c>
    </row>
    <row r="198" spans="1:17" ht="18.75" customHeight="1" x14ac:dyDescent="0.2">
      <c r="A198" s="38"/>
      <c r="B198" s="13"/>
      <c r="C198" s="24"/>
      <c r="D198" s="36"/>
      <c r="E198" s="36"/>
      <c r="F198" s="36"/>
      <c r="G198" s="36"/>
      <c r="H198" s="36"/>
      <c r="I198" s="36"/>
      <c r="J198" s="36"/>
      <c r="K198" s="36"/>
      <c r="L198" s="36"/>
      <c r="M198" s="26"/>
      <c r="N198" s="100"/>
      <c r="O198" s="103"/>
    </row>
    <row r="199" spans="1:17" s="42" customFormat="1" x14ac:dyDescent="0.2">
      <c r="A199" s="15"/>
      <c r="B199" s="39" t="s">
        <v>9</v>
      </c>
      <c r="C199" s="40"/>
      <c r="D199" s="41" t="s">
        <v>5</v>
      </c>
      <c r="E199" s="41"/>
      <c r="F199" s="41"/>
      <c r="G199" s="41"/>
      <c r="H199" s="41"/>
      <c r="I199" s="41"/>
      <c r="J199" s="41"/>
      <c r="K199" s="41"/>
      <c r="L199" s="79">
        <v>0.01</v>
      </c>
      <c r="M199" s="34">
        <f>M194*L199</f>
        <v>1689.453</v>
      </c>
      <c r="N199" s="100"/>
      <c r="O199" s="103">
        <f>(O194/M194)*M199</f>
        <v>0</v>
      </c>
    </row>
    <row r="200" spans="1:17" s="42" customFormat="1" x14ac:dyDescent="0.2">
      <c r="A200" s="15"/>
      <c r="B200" s="39"/>
      <c r="C200" s="40"/>
      <c r="D200" s="41"/>
      <c r="E200" s="41"/>
      <c r="F200" s="41"/>
      <c r="G200" s="41"/>
      <c r="H200" s="41"/>
      <c r="I200" s="41"/>
      <c r="J200" s="41"/>
      <c r="K200" s="41"/>
      <c r="L200" s="41"/>
      <c r="M200" s="34"/>
      <c r="N200" s="100"/>
      <c r="O200" s="103"/>
    </row>
    <row r="201" spans="1:17" s="42" customFormat="1" x14ac:dyDescent="0.2">
      <c r="A201" s="15"/>
      <c r="B201" s="39" t="s">
        <v>10</v>
      </c>
      <c r="C201" s="40"/>
      <c r="D201" s="41" t="s">
        <v>5</v>
      </c>
      <c r="E201" s="41"/>
      <c r="F201" s="41"/>
      <c r="G201" s="41"/>
      <c r="H201" s="41"/>
      <c r="I201" s="41"/>
      <c r="J201" s="41"/>
      <c r="K201" s="41"/>
      <c r="L201" s="79">
        <v>2.5000000000000001E-3</v>
      </c>
      <c r="M201" s="34">
        <f>M194*L201</f>
        <v>422.36324999999999</v>
      </c>
      <c r="N201" s="100"/>
      <c r="O201" s="103">
        <f>(O194/M194)*M201</f>
        <v>0</v>
      </c>
    </row>
    <row r="202" spans="1:17" s="42" customFormat="1" ht="20.25" customHeight="1" x14ac:dyDescent="0.2">
      <c r="A202" s="15"/>
      <c r="B202" s="80"/>
      <c r="C202" s="81"/>
      <c r="D202" s="82"/>
      <c r="E202" s="82"/>
      <c r="F202" s="82"/>
      <c r="G202" s="82"/>
      <c r="H202" s="82"/>
      <c r="I202" s="82"/>
      <c r="J202" s="82"/>
      <c r="K202" s="82"/>
      <c r="L202" s="82"/>
      <c r="M202" s="85"/>
      <c r="N202" s="100"/>
      <c r="O202" s="103"/>
    </row>
    <row r="203" spans="1:17" s="42" customFormat="1" ht="21.75" customHeight="1" x14ac:dyDescent="0.2">
      <c r="A203" s="29"/>
      <c r="B203" s="141" t="s">
        <v>42</v>
      </c>
      <c r="C203" s="81"/>
      <c r="D203" s="82" t="s">
        <v>5</v>
      </c>
      <c r="E203" s="82"/>
      <c r="F203" s="82"/>
      <c r="G203" s="82"/>
      <c r="H203" s="82"/>
      <c r="I203" s="82"/>
      <c r="J203" s="82"/>
      <c r="K203" s="82"/>
      <c r="L203" s="83">
        <f>M203/M194</f>
        <v>1.6339756122247851E-2</v>
      </c>
      <c r="M203" s="85">
        <f>I216</f>
        <v>2760.5249999999996</v>
      </c>
      <c r="N203" s="100"/>
      <c r="O203" s="103"/>
      <c r="P203" s="172"/>
    </row>
    <row r="204" spans="1:17" s="42" customFormat="1" ht="18" customHeight="1" x14ac:dyDescent="0.2">
      <c r="A204" s="29"/>
      <c r="B204" s="80"/>
      <c r="C204" s="81"/>
      <c r="D204" s="82"/>
      <c r="E204" s="82"/>
      <c r="F204" s="82"/>
      <c r="G204" s="82"/>
      <c r="H204" s="82"/>
      <c r="I204" s="82"/>
      <c r="J204" s="82"/>
      <c r="K204" s="82"/>
      <c r="L204" s="82"/>
      <c r="M204" s="85"/>
      <c r="N204" s="100"/>
      <c r="O204" s="103"/>
    </row>
    <row r="205" spans="1:17" s="42" customFormat="1" x14ac:dyDescent="0.2">
      <c r="A205" s="29"/>
      <c r="B205" s="80" t="s">
        <v>44</v>
      </c>
      <c r="C205" s="81"/>
      <c r="D205" s="82" t="s">
        <v>5</v>
      </c>
      <c r="E205" s="82"/>
      <c r="F205" s="82"/>
      <c r="G205" s="82"/>
      <c r="H205" s="82"/>
      <c r="I205" s="82"/>
      <c r="J205" s="82"/>
      <c r="K205" s="82"/>
      <c r="L205" s="83"/>
      <c r="M205" s="85"/>
      <c r="N205" s="100"/>
      <c r="O205" s="103">
        <f>M205*N205</f>
        <v>0</v>
      </c>
    </row>
    <row r="206" spans="1:17" s="42" customFormat="1" x14ac:dyDescent="0.2">
      <c r="A206" s="15"/>
      <c r="B206" s="80"/>
      <c r="C206" s="81"/>
      <c r="D206" s="82"/>
      <c r="E206" s="82"/>
      <c r="F206" s="82"/>
      <c r="G206" s="82"/>
      <c r="H206" s="82"/>
      <c r="I206" s="82"/>
      <c r="J206" s="82"/>
      <c r="K206" s="82"/>
      <c r="L206" s="82"/>
      <c r="M206" s="34"/>
      <c r="N206" s="100"/>
      <c r="O206" s="105"/>
    </row>
    <row r="207" spans="1:17" ht="18.75" customHeight="1" x14ac:dyDescent="0.2">
      <c r="A207" s="43"/>
      <c r="B207" s="44" t="s">
        <v>17</v>
      </c>
      <c r="C207" s="45"/>
      <c r="D207" s="46"/>
      <c r="E207" s="46"/>
      <c r="F207" s="46"/>
      <c r="G207" s="46"/>
      <c r="H207" s="46"/>
      <c r="I207" s="46"/>
      <c r="J207" s="46"/>
      <c r="K207" s="46"/>
      <c r="L207" s="46"/>
      <c r="M207" s="69">
        <f>SUM(M194:M206)</f>
        <v>177281.01989999998</v>
      </c>
      <c r="N207" s="101"/>
      <c r="O207" s="106">
        <f>SUM(O194:O206)</f>
        <v>0</v>
      </c>
      <c r="P207" s="42"/>
      <c r="Q207" s="42"/>
    </row>
    <row r="208" spans="1:17" ht="16.5" customHeight="1" x14ac:dyDescent="0.2">
      <c r="A208" s="15"/>
      <c r="B208" s="19"/>
      <c r="C208" s="24"/>
      <c r="D208" s="36"/>
      <c r="E208" s="36"/>
      <c r="F208" s="36"/>
      <c r="G208" s="36"/>
      <c r="H208" s="36"/>
      <c r="I208" s="36"/>
      <c r="J208" s="36"/>
      <c r="K208" s="36"/>
      <c r="L208" s="36"/>
      <c r="M208" s="26"/>
      <c r="N208" s="95"/>
      <c r="O208" s="107"/>
      <c r="P208" s="42"/>
      <c r="Q208" s="42"/>
    </row>
    <row r="209" spans="1:18" x14ac:dyDescent="0.2">
      <c r="A209" s="15"/>
      <c r="B209" s="19" t="s">
        <v>11</v>
      </c>
      <c r="C209" s="24"/>
      <c r="D209" s="36"/>
      <c r="E209" s="36"/>
      <c r="F209" s="36"/>
      <c r="G209" s="36"/>
      <c r="H209" s="36"/>
      <c r="I209" s="36"/>
      <c r="J209" s="36"/>
      <c r="K209" s="36"/>
      <c r="L209" s="79">
        <v>0.05</v>
      </c>
      <c r="M209" s="26">
        <f>M207*L209</f>
        <v>8864.0509949999996</v>
      </c>
      <c r="N209" s="95"/>
      <c r="O209" s="107">
        <f>O207/M207*M209</f>
        <v>0</v>
      </c>
      <c r="P209" s="42"/>
      <c r="Q209" s="42"/>
    </row>
    <row r="210" spans="1:18" x14ac:dyDescent="0.2">
      <c r="A210" s="47"/>
      <c r="B210" s="48"/>
      <c r="C210" s="49"/>
      <c r="D210" s="49"/>
      <c r="E210" s="49"/>
      <c r="F210" s="49"/>
      <c r="G210" s="49"/>
      <c r="H210" s="49"/>
      <c r="I210" s="49"/>
      <c r="J210" s="49"/>
      <c r="K210" s="49"/>
      <c r="L210" s="174"/>
      <c r="M210" s="70"/>
      <c r="N210" s="95"/>
      <c r="O210" s="107"/>
      <c r="P210" s="42"/>
      <c r="Q210" s="42"/>
    </row>
    <row r="211" spans="1:18" ht="27.75" customHeight="1" x14ac:dyDescent="0.2">
      <c r="A211" s="50"/>
      <c r="B211" s="56" t="s">
        <v>239</v>
      </c>
      <c r="C211" s="51"/>
      <c r="D211" s="52"/>
      <c r="E211" s="52"/>
      <c r="F211" s="52"/>
      <c r="G211" s="52"/>
      <c r="H211" s="52"/>
      <c r="I211" s="52"/>
      <c r="J211" s="52"/>
      <c r="K211" s="52"/>
      <c r="L211" s="173"/>
      <c r="M211" s="71">
        <f>ROUNDUP(SUM(M207:M210),0)</f>
        <v>186146</v>
      </c>
      <c r="N211" s="151">
        <f>O211/M211</f>
        <v>0</v>
      </c>
      <c r="O211" s="109">
        <f>SUM(O207:O210)</f>
        <v>0</v>
      </c>
      <c r="P211" s="42"/>
      <c r="Q211" s="42"/>
    </row>
    <row r="212" spans="1:18" ht="13.5" customHeight="1" x14ac:dyDescent="0.2">
      <c r="A212" s="161"/>
      <c r="B212" s="162"/>
      <c r="C212" s="163"/>
      <c r="D212" s="164"/>
      <c r="E212" s="164"/>
      <c r="F212" s="164"/>
      <c r="G212" s="72"/>
      <c r="H212" s="72"/>
      <c r="I212" s="72"/>
      <c r="J212" s="72"/>
      <c r="K212" s="164"/>
      <c r="L212" s="164"/>
      <c r="M212" s="165"/>
      <c r="N212" s="166">
        <f>SUM(L196:L206)</f>
        <v>4.9339756122247849E-2</v>
      </c>
      <c r="O212" s="240"/>
      <c r="P212" s="166">
        <f>L209</f>
        <v>0.05</v>
      </c>
      <c r="Q212" s="42"/>
    </row>
    <row r="213" spans="1:18" ht="13.5" customHeight="1" x14ac:dyDescent="0.2">
      <c r="A213" s="161"/>
      <c r="B213" s="162"/>
      <c r="C213" s="163"/>
      <c r="D213" s="164"/>
      <c r="E213" s="164"/>
      <c r="F213" s="167"/>
      <c r="G213" s="410" t="s">
        <v>45</v>
      </c>
      <c r="H213" s="411"/>
      <c r="I213" s="411"/>
      <c r="J213" s="412"/>
      <c r="K213" s="651">
        <f>SUM(F17:F30,F58:F103)</f>
        <v>317.76</v>
      </c>
      <c r="L213" s="169" t="s">
        <v>328</v>
      </c>
      <c r="M213" s="165">
        <f>SUM(M17:M30,M58:M103)</f>
        <v>44026.86</v>
      </c>
      <c r="N213" s="561">
        <f>M213*$N$212</f>
        <v>2172.2745352283491</v>
      </c>
      <c r="O213" s="156">
        <f>SUM(M213:N213)</f>
        <v>46199.134535228353</v>
      </c>
      <c r="P213" s="568">
        <f>O213*$P$212</f>
        <v>2309.9567267614179</v>
      </c>
      <c r="Q213" s="565">
        <f>SUM(O213:P213)</f>
        <v>48509.091261989772</v>
      </c>
    </row>
    <row r="214" spans="1:18" ht="13.5" customHeight="1" x14ac:dyDescent="0.2">
      <c r="A214" s="161"/>
      <c r="B214" s="162"/>
      <c r="C214" s="163"/>
      <c r="D214" s="164"/>
      <c r="E214" s="164"/>
      <c r="F214" s="164"/>
      <c r="G214" s="413"/>
      <c r="H214" s="414" t="s">
        <v>583</v>
      </c>
      <c r="I214" s="72"/>
      <c r="J214" s="415"/>
      <c r="K214" s="634"/>
      <c r="L214" s="169"/>
      <c r="M214" s="165"/>
      <c r="N214" s="561"/>
      <c r="O214" s="156"/>
      <c r="P214" s="568"/>
      <c r="Q214" s="566"/>
    </row>
    <row r="215" spans="1:18" x14ac:dyDescent="0.2">
      <c r="F215" s="168"/>
      <c r="G215" s="413">
        <f>F193/8</f>
        <v>153.36249999999998</v>
      </c>
      <c r="H215" s="416">
        <v>1</v>
      </c>
      <c r="I215" s="72"/>
      <c r="J215" s="415"/>
      <c r="K215" s="650">
        <f>SUM(F34:F37,F107:F144)</f>
        <v>288.51000000000005</v>
      </c>
      <c r="L215" s="169" t="s">
        <v>329</v>
      </c>
      <c r="M215" s="53">
        <f>SUM(M34:M37,M107:M144)</f>
        <v>40548.900000000009</v>
      </c>
      <c r="N215" s="561">
        <f>M215*$N$212</f>
        <v>2000.6728370254164</v>
      </c>
      <c r="O215" s="156">
        <f>SUM(M215:N215)</f>
        <v>42549.572837025422</v>
      </c>
      <c r="P215" s="568">
        <f>O215*$P$212</f>
        <v>2127.4786418512713</v>
      </c>
      <c r="Q215" s="219">
        <f>SUM(O215:P215)</f>
        <v>44677.051478876696</v>
      </c>
    </row>
    <row r="216" spans="1:18" x14ac:dyDescent="0.2">
      <c r="F216" s="168"/>
      <c r="G216" s="413">
        <f>G215/H215</f>
        <v>153.36249999999998</v>
      </c>
      <c r="H216" s="61">
        <v>18</v>
      </c>
      <c r="I216" s="61">
        <f>G216*H216</f>
        <v>2760.5249999999996</v>
      </c>
      <c r="J216" s="415"/>
      <c r="K216" s="636"/>
      <c r="L216" s="169"/>
      <c r="M216" s="53"/>
      <c r="N216" s="561"/>
      <c r="O216" s="156"/>
      <c r="P216" s="568"/>
      <c r="Q216" s="566"/>
    </row>
    <row r="217" spans="1:18" x14ac:dyDescent="0.2">
      <c r="F217" s="168"/>
      <c r="G217" s="413"/>
      <c r="H217" s="72"/>
      <c r="I217" s="72"/>
      <c r="J217" s="415"/>
      <c r="K217" s="650">
        <f>SUM(F41:F51,F149:F191)</f>
        <v>620.63</v>
      </c>
      <c r="L217" s="169" t="s">
        <v>330</v>
      </c>
      <c r="M217" s="53">
        <f>SUM(M41:M51,M149:M191)</f>
        <v>84369.540000000008</v>
      </c>
      <c r="N217" s="561">
        <f>M217*$N$212</f>
        <v>4162.772527746235</v>
      </c>
      <c r="O217" s="156">
        <f>SUM(M217:N217)</f>
        <v>88532.312527746239</v>
      </c>
      <c r="P217" s="568">
        <f>O217*$P$212</f>
        <v>4426.6156263873117</v>
      </c>
      <c r="Q217" s="567">
        <f>SUM(O217:P217)</f>
        <v>92958.928154133551</v>
      </c>
    </row>
    <row r="218" spans="1:18" x14ac:dyDescent="0.2">
      <c r="G218" s="417"/>
      <c r="H218" s="418"/>
      <c r="I218" s="418"/>
      <c r="J218" s="419"/>
      <c r="K218" s="637"/>
      <c r="L218" s="563"/>
      <c r="M218" s="557"/>
      <c r="N218" s="558"/>
      <c r="O218" s="564"/>
      <c r="P218" s="546"/>
      <c r="Q218" s="546"/>
      <c r="R218" s="42"/>
    </row>
    <row r="219" spans="1:18" x14ac:dyDescent="0.2">
      <c r="K219" s="635">
        <f>SUM(K213:K218)</f>
        <v>1226.9000000000001</v>
      </c>
      <c r="L219" s="53"/>
      <c r="M219" s="53">
        <f>SUM(M213:M218)</f>
        <v>168945.30000000002</v>
      </c>
      <c r="N219" s="53"/>
      <c r="O219" s="53"/>
      <c r="P219" s="53"/>
      <c r="Q219" s="53">
        <f>SUM(Q213:Q218)</f>
        <v>186145.07089500001</v>
      </c>
      <c r="R219" s="42"/>
    </row>
    <row r="220" spans="1:18" ht="15" x14ac:dyDescent="0.25">
      <c r="B220" s="113" t="s">
        <v>30</v>
      </c>
      <c r="C220" s="114"/>
      <c r="D220" s="114"/>
      <c r="E220" s="114"/>
      <c r="F220" s="114"/>
      <c r="I220" s="113" t="s">
        <v>30</v>
      </c>
      <c r="J220" s="114"/>
      <c r="K220" s="114"/>
      <c r="L220" s="114"/>
      <c r="M220" s="114"/>
      <c r="O220" s="108"/>
      <c r="P220" s="42"/>
      <c r="Q220" s="42"/>
    </row>
    <row r="221" spans="1:18" x14ac:dyDescent="0.2">
      <c r="B221" s="115" t="s">
        <v>43</v>
      </c>
      <c r="C221" s="116"/>
      <c r="D221" s="111"/>
      <c r="E221" s="111"/>
      <c r="F221" s="111"/>
      <c r="I221" s="115" t="s">
        <v>31</v>
      </c>
      <c r="J221" s="116"/>
      <c r="K221" s="111"/>
      <c r="L221" s="111"/>
      <c r="M221" s="111"/>
      <c r="O221" s="108"/>
      <c r="P221" s="42"/>
      <c r="Q221" s="42"/>
    </row>
    <row r="222" spans="1:18" ht="15" x14ac:dyDescent="0.25">
      <c r="B222" s="115" t="s">
        <v>32</v>
      </c>
      <c r="C222" s="116" t="s">
        <v>33</v>
      </c>
      <c r="D222" s="111" t="s">
        <v>34</v>
      </c>
      <c r="E222" s="111" t="s">
        <v>35</v>
      </c>
      <c r="F222" s="114"/>
      <c r="I222" s="115" t="s">
        <v>32</v>
      </c>
      <c r="J222" s="116" t="s">
        <v>33</v>
      </c>
      <c r="K222" s="111" t="s">
        <v>34</v>
      </c>
      <c r="L222" s="111" t="s">
        <v>35</v>
      </c>
      <c r="M222" s="114"/>
      <c r="O222" s="108"/>
      <c r="P222" s="42"/>
      <c r="Q222" s="42"/>
    </row>
    <row r="223" spans="1:18" x14ac:dyDescent="0.2">
      <c r="B223" s="117">
        <v>1</v>
      </c>
      <c r="C223" s="116">
        <v>55</v>
      </c>
      <c r="D223" s="111">
        <f>B223*C223</f>
        <v>55</v>
      </c>
      <c r="E223" s="111">
        <f>D223*F223</f>
        <v>110</v>
      </c>
      <c r="F223" s="118">
        <v>2</v>
      </c>
      <c r="I223" s="117">
        <v>4</v>
      </c>
      <c r="J223" s="116">
        <v>55</v>
      </c>
      <c r="K223" s="111">
        <f>I223*J223</f>
        <v>220</v>
      </c>
      <c r="L223" s="111">
        <f>K223*M223</f>
        <v>440</v>
      </c>
      <c r="M223" s="118">
        <v>2</v>
      </c>
      <c r="O223" s="108"/>
      <c r="P223" s="42"/>
      <c r="Q223" s="42"/>
    </row>
    <row r="224" spans="1:18" x14ac:dyDescent="0.2">
      <c r="B224" s="115" t="s">
        <v>36</v>
      </c>
      <c r="C224" s="116"/>
      <c r="D224" s="111"/>
      <c r="E224" s="111" t="s">
        <v>37</v>
      </c>
      <c r="F224" s="111"/>
      <c r="I224" s="115" t="s">
        <v>36</v>
      </c>
      <c r="J224" s="116"/>
      <c r="K224" s="111"/>
      <c r="L224" s="111" t="s">
        <v>37</v>
      </c>
      <c r="M224" s="111"/>
      <c r="O224" s="108"/>
      <c r="P224" s="42"/>
      <c r="Q224" s="42"/>
    </row>
    <row r="225" spans="2:17" ht="15" x14ac:dyDescent="0.25">
      <c r="B225" s="115">
        <v>0.7</v>
      </c>
      <c r="C225" s="119"/>
      <c r="D225" s="114"/>
      <c r="E225" s="111">
        <f>B225*C225</f>
        <v>0</v>
      </c>
      <c r="F225" s="111"/>
      <c r="I225" s="115">
        <v>0.7</v>
      </c>
      <c r="J225" s="119">
        <v>310</v>
      </c>
      <c r="K225" s="114"/>
      <c r="L225" s="111">
        <f>I225*J225</f>
        <v>217</v>
      </c>
      <c r="M225" s="111"/>
      <c r="O225" s="108"/>
      <c r="P225" s="42"/>
      <c r="Q225" s="42"/>
    </row>
    <row r="226" spans="2:17" x14ac:dyDescent="0.2">
      <c r="B226" s="115" t="s">
        <v>38</v>
      </c>
      <c r="C226" s="116"/>
      <c r="D226" s="111"/>
      <c r="E226" s="111">
        <f>SUM(E223:E225)</f>
        <v>110</v>
      </c>
      <c r="F226" s="111"/>
      <c r="I226" s="115" t="s">
        <v>38</v>
      </c>
      <c r="J226" s="116"/>
      <c r="K226" s="111"/>
      <c r="L226" s="111">
        <f>SUM(L223:L225)</f>
        <v>657</v>
      </c>
      <c r="M226" s="111"/>
      <c r="O226" s="108"/>
      <c r="P226" s="42"/>
      <c r="Q226" s="42"/>
    </row>
    <row r="227" spans="2:17" x14ac:dyDescent="0.2">
      <c r="B227" s="117">
        <v>2</v>
      </c>
      <c r="C227" s="116"/>
      <c r="D227" s="111"/>
      <c r="E227" s="111">
        <f>B227*E226</f>
        <v>220</v>
      </c>
      <c r="F227" s="111"/>
      <c r="I227" s="117">
        <v>1</v>
      </c>
      <c r="J227" s="116"/>
      <c r="K227" s="111"/>
      <c r="L227" s="111">
        <f>I227*L226</f>
        <v>657</v>
      </c>
      <c r="M227" s="111"/>
      <c r="O227" s="108"/>
      <c r="P227" s="42"/>
      <c r="Q227" s="42"/>
    </row>
    <row r="228" spans="2:17" x14ac:dyDescent="0.2">
      <c r="B228" s="115" t="s">
        <v>39</v>
      </c>
      <c r="C228" s="116" t="s">
        <v>40</v>
      </c>
      <c r="D228" s="111"/>
      <c r="E228" s="111" t="s">
        <v>41</v>
      </c>
      <c r="F228" s="111"/>
      <c r="I228" s="115" t="s">
        <v>39</v>
      </c>
      <c r="J228" s="116" t="s">
        <v>40</v>
      </c>
      <c r="K228" s="111"/>
      <c r="L228" s="111" t="s">
        <v>41</v>
      </c>
      <c r="M228" s="111"/>
      <c r="Q228" s="54"/>
    </row>
    <row r="229" spans="2:17" x14ac:dyDescent="0.2">
      <c r="B229" s="117"/>
      <c r="C229" s="119"/>
      <c r="D229" s="111">
        <f>B229*C229</f>
        <v>0</v>
      </c>
      <c r="E229" s="111">
        <f>D229*F223</f>
        <v>0</v>
      </c>
      <c r="F229" s="111"/>
      <c r="I229" s="117">
        <v>125</v>
      </c>
      <c r="J229" s="119">
        <v>4</v>
      </c>
      <c r="K229" s="111">
        <f>I229*J229</f>
        <v>500</v>
      </c>
      <c r="L229" s="111">
        <f>K229*M223</f>
        <v>1000</v>
      </c>
      <c r="M229" s="111"/>
    </row>
    <row r="230" spans="2:17" x14ac:dyDescent="0.2">
      <c r="B230" s="115"/>
      <c r="C230" s="116"/>
      <c r="D230" s="111"/>
      <c r="E230" s="112">
        <f>SUM(E227:E229)</f>
        <v>220</v>
      </c>
      <c r="F230" s="111"/>
      <c r="I230" s="115"/>
      <c r="J230" s="116"/>
      <c r="K230" s="111"/>
      <c r="L230" s="112">
        <f>SUM(L227:L229)</f>
        <v>1657</v>
      </c>
      <c r="M230" s="111"/>
    </row>
    <row r="234" spans="2:17" x14ac:dyDescent="0.2">
      <c r="D234" s="72" t="s">
        <v>45</v>
      </c>
      <c r="E234" s="14">
        <f>F193/8.5</f>
        <v>144.34117647058821</v>
      </c>
      <c r="F234" s="60">
        <f>E234*17.5</f>
        <v>2525.9705882352937</v>
      </c>
      <c r="G234" s="72" t="s">
        <v>48</v>
      </c>
    </row>
  </sheetData>
  <pageMargins left="0.70866141732283472" right="0.70866141732283472" top="0.74803149606299213" bottom="0.74803149606299213" header="0.31496062992125984" footer="0.31496062992125984"/>
  <pageSetup paperSize="9" scale="99"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4921-824C-4CF7-B814-14BB00113D81}">
  <sheetPr>
    <pageSetUpPr fitToPage="1"/>
  </sheetPr>
  <dimension ref="A1:AB113"/>
  <sheetViews>
    <sheetView topLeftCell="A77" zoomScale="85" zoomScaleNormal="85" workbookViewId="0">
      <selection activeCell="Q95" sqref="Q95"/>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16384" width="9.140625" style="14"/>
  </cols>
  <sheetData>
    <row r="1" spans="1:28" ht="15.75" x14ac:dyDescent="0.2">
      <c r="A1" s="13"/>
      <c r="B1" s="3" t="str">
        <f>Summary!B1</f>
        <v>Ceilings Unlimited</v>
      </c>
      <c r="C1" s="13"/>
      <c r="D1" s="13"/>
      <c r="E1" s="13"/>
      <c r="F1" s="13"/>
      <c r="G1" s="13"/>
      <c r="H1" s="13"/>
      <c r="I1" s="13"/>
      <c r="J1" s="13"/>
      <c r="K1" s="13"/>
      <c r="L1" s="13"/>
      <c r="M1" s="13"/>
    </row>
    <row r="2" spans="1:28" ht="15.75" x14ac:dyDescent="0.2">
      <c r="A2" s="13"/>
      <c r="B2" s="12" t="str">
        <f>Summary!B2</f>
        <v>Craigs Investment Partners - Fitout</v>
      </c>
      <c r="C2" s="13"/>
      <c r="D2" s="13"/>
      <c r="E2" s="13"/>
      <c r="F2" s="13"/>
      <c r="G2" s="13"/>
      <c r="H2" s="13"/>
      <c r="I2" s="13"/>
      <c r="J2" s="13"/>
      <c r="K2" s="13"/>
      <c r="L2" s="13"/>
      <c r="M2" s="13"/>
    </row>
    <row r="3" spans="1:28" ht="15.75" x14ac:dyDescent="0.2">
      <c r="A3" s="13"/>
      <c r="B3" s="12" t="str">
        <f>Summary!B3</f>
        <v>Tauranga</v>
      </c>
      <c r="C3" s="13"/>
      <c r="D3" s="13"/>
      <c r="E3" s="13"/>
      <c r="F3" s="13"/>
      <c r="G3" s="13"/>
      <c r="H3" s="13"/>
      <c r="I3" s="13"/>
      <c r="J3" s="13"/>
      <c r="K3" s="13"/>
      <c r="L3" s="13"/>
      <c r="M3" s="13"/>
    </row>
    <row r="4" spans="1:28" ht="15.75" x14ac:dyDescent="0.2">
      <c r="A4" s="13"/>
      <c r="B4" s="6"/>
      <c r="C4" s="13"/>
      <c r="D4" s="13"/>
      <c r="E4" s="13"/>
      <c r="F4" s="13"/>
      <c r="G4" s="13"/>
      <c r="H4" s="13"/>
      <c r="I4" s="13"/>
      <c r="J4" s="13"/>
      <c r="K4" s="13"/>
      <c r="L4" s="13"/>
      <c r="M4" s="13"/>
    </row>
    <row r="5" spans="1:28" ht="15.75" x14ac:dyDescent="0.2">
      <c r="A5" s="13"/>
      <c r="B5" s="6"/>
      <c r="C5" s="13"/>
      <c r="D5" s="13"/>
      <c r="E5" s="13"/>
      <c r="F5" s="13"/>
      <c r="G5" s="13"/>
      <c r="H5" s="13"/>
      <c r="I5" s="13"/>
      <c r="J5" s="13"/>
      <c r="K5" s="13"/>
      <c r="L5" s="13"/>
      <c r="M5" s="13"/>
    </row>
    <row r="6" spans="1:28" ht="15.75" x14ac:dyDescent="0.2">
      <c r="A6" s="13"/>
      <c r="B6" s="6">
        <f>Summary!B5</f>
        <v>46043</v>
      </c>
      <c r="C6" s="13"/>
      <c r="D6" s="13"/>
      <c r="E6" s="13"/>
      <c r="F6" s="13"/>
      <c r="G6" s="13"/>
      <c r="H6" s="13"/>
      <c r="I6" s="13"/>
      <c r="J6" s="13"/>
      <c r="K6" s="13"/>
      <c r="L6" s="13"/>
      <c r="M6" s="13"/>
    </row>
    <row r="7" spans="1:28" ht="15.75" x14ac:dyDescent="0.2">
      <c r="A7" s="13"/>
      <c r="B7" s="6"/>
      <c r="C7" s="13"/>
      <c r="D7" s="13"/>
      <c r="E7" s="13"/>
      <c r="F7" s="13"/>
      <c r="G7" s="13"/>
      <c r="H7" s="13"/>
      <c r="I7" s="13"/>
      <c r="J7" s="13"/>
      <c r="K7" s="13"/>
      <c r="L7" s="13"/>
      <c r="M7" s="13"/>
    </row>
    <row r="8" spans="1:28" ht="15.75" x14ac:dyDescent="0.2">
      <c r="A8" s="13"/>
      <c r="B8" s="140"/>
      <c r="C8" s="13"/>
      <c r="D8" s="13"/>
      <c r="E8" s="13"/>
      <c r="F8" s="13"/>
      <c r="G8" s="13"/>
      <c r="H8" s="13"/>
      <c r="I8" s="13"/>
      <c r="J8" s="13"/>
      <c r="K8" s="13"/>
      <c r="L8" s="13"/>
      <c r="M8" s="13"/>
    </row>
    <row r="9" spans="1:28" ht="39.75" customHeight="1" x14ac:dyDescent="0.2">
      <c r="A9" s="15"/>
      <c r="B9" s="55" t="s">
        <v>62</v>
      </c>
      <c r="C9" s="16"/>
      <c r="D9" s="15"/>
      <c r="E9" s="15"/>
      <c r="F9" s="15"/>
      <c r="G9" s="15"/>
      <c r="H9" s="15"/>
      <c r="I9" s="15"/>
      <c r="J9" s="15"/>
      <c r="K9" s="15"/>
      <c r="L9" s="15"/>
      <c r="M9" s="17"/>
      <c r="N9" s="93"/>
      <c r="O9" s="53"/>
    </row>
    <row r="10" spans="1:28" ht="23.25" customHeight="1" x14ac:dyDescent="0.2">
      <c r="A10" s="15"/>
      <c r="B10" s="55"/>
      <c r="C10" s="16"/>
      <c r="D10" s="15"/>
      <c r="E10" s="15"/>
      <c r="F10" s="15"/>
      <c r="G10" s="15"/>
      <c r="H10" s="15"/>
      <c r="I10" s="15"/>
      <c r="J10" s="15"/>
      <c r="K10" s="15"/>
      <c r="L10" s="15"/>
      <c r="M10" s="17"/>
      <c r="N10" s="93"/>
      <c r="O10" s="53"/>
      <c r="P10" s="27"/>
    </row>
    <row r="11" spans="1:28" x14ac:dyDescent="0.2">
      <c r="A11" s="19"/>
      <c r="B11" s="20"/>
      <c r="C11" s="15"/>
      <c r="D11" s="15"/>
      <c r="F11" s="18"/>
      <c r="G11" s="18"/>
      <c r="H11" s="66">
        <v>42</v>
      </c>
      <c r="I11" s="58"/>
      <c r="M11" s="17"/>
      <c r="N11" s="93"/>
      <c r="O11" s="53"/>
    </row>
    <row r="12" spans="1:28"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c r="T12" s="72" t="s">
        <v>905</v>
      </c>
      <c r="U12" s="72" t="s">
        <v>906</v>
      </c>
      <c r="V12" s="72" t="s">
        <v>907</v>
      </c>
      <c r="W12" s="72" t="s">
        <v>905</v>
      </c>
      <c r="X12" s="72" t="s">
        <v>906</v>
      </c>
      <c r="Y12" s="72" t="s">
        <v>907</v>
      </c>
      <c r="Z12" s="72" t="s">
        <v>905</v>
      </c>
      <c r="AA12" s="72" t="s">
        <v>906</v>
      </c>
      <c r="AB12" s="72" t="s">
        <v>907</v>
      </c>
    </row>
    <row r="13" spans="1:28" s="72" customFormat="1" ht="29.25" customHeight="1" x14ac:dyDescent="0.2">
      <c r="A13" s="63"/>
      <c r="B13" s="121"/>
      <c r="C13" s="64"/>
      <c r="D13" s="75"/>
      <c r="E13" s="122"/>
      <c r="F13" s="123"/>
      <c r="G13" s="123"/>
      <c r="H13" s="123"/>
      <c r="I13" s="124"/>
      <c r="J13" s="122"/>
      <c r="K13" s="122"/>
      <c r="L13" s="125"/>
      <c r="M13" s="110"/>
      <c r="N13" s="126"/>
      <c r="O13" s="127"/>
      <c r="T13" s="684" t="s">
        <v>278</v>
      </c>
      <c r="U13" s="685"/>
      <c r="V13" s="685"/>
      <c r="W13" s="684" t="s">
        <v>279</v>
      </c>
      <c r="X13" s="685"/>
      <c r="Y13" s="685"/>
      <c r="Z13" s="684" t="s">
        <v>280</v>
      </c>
      <c r="AA13" s="685"/>
      <c r="AB13" s="685"/>
    </row>
    <row r="14" spans="1:28" s="72" customFormat="1" ht="20.25" customHeight="1" x14ac:dyDescent="0.2">
      <c r="A14" s="63"/>
      <c r="B14" s="180" t="s">
        <v>64</v>
      </c>
      <c r="C14" s="64"/>
      <c r="D14" s="75"/>
      <c r="E14" s="128"/>
      <c r="F14" s="129"/>
      <c r="G14" s="129"/>
      <c r="H14" s="129"/>
      <c r="I14" s="153"/>
      <c r="J14" s="128"/>
      <c r="K14" s="128"/>
      <c r="L14" s="128"/>
      <c r="M14" s="120"/>
      <c r="N14" s="126"/>
      <c r="O14" s="127"/>
      <c r="R14" s="418"/>
      <c r="S14" s="418"/>
      <c r="T14" s="417">
        <f t="shared" ref="T14:AB14" si="0">SUM(T15:T31)</f>
        <v>93</v>
      </c>
      <c r="U14" s="417">
        <f t="shared" si="0"/>
        <v>84</v>
      </c>
      <c r="V14" s="417">
        <f t="shared" si="0"/>
        <v>82</v>
      </c>
      <c r="W14" s="417">
        <f t="shared" si="0"/>
        <v>71</v>
      </c>
      <c r="X14" s="417">
        <f t="shared" si="0"/>
        <v>53</v>
      </c>
      <c r="Y14" s="417">
        <f t="shared" si="0"/>
        <v>34</v>
      </c>
      <c r="Z14" s="417">
        <f t="shared" si="0"/>
        <v>192</v>
      </c>
      <c r="AA14" s="417">
        <f t="shared" si="0"/>
        <v>152</v>
      </c>
      <c r="AB14" s="417">
        <f t="shared" si="0"/>
        <v>13</v>
      </c>
    </row>
    <row r="15" spans="1:28" s="72" customFormat="1" ht="14.25" x14ac:dyDescent="0.2">
      <c r="A15" s="63"/>
      <c r="B15" s="121"/>
      <c r="C15" s="64"/>
      <c r="D15" s="75"/>
      <c r="E15" s="128"/>
      <c r="F15" s="129"/>
      <c r="G15" s="129"/>
      <c r="H15" s="129"/>
      <c r="I15" s="153"/>
      <c r="J15" s="128"/>
      <c r="K15" s="128"/>
      <c r="L15" s="128"/>
      <c r="M15" s="120"/>
      <c r="N15" s="126"/>
      <c r="O15" s="127"/>
      <c r="R15" s="72" t="s">
        <v>904</v>
      </c>
      <c r="T15" s="413">
        <v>8</v>
      </c>
      <c r="U15" s="72">
        <v>8</v>
      </c>
      <c r="V15" s="72">
        <v>0</v>
      </c>
      <c r="W15" s="413">
        <v>28</v>
      </c>
      <c r="X15" s="204">
        <v>28</v>
      </c>
      <c r="Y15" s="415">
        <v>0</v>
      </c>
      <c r="Z15" s="204">
        <v>96</v>
      </c>
      <c r="AA15" s="204">
        <v>96</v>
      </c>
      <c r="AB15" s="204">
        <v>0</v>
      </c>
    </row>
    <row r="16" spans="1:28" s="72" customFormat="1" ht="15" x14ac:dyDescent="0.2">
      <c r="A16" s="63"/>
      <c r="B16" s="176" t="s">
        <v>58</v>
      </c>
      <c r="C16" s="64"/>
      <c r="D16" s="75"/>
      <c r="E16" s="128"/>
      <c r="F16" s="129"/>
      <c r="G16" s="129"/>
      <c r="H16" s="129"/>
      <c r="I16" s="153"/>
      <c r="J16" s="128"/>
      <c r="K16" s="128"/>
      <c r="L16" s="128"/>
      <c r="M16" s="120"/>
      <c r="N16" s="126"/>
      <c r="O16" s="127"/>
      <c r="R16" s="72" t="s">
        <v>908</v>
      </c>
      <c r="T16" s="413">
        <v>0</v>
      </c>
      <c r="U16" s="72">
        <v>0</v>
      </c>
      <c r="V16" s="72">
        <v>23</v>
      </c>
      <c r="W16" s="413">
        <v>0</v>
      </c>
      <c r="X16" s="204">
        <v>0</v>
      </c>
      <c r="Y16" s="415">
        <v>11</v>
      </c>
      <c r="Z16" s="204">
        <v>0</v>
      </c>
      <c r="AA16" s="204">
        <v>0</v>
      </c>
      <c r="AB16" s="204">
        <v>0</v>
      </c>
    </row>
    <row r="17" spans="1:28" s="72" customFormat="1" ht="14.25" x14ac:dyDescent="0.2">
      <c r="A17" s="63"/>
      <c r="B17" s="143" t="s">
        <v>251</v>
      </c>
      <c r="C17" s="64">
        <v>45</v>
      </c>
      <c r="D17" s="75" t="s">
        <v>151</v>
      </c>
      <c r="E17" s="134">
        <v>0.2</v>
      </c>
      <c r="F17" s="134">
        <f>C17*E17</f>
        <v>9</v>
      </c>
      <c r="G17" s="134">
        <f>$H$11*E17</f>
        <v>8.4</v>
      </c>
      <c r="H17" s="135">
        <f>F17*$H$11</f>
        <v>378</v>
      </c>
      <c r="I17" s="152">
        <v>0.95</v>
      </c>
      <c r="J17" s="135">
        <f>C17*I17</f>
        <v>42.75</v>
      </c>
      <c r="K17" s="136">
        <f>SUM(H17,J17)</f>
        <v>420.75</v>
      </c>
      <c r="L17" s="135">
        <f>K17/C17</f>
        <v>9.35</v>
      </c>
      <c r="M17" s="137">
        <f>C17*L17</f>
        <v>420.75</v>
      </c>
      <c r="N17" s="144">
        <v>0</v>
      </c>
      <c r="O17" s="130">
        <f>M17*N17</f>
        <v>0</v>
      </c>
      <c r="P17" s="159"/>
      <c r="Q17" s="177"/>
      <c r="R17" s="72" t="s">
        <v>909</v>
      </c>
      <c r="T17" s="413">
        <v>0</v>
      </c>
      <c r="U17" s="72">
        <v>0</v>
      </c>
      <c r="V17" s="72">
        <v>0</v>
      </c>
      <c r="W17" s="413">
        <v>0</v>
      </c>
      <c r="X17" s="204">
        <v>0</v>
      </c>
      <c r="Y17" s="415">
        <v>0</v>
      </c>
      <c r="Z17" s="204">
        <v>20</v>
      </c>
      <c r="AA17" s="204">
        <v>30</v>
      </c>
      <c r="AB17" s="204">
        <v>0</v>
      </c>
    </row>
    <row r="18" spans="1:28" s="72" customFormat="1" ht="14.25" x14ac:dyDescent="0.2">
      <c r="A18" s="63"/>
      <c r="B18" s="143" t="s">
        <v>253</v>
      </c>
      <c r="C18" s="64">
        <v>63</v>
      </c>
      <c r="D18" s="75" t="s">
        <v>151</v>
      </c>
      <c r="E18" s="134">
        <v>0.25</v>
      </c>
      <c r="F18" s="134">
        <f>C18*E18</f>
        <v>15.75</v>
      </c>
      <c r="G18" s="134">
        <f>$H$11*E18</f>
        <v>10.5</v>
      </c>
      <c r="H18" s="135">
        <f>F18*$H$11</f>
        <v>661.5</v>
      </c>
      <c r="I18" s="152">
        <v>0.95</v>
      </c>
      <c r="J18" s="135">
        <f>C18*I18</f>
        <v>59.849999999999994</v>
      </c>
      <c r="K18" s="136">
        <f>SUM(H18,J18)</f>
        <v>721.35</v>
      </c>
      <c r="L18" s="135">
        <f>K18/C18</f>
        <v>11.450000000000001</v>
      </c>
      <c r="M18" s="137">
        <f>C18*L18</f>
        <v>721.35</v>
      </c>
      <c r="N18" s="144">
        <v>0</v>
      </c>
      <c r="O18" s="130">
        <f>M18*N18</f>
        <v>0</v>
      </c>
      <c r="P18" s="159"/>
      <c r="Q18" s="177"/>
      <c r="R18" s="72" t="s">
        <v>910</v>
      </c>
      <c r="T18" s="413">
        <v>7</v>
      </c>
      <c r="U18" s="72">
        <v>7</v>
      </c>
      <c r="V18" s="204">
        <v>7</v>
      </c>
      <c r="W18" s="413">
        <v>0</v>
      </c>
      <c r="X18" s="204">
        <v>0</v>
      </c>
      <c r="Y18" s="415">
        <v>0</v>
      </c>
      <c r="Z18" s="204">
        <v>4</v>
      </c>
      <c r="AA18" s="204">
        <v>4</v>
      </c>
      <c r="AB18" s="204">
        <v>4</v>
      </c>
    </row>
    <row r="19" spans="1:28" s="72" customFormat="1" ht="14.25" x14ac:dyDescent="0.2">
      <c r="A19" s="63"/>
      <c r="B19" s="175" t="s">
        <v>747</v>
      </c>
      <c r="C19" s="64">
        <v>93</v>
      </c>
      <c r="D19" s="75" t="s">
        <v>116</v>
      </c>
      <c r="E19" s="134">
        <v>0.15</v>
      </c>
      <c r="F19" s="134">
        <f>C19*E19</f>
        <v>13.95</v>
      </c>
      <c r="G19" s="134">
        <f>$H$11*E19</f>
        <v>6.3</v>
      </c>
      <c r="H19" s="135">
        <f>F19*$H$11</f>
        <v>585.9</v>
      </c>
      <c r="I19" s="152">
        <v>2.5</v>
      </c>
      <c r="J19" s="135">
        <f>C19*I19</f>
        <v>232.5</v>
      </c>
      <c r="K19" s="136">
        <f>SUM(H19,J19)</f>
        <v>818.4</v>
      </c>
      <c r="L19" s="135">
        <f>K19/C19</f>
        <v>8.7999999999999989</v>
      </c>
      <c r="M19" s="137">
        <f>C19*L19</f>
        <v>818.39999999999986</v>
      </c>
      <c r="N19" s="144">
        <v>0</v>
      </c>
      <c r="O19" s="130">
        <f>M19*N19</f>
        <v>0</v>
      </c>
      <c r="P19" s="159"/>
      <c r="Q19" s="159"/>
      <c r="R19" s="72" t="s">
        <v>911</v>
      </c>
      <c r="T19" s="413">
        <v>0</v>
      </c>
      <c r="U19" s="204">
        <v>0</v>
      </c>
      <c r="V19" s="204">
        <v>0</v>
      </c>
      <c r="W19" s="413">
        <v>0</v>
      </c>
      <c r="X19" s="204">
        <v>0</v>
      </c>
      <c r="Y19" s="415">
        <v>0</v>
      </c>
      <c r="Z19" s="204">
        <v>0</v>
      </c>
      <c r="AA19" s="204">
        <v>0</v>
      </c>
      <c r="AB19" s="204">
        <v>0</v>
      </c>
    </row>
    <row r="20" spans="1:28" s="72" customFormat="1" ht="14.25" x14ac:dyDescent="0.2">
      <c r="A20" s="63"/>
      <c r="B20" s="143" t="s">
        <v>252</v>
      </c>
      <c r="C20" s="64">
        <v>84</v>
      </c>
      <c r="D20" s="75" t="s">
        <v>116</v>
      </c>
      <c r="E20" s="134">
        <v>0.18</v>
      </c>
      <c r="F20" s="134">
        <f>C20*E20</f>
        <v>15.12</v>
      </c>
      <c r="G20" s="134">
        <f>$H$11*E20</f>
        <v>7.56</v>
      </c>
      <c r="H20" s="135">
        <f>F20*$H$11</f>
        <v>635.04</v>
      </c>
      <c r="I20" s="152">
        <v>2.5</v>
      </c>
      <c r="J20" s="135">
        <f>C20*I20</f>
        <v>210</v>
      </c>
      <c r="K20" s="136">
        <f>SUM(H20,J20)</f>
        <v>845.04</v>
      </c>
      <c r="L20" s="135">
        <f>K20/C20</f>
        <v>10.059999999999999</v>
      </c>
      <c r="M20" s="137">
        <f>C20*L20</f>
        <v>845.03999999999985</v>
      </c>
      <c r="N20" s="144">
        <v>0</v>
      </c>
      <c r="O20" s="130">
        <f>M20*N20</f>
        <v>0</v>
      </c>
      <c r="P20" s="159"/>
      <c r="Q20" s="159"/>
      <c r="R20" s="72" t="s">
        <v>912</v>
      </c>
      <c r="T20" s="413">
        <v>9</v>
      </c>
      <c r="U20" s="204">
        <v>0</v>
      </c>
      <c r="V20" s="204">
        <v>0</v>
      </c>
      <c r="W20" s="413">
        <v>18</v>
      </c>
      <c r="X20" s="204">
        <v>0</v>
      </c>
      <c r="Y20" s="415">
        <v>0</v>
      </c>
      <c r="Z20" s="204">
        <v>50</v>
      </c>
      <c r="AA20" s="204">
        <v>0</v>
      </c>
      <c r="AB20" s="204">
        <v>0</v>
      </c>
    </row>
    <row r="21" spans="1:28" s="72" customFormat="1" ht="14.25" x14ac:dyDescent="0.2">
      <c r="A21" s="63"/>
      <c r="B21" s="242" t="s">
        <v>255</v>
      </c>
      <c r="C21" s="607">
        <v>82</v>
      </c>
      <c r="D21" s="75" t="s">
        <v>116</v>
      </c>
      <c r="E21" s="134">
        <v>0.15</v>
      </c>
      <c r="F21" s="134">
        <f>C21*E21</f>
        <v>12.299999999999999</v>
      </c>
      <c r="G21" s="134">
        <f>$H$11*E21</f>
        <v>6.3</v>
      </c>
      <c r="H21" s="135">
        <f>F21*$H$11</f>
        <v>516.59999999999991</v>
      </c>
      <c r="I21" s="152">
        <v>3</v>
      </c>
      <c r="J21" s="135">
        <f>C21*I21</f>
        <v>246</v>
      </c>
      <c r="K21" s="136">
        <f>SUM(H21,J21)</f>
        <v>762.59999999999991</v>
      </c>
      <c r="L21" s="135">
        <f>K21/C21</f>
        <v>9.2999999999999989</v>
      </c>
      <c r="M21" s="137">
        <f>C21*L21</f>
        <v>762.59999999999991</v>
      </c>
      <c r="N21" s="144">
        <v>0</v>
      </c>
      <c r="O21" s="130">
        <f>M21*N21</f>
        <v>0</v>
      </c>
      <c r="P21" s="159"/>
      <c r="Q21" s="159"/>
      <c r="R21" s="72" t="s">
        <v>913</v>
      </c>
      <c r="T21" s="413">
        <v>0</v>
      </c>
      <c r="U21" s="204">
        <v>0</v>
      </c>
      <c r="V21" s="204">
        <v>0</v>
      </c>
      <c r="W21" s="413">
        <v>0</v>
      </c>
      <c r="X21" s="204">
        <v>0</v>
      </c>
      <c r="Y21" s="415">
        <v>0</v>
      </c>
      <c r="Z21" s="204">
        <v>0</v>
      </c>
      <c r="AA21" s="204">
        <v>0</v>
      </c>
      <c r="AB21" s="204">
        <v>0</v>
      </c>
    </row>
    <row r="22" spans="1:28" s="72" customFormat="1" ht="14.25" x14ac:dyDescent="0.2">
      <c r="A22" s="63"/>
      <c r="B22" s="175" t="s">
        <v>249</v>
      </c>
      <c r="C22" s="64">
        <v>28</v>
      </c>
      <c r="D22" s="75" t="s">
        <v>116</v>
      </c>
      <c r="E22" s="134">
        <v>0.15</v>
      </c>
      <c r="F22" s="134">
        <f t="shared" ref="F22:F39" si="1">C22*E22</f>
        <v>4.2</v>
      </c>
      <c r="G22" s="134">
        <f t="shared" ref="G22:G39" si="2">$H$11*E22</f>
        <v>6.3</v>
      </c>
      <c r="H22" s="135">
        <f t="shared" ref="H22:H39" si="3">F22*$H$11</f>
        <v>176.4</v>
      </c>
      <c r="I22" s="152">
        <v>1.4</v>
      </c>
      <c r="J22" s="135">
        <f t="shared" ref="J22:J39" si="4">C22*I22</f>
        <v>39.199999999999996</v>
      </c>
      <c r="K22" s="136">
        <f t="shared" ref="K22:K39" si="5">SUM(H22,J22)</f>
        <v>215.6</v>
      </c>
      <c r="L22" s="135">
        <f t="shared" ref="L22:L39" si="6">K22/C22</f>
        <v>7.7</v>
      </c>
      <c r="M22" s="137">
        <f t="shared" ref="M22:M39" si="7">C22*L22</f>
        <v>215.6</v>
      </c>
      <c r="N22" s="144">
        <v>0</v>
      </c>
      <c r="O22" s="130">
        <f t="shared" ref="O22:O39" si="8">M22*N22</f>
        <v>0</v>
      </c>
      <c r="P22" s="159"/>
      <c r="Q22" s="159"/>
      <c r="R22" s="72" t="s">
        <v>914</v>
      </c>
      <c r="T22" s="413">
        <v>0</v>
      </c>
      <c r="U22" s="204">
        <v>0</v>
      </c>
      <c r="V22" s="204">
        <v>0</v>
      </c>
      <c r="W22" s="413">
        <v>0</v>
      </c>
      <c r="X22" s="204">
        <v>0</v>
      </c>
      <c r="Y22" s="415">
        <v>0</v>
      </c>
      <c r="Z22" s="204">
        <v>0</v>
      </c>
      <c r="AA22" s="204">
        <v>0</v>
      </c>
      <c r="AB22" s="204">
        <v>0</v>
      </c>
    </row>
    <row r="23" spans="1:28" s="72" customFormat="1" ht="14.25" x14ac:dyDescent="0.2">
      <c r="A23" s="63"/>
      <c r="B23" s="143"/>
      <c r="C23" s="64"/>
      <c r="D23" s="75"/>
      <c r="E23" s="134"/>
      <c r="F23" s="134"/>
      <c r="G23" s="134"/>
      <c r="H23" s="135"/>
      <c r="I23" s="152"/>
      <c r="J23" s="135"/>
      <c r="K23" s="136"/>
      <c r="L23" s="135"/>
      <c r="M23" s="137"/>
      <c r="N23" s="144"/>
      <c r="O23" s="130"/>
      <c r="P23" s="159"/>
      <c r="Q23" s="159"/>
      <c r="R23" s="72" t="s">
        <v>915</v>
      </c>
      <c r="T23" s="413">
        <v>0</v>
      </c>
      <c r="U23" s="204">
        <v>0</v>
      </c>
      <c r="V23" s="72">
        <v>10</v>
      </c>
      <c r="W23" s="413">
        <v>0</v>
      </c>
      <c r="X23" s="204">
        <v>0</v>
      </c>
      <c r="Y23" s="415">
        <v>5</v>
      </c>
      <c r="Z23" s="204">
        <v>0</v>
      </c>
      <c r="AA23" s="204">
        <v>0</v>
      </c>
      <c r="AB23" s="204">
        <v>0</v>
      </c>
    </row>
    <row r="24" spans="1:28" s="72" customFormat="1" ht="15" x14ac:dyDescent="0.2">
      <c r="A24" s="63"/>
      <c r="B24" s="176" t="s">
        <v>59</v>
      </c>
      <c r="C24" s="64"/>
      <c r="D24" s="75"/>
      <c r="E24" s="134"/>
      <c r="F24" s="134"/>
      <c r="G24" s="134"/>
      <c r="H24" s="135"/>
      <c r="I24" s="152"/>
      <c r="J24" s="135"/>
      <c r="K24" s="136"/>
      <c r="L24" s="135"/>
      <c r="M24" s="137"/>
      <c r="N24" s="144"/>
      <c r="O24" s="130"/>
      <c r="P24" s="159"/>
      <c r="Q24" s="159"/>
      <c r="R24" s="72" t="s">
        <v>916</v>
      </c>
      <c r="T24" s="413">
        <v>0</v>
      </c>
      <c r="U24" s="204">
        <v>0</v>
      </c>
      <c r="V24" s="72">
        <v>0</v>
      </c>
      <c r="W24" s="413">
        <v>0</v>
      </c>
      <c r="X24" s="204">
        <v>0</v>
      </c>
      <c r="Y24" s="415">
        <v>0</v>
      </c>
      <c r="Z24" s="204">
        <v>0</v>
      </c>
      <c r="AA24" s="204">
        <v>0</v>
      </c>
      <c r="AB24" s="204">
        <v>0</v>
      </c>
    </row>
    <row r="25" spans="1:28" s="72" customFormat="1" ht="14.25" x14ac:dyDescent="0.2">
      <c r="A25" s="63"/>
      <c r="B25" s="143" t="s">
        <v>253</v>
      </c>
      <c r="C25" s="64">
        <v>15</v>
      </c>
      <c r="D25" s="75" t="s">
        <v>151</v>
      </c>
      <c r="E25" s="134">
        <v>0.25</v>
      </c>
      <c r="F25" s="134">
        <f t="shared" si="1"/>
        <v>3.75</v>
      </c>
      <c r="G25" s="134">
        <f t="shared" si="2"/>
        <v>10.5</v>
      </c>
      <c r="H25" s="135">
        <f t="shared" si="3"/>
        <v>157.5</v>
      </c>
      <c r="I25" s="152">
        <v>0.95</v>
      </c>
      <c r="J25" s="135">
        <f t="shared" si="4"/>
        <v>14.25</v>
      </c>
      <c r="K25" s="136">
        <f t="shared" si="5"/>
        <v>171.75</v>
      </c>
      <c r="L25" s="135">
        <f t="shared" si="6"/>
        <v>11.45</v>
      </c>
      <c r="M25" s="137">
        <f t="shared" si="7"/>
        <v>171.75</v>
      </c>
      <c r="N25" s="144">
        <v>0</v>
      </c>
      <c r="O25" s="130">
        <f t="shared" si="8"/>
        <v>0</v>
      </c>
      <c r="P25" s="159"/>
      <c r="Q25" s="159"/>
      <c r="R25" s="72" t="s">
        <v>917</v>
      </c>
      <c r="T25" s="413">
        <v>0</v>
      </c>
      <c r="U25" s="204">
        <v>0</v>
      </c>
      <c r="V25" s="72">
        <v>0</v>
      </c>
      <c r="W25" s="413">
        <v>0</v>
      </c>
      <c r="X25" s="204">
        <v>0</v>
      </c>
      <c r="Y25" s="415">
        <v>0</v>
      </c>
      <c r="Z25" s="204">
        <v>0</v>
      </c>
      <c r="AA25" s="204">
        <v>0</v>
      </c>
      <c r="AB25" s="204">
        <v>0</v>
      </c>
    </row>
    <row r="26" spans="1:28" s="72" customFormat="1" ht="14.25" x14ac:dyDescent="0.2">
      <c r="A26" s="63"/>
      <c r="B26" s="143" t="s">
        <v>747</v>
      </c>
      <c r="C26" s="64">
        <v>71</v>
      </c>
      <c r="D26" s="75" t="s">
        <v>116</v>
      </c>
      <c r="E26" s="134">
        <v>0.15</v>
      </c>
      <c r="F26" s="134">
        <f t="shared" si="1"/>
        <v>10.65</v>
      </c>
      <c r="G26" s="134">
        <f t="shared" si="2"/>
        <v>6.3</v>
      </c>
      <c r="H26" s="135">
        <f t="shared" si="3"/>
        <v>447.3</v>
      </c>
      <c r="I26" s="152">
        <v>2.5</v>
      </c>
      <c r="J26" s="135">
        <f t="shared" si="4"/>
        <v>177.5</v>
      </c>
      <c r="K26" s="136">
        <f t="shared" si="5"/>
        <v>624.79999999999995</v>
      </c>
      <c r="L26" s="135">
        <f t="shared" si="6"/>
        <v>8.7999999999999989</v>
      </c>
      <c r="M26" s="137">
        <f t="shared" si="7"/>
        <v>624.79999999999995</v>
      </c>
      <c r="N26" s="144">
        <v>0</v>
      </c>
      <c r="O26" s="130">
        <f t="shared" si="8"/>
        <v>0</v>
      </c>
      <c r="P26" s="159"/>
      <c r="Q26" s="159"/>
      <c r="R26" s="72" t="s">
        <v>918</v>
      </c>
      <c r="T26" s="413">
        <v>0</v>
      </c>
      <c r="U26" s="204">
        <v>0</v>
      </c>
      <c r="V26" s="72">
        <v>25</v>
      </c>
      <c r="W26" s="413">
        <v>0</v>
      </c>
      <c r="X26" s="204">
        <v>0</v>
      </c>
      <c r="Y26" s="415">
        <v>18</v>
      </c>
      <c r="Z26" s="204">
        <v>0</v>
      </c>
      <c r="AA26" s="204">
        <v>0</v>
      </c>
      <c r="AB26" s="204">
        <v>3</v>
      </c>
    </row>
    <row r="27" spans="1:28" s="72" customFormat="1" ht="14.25" x14ac:dyDescent="0.2">
      <c r="A27" s="63"/>
      <c r="B27" s="143" t="s">
        <v>252</v>
      </c>
      <c r="C27" s="64">
        <v>53</v>
      </c>
      <c r="D27" s="75" t="s">
        <v>116</v>
      </c>
      <c r="E27" s="134">
        <v>0.18</v>
      </c>
      <c r="F27" s="134">
        <f t="shared" si="1"/>
        <v>9.5399999999999991</v>
      </c>
      <c r="G27" s="134">
        <f t="shared" si="2"/>
        <v>7.56</v>
      </c>
      <c r="H27" s="135">
        <f t="shared" si="3"/>
        <v>400.67999999999995</v>
      </c>
      <c r="I27" s="152">
        <v>2.5</v>
      </c>
      <c r="J27" s="135">
        <f t="shared" si="4"/>
        <v>132.5</v>
      </c>
      <c r="K27" s="136">
        <f t="shared" si="5"/>
        <v>533.17999999999995</v>
      </c>
      <c r="L27" s="135">
        <f t="shared" si="6"/>
        <v>10.059999999999999</v>
      </c>
      <c r="M27" s="137">
        <f t="shared" si="7"/>
        <v>533.17999999999995</v>
      </c>
      <c r="N27" s="144">
        <v>0</v>
      </c>
      <c r="O27" s="130">
        <f t="shared" si="8"/>
        <v>0</v>
      </c>
      <c r="P27" s="159"/>
      <c r="Q27" s="159"/>
      <c r="R27" s="72" t="s">
        <v>919</v>
      </c>
      <c r="T27" s="413">
        <v>0</v>
      </c>
      <c r="U27" s="204">
        <v>0</v>
      </c>
      <c r="V27" s="72">
        <v>4</v>
      </c>
      <c r="W27" s="413">
        <v>0</v>
      </c>
      <c r="X27" s="204">
        <v>0</v>
      </c>
      <c r="Y27" s="415">
        <v>0</v>
      </c>
      <c r="Z27" s="204">
        <v>0</v>
      </c>
      <c r="AA27" s="204">
        <v>0</v>
      </c>
      <c r="AB27" s="204">
        <v>2</v>
      </c>
    </row>
    <row r="28" spans="1:28" s="72" customFormat="1" ht="14.25" x14ac:dyDescent="0.2">
      <c r="A28" s="63"/>
      <c r="B28" s="242" t="s">
        <v>255</v>
      </c>
      <c r="C28" s="607">
        <v>34</v>
      </c>
      <c r="D28" s="75" t="s">
        <v>116</v>
      </c>
      <c r="E28" s="134">
        <v>0.15</v>
      </c>
      <c r="F28" s="134">
        <f>C28*E28</f>
        <v>5.0999999999999996</v>
      </c>
      <c r="G28" s="134">
        <f>$H$11*E28</f>
        <v>6.3</v>
      </c>
      <c r="H28" s="135">
        <f>F28*$H$11</f>
        <v>214.2</v>
      </c>
      <c r="I28" s="152">
        <v>3</v>
      </c>
      <c r="J28" s="135">
        <f>C28*I28</f>
        <v>102</v>
      </c>
      <c r="K28" s="136">
        <f>SUM(H28,J28)</f>
        <v>316.2</v>
      </c>
      <c r="L28" s="135">
        <f>K28/C28</f>
        <v>9.2999999999999989</v>
      </c>
      <c r="M28" s="137">
        <f>C28*L28</f>
        <v>316.2</v>
      </c>
      <c r="N28" s="144">
        <v>0</v>
      </c>
      <c r="O28" s="130">
        <f>M28*N28</f>
        <v>0</v>
      </c>
      <c r="P28" s="159"/>
      <c r="Q28" s="159"/>
      <c r="R28" s="72" t="s">
        <v>920</v>
      </c>
      <c r="T28" s="413">
        <v>11</v>
      </c>
      <c r="U28" s="204">
        <v>11</v>
      </c>
      <c r="V28" s="72">
        <v>0</v>
      </c>
      <c r="W28" s="413">
        <v>5</v>
      </c>
      <c r="X28" s="204">
        <v>5</v>
      </c>
      <c r="Y28" s="415">
        <v>0</v>
      </c>
      <c r="Z28" s="204">
        <v>0</v>
      </c>
      <c r="AA28" s="204">
        <v>0</v>
      </c>
      <c r="AB28" s="204">
        <v>0</v>
      </c>
    </row>
    <row r="29" spans="1:28" s="72" customFormat="1" ht="14.25" x14ac:dyDescent="0.2">
      <c r="A29" s="63"/>
      <c r="B29" s="242"/>
      <c r="C29" s="192"/>
      <c r="D29" s="75"/>
      <c r="E29" s="134"/>
      <c r="F29" s="134"/>
      <c r="G29" s="134"/>
      <c r="H29" s="135"/>
      <c r="I29" s="152"/>
      <c r="J29" s="135"/>
      <c r="K29" s="136"/>
      <c r="L29" s="135"/>
      <c r="M29" s="137"/>
      <c r="N29" s="144"/>
      <c r="O29" s="130"/>
      <c r="P29" s="159"/>
      <c r="Q29" s="159"/>
      <c r="R29" s="72" t="s">
        <v>921</v>
      </c>
      <c r="T29" s="413">
        <v>0</v>
      </c>
      <c r="U29" s="204">
        <v>0</v>
      </c>
      <c r="V29" s="72">
        <v>0</v>
      </c>
      <c r="W29" s="413">
        <v>0</v>
      </c>
      <c r="X29" s="204">
        <v>0</v>
      </c>
      <c r="Y29" s="415">
        <v>0</v>
      </c>
      <c r="Z29" s="204">
        <v>0</v>
      </c>
      <c r="AA29" s="204">
        <v>0</v>
      </c>
      <c r="AB29" s="204">
        <v>0</v>
      </c>
    </row>
    <row r="30" spans="1:28" s="72" customFormat="1" ht="14.25" x14ac:dyDescent="0.2">
      <c r="A30" s="63"/>
      <c r="B30" s="143"/>
      <c r="C30" s="64"/>
      <c r="D30" s="75"/>
      <c r="E30" s="134"/>
      <c r="F30" s="134"/>
      <c r="G30" s="134"/>
      <c r="H30" s="135"/>
      <c r="I30" s="152"/>
      <c r="J30" s="135"/>
      <c r="K30" s="136"/>
      <c r="L30" s="135"/>
      <c r="M30" s="137"/>
      <c r="N30" s="144"/>
      <c r="O30" s="130"/>
      <c r="P30" s="159"/>
      <c r="Q30" s="159"/>
      <c r="T30" s="72">
        <v>58</v>
      </c>
      <c r="U30" s="72">
        <v>58</v>
      </c>
      <c r="V30" s="72">
        <v>13</v>
      </c>
      <c r="W30" s="72">
        <v>20</v>
      </c>
      <c r="X30" s="72">
        <v>20</v>
      </c>
      <c r="Y30" s="72">
        <v>0</v>
      </c>
      <c r="Z30" s="72">
        <v>22</v>
      </c>
      <c r="AA30" s="72">
        <v>22</v>
      </c>
      <c r="AB30" s="72">
        <v>4</v>
      </c>
    </row>
    <row r="31" spans="1:28" s="72" customFormat="1" ht="15" x14ac:dyDescent="0.2">
      <c r="A31" s="63"/>
      <c r="B31" s="176" t="s">
        <v>60</v>
      </c>
      <c r="C31" s="64"/>
      <c r="D31" s="75"/>
      <c r="E31" s="134"/>
      <c r="F31" s="134"/>
      <c r="G31" s="134"/>
      <c r="H31" s="135"/>
      <c r="I31" s="152"/>
      <c r="J31" s="135"/>
      <c r="K31" s="136"/>
      <c r="L31" s="135"/>
      <c r="M31" s="137"/>
      <c r="N31" s="144"/>
      <c r="O31" s="130"/>
      <c r="P31" s="159"/>
      <c r="Q31" s="159"/>
    </row>
    <row r="32" spans="1:28" s="72" customFormat="1" ht="14.25" x14ac:dyDescent="0.2">
      <c r="A32" s="63"/>
      <c r="B32" s="143" t="s">
        <v>251</v>
      </c>
      <c r="C32" s="64">
        <v>285</v>
      </c>
      <c r="D32" s="75" t="s">
        <v>151</v>
      </c>
      <c r="E32" s="134">
        <v>0.2</v>
      </c>
      <c r="F32" s="134">
        <f t="shared" si="1"/>
        <v>57</v>
      </c>
      <c r="G32" s="134">
        <f t="shared" si="2"/>
        <v>8.4</v>
      </c>
      <c r="H32" s="135">
        <f t="shared" si="3"/>
        <v>2394</v>
      </c>
      <c r="I32" s="152">
        <v>0.95</v>
      </c>
      <c r="J32" s="135">
        <f t="shared" si="4"/>
        <v>270.75</v>
      </c>
      <c r="K32" s="136">
        <f t="shared" si="5"/>
        <v>2664.75</v>
      </c>
      <c r="L32" s="135">
        <f t="shared" si="6"/>
        <v>9.35</v>
      </c>
      <c r="M32" s="137">
        <f t="shared" si="7"/>
        <v>2664.75</v>
      </c>
      <c r="N32" s="144">
        <v>0</v>
      </c>
      <c r="O32" s="130">
        <f t="shared" si="8"/>
        <v>0</v>
      </c>
      <c r="P32" s="159"/>
      <c r="Q32" s="159"/>
    </row>
    <row r="33" spans="1:17" s="72" customFormat="1" ht="14.25" x14ac:dyDescent="0.2">
      <c r="A33" s="63"/>
      <c r="B33" s="143" t="s">
        <v>253</v>
      </c>
      <c r="C33" s="64">
        <v>4</v>
      </c>
      <c r="D33" s="75" t="s">
        <v>151</v>
      </c>
      <c r="E33" s="134">
        <v>0.25</v>
      </c>
      <c r="F33" s="134">
        <f t="shared" si="1"/>
        <v>1</v>
      </c>
      <c r="G33" s="134">
        <f t="shared" si="2"/>
        <v>10.5</v>
      </c>
      <c r="H33" s="135">
        <f t="shared" si="3"/>
        <v>42</v>
      </c>
      <c r="I33" s="152">
        <v>0.95</v>
      </c>
      <c r="J33" s="135">
        <f t="shared" si="4"/>
        <v>3.8</v>
      </c>
      <c r="K33" s="136">
        <f t="shared" si="5"/>
        <v>45.8</v>
      </c>
      <c r="L33" s="135">
        <f t="shared" si="6"/>
        <v>11.45</v>
      </c>
      <c r="M33" s="137">
        <f t="shared" si="7"/>
        <v>45.8</v>
      </c>
      <c r="N33" s="144">
        <v>0</v>
      </c>
      <c r="O33" s="130">
        <f t="shared" si="8"/>
        <v>0</v>
      </c>
      <c r="P33" s="159"/>
      <c r="Q33" s="159"/>
    </row>
    <row r="34" spans="1:17" s="72" customFormat="1" ht="14.25" x14ac:dyDescent="0.2">
      <c r="A34" s="63"/>
      <c r="B34" s="175" t="s">
        <v>747</v>
      </c>
      <c r="C34" s="64">
        <v>192</v>
      </c>
      <c r="D34" s="75" t="s">
        <v>116</v>
      </c>
      <c r="E34" s="134">
        <v>0.15</v>
      </c>
      <c r="F34" s="134">
        <f t="shared" si="1"/>
        <v>28.799999999999997</v>
      </c>
      <c r="G34" s="134">
        <f t="shared" si="2"/>
        <v>6.3</v>
      </c>
      <c r="H34" s="135">
        <f t="shared" si="3"/>
        <v>1209.5999999999999</v>
      </c>
      <c r="I34" s="152">
        <v>2.5</v>
      </c>
      <c r="J34" s="135">
        <f t="shared" si="4"/>
        <v>480</v>
      </c>
      <c r="K34" s="136">
        <f t="shared" si="5"/>
        <v>1689.6</v>
      </c>
      <c r="L34" s="135">
        <f t="shared" si="6"/>
        <v>8.7999999999999989</v>
      </c>
      <c r="M34" s="137">
        <f t="shared" si="7"/>
        <v>1689.6</v>
      </c>
      <c r="N34" s="144">
        <v>0</v>
      </c>
      <c r="O34" s="130">
        <f t="shared" si="8"/>
        <v>0</v>
      </c>
      <c r="P34" s="159"/>
      <c r="Q34" s="159"/>
    </row>
    <row r="35" spans="1:17" s="72" customFormat="1" ht="14.25" x14ac:dyDescent="0.2">
      <c r="A35" s="63"/>
      <c r="B35" s="143" t="s">
        <v>252</v>
      </c>
      <c r="C35" s="64">
        <v>152</v>
      </c>
      <c r="D35" s="75" t="s">
        <v>116</v>
      </c>
      <c r="E35" s="134">
        <v>0.18</v>
      </c>
      <c r="F35" s="134">
        <f t="shared" si="1"/>
        <v>27.36</v>
      </c>
      <c r="G35" s="134">
        <f t="shared" si="2"/>
        <v>7.56</v>
      </c>
      <c r="H35" s="135">
        <f t="shared" si="3"/>
        <v>1149.1199999999999</v>
      </c>
      <c r="I35" s="152">
        <v>2.5</v>
      </c>
      <c r="J35" s="135">
        <f t="shared" si="4"/>
        <v>380</v>
      </c>
      <c r="K35" s="136">
        <f t="shared" si="5"/>
        <v>1529.12</v>
      </c>
      <c r="L35" s="135">
        <f t="shared" si="6"/>
        <v>10.059999999999999</v>
      </c>
      <c r="M35" s="137">
        <f t="shared" si="7"/>
        <v>1529.12</v>
      </c>
      <c r="N35" s="144">
        <v>0</v>
      </c>
      <c r="O35" s="130">
        <f t="shared" si="8"/>
        <v>0</v>
      </c>
      <c r="P35" s="159"/>
      <c r="Q35" s="159"/>
    </row>
    <row r="36" spans="1:17" s="72" customFormat="1" ht="14.25" x14ac:dyDescent="0.2">
      <c r="A36" s="63"/>
      <c r="B36" s="242" t="s">
        <v>746</v>
      </c>
      <c r="C36" s="64">
        <v>70</v>
      </c>
      <c r="D36" s="75" t="s">
        <v>116</v>
      </c>
      <c r="E36" s="134">
        <v>0.15</v>
      </c>
      <c r="F36" s="134">
        <f>C36*E36</f>
        <v>10.5</v>
      </c>
      <c r="G36" s="134">
        <f>$H$11*E36</f>
        <v>6.3</v>
      </c>
      <c r="H36" s="135">
        <f>F36*$H$11</f>
        <v>441</v>
      </c>
      <c r="I36" s="152">
        <v>3</v>
      </c>
      <c r="J36" s="135">
        <f>C36*I36</f>
        <v>210</v>
      </c>
      <c r="K36" s="136">
        <f>SUM(H36,J36)</f>
        <v>651</v>
      </c>
      <c r="L36" s="135">
        <f>K36/C36</f>
        <v>9.3000000000000007</v>
      </c>
      <c r="M36" s="137">
        <f>C36*L36</f>
        <v>651</v>
      </c>
      <c r="N36" s="144">
        <v>0</v>
      </c>
      <c r="O36" s="130">
        <f>M36*N36</f>
        <v>0</v>
      </c>
      <c r="P36" s="159"/>
      <c r="Q36" s="159"/>
    </row>
    <row r="37" spans="1:17" s="72" customFormat="1" ht="14.25" x14ac:dyDescent="0.2">
      <c r="A37" s="63"/>
      <c r="B37" s="242" t="s">
        <v>255</v>
      </c>
      <c r="C37" s="195">
        <v>13</v>
      </c>
      <c r="D37" s="75" t="s">
        <v>116</v>
      </c>
      <c r="E37" s="134">
        <v>0.15</v>
      </c>
      <c r="F37" s="134">
        <f>C37*E37</f>
        <v>1.95</v>
      </c>
      <c r="G37" s="134">
        <f>$H$11*E37</f>
        <v>6.3</v>
      </c>
      <c r="H37" s="135">
        <f>F37*$H$11</f>
        <v>81.899999999999991</v>
      </c>
      <c r="I37" s="152">
        <v>3</v>
      </c>
      <c r="J37" s="135">
        <f>C37*I37</f>
        <v>39</v>
      </c>
      <c r="K37" s="136">
        <f>SUM(H37,J37)</f>
        <v>120.89999999999999</v>
      </c>
      <c r="L37" s="135">
        <f>K37/C37</f>
        <v>9.2999999999999989</v>
      </c>
      <c r="M37" s="137">
        <f>C37*L37</f>
        <v>120.89999999999999</v>
      </c>
      <c r="N37" s="144">
        <v>0</v>
      </c>
      <c r="O37" s="130">
        <f>M37*N37</f>
        <v>0</v>
      </c>
      <c r="P37" s="159"/>
      <c r="Q37" s="159"/>
    </row>
    <row r="38" spans="1:17" s="72" customFormat="1" ht="14.25" x14ac:dyDescent="0.2">
      <c r="A38" s="63"/>
      <c r="B38" s="175" t="s">
        <v>250</v>
      </c>
      <c r="C38" s="64">
        <v>9</v>
      </c>
      <c r="D38" s="75" t="s">
        <v>116</v>
      </c>
      <c r="E38" s="134">
        <v>0.15</v>
      </c>
      <c r="F38" s="134">
        <f t="shared" si="1"/>
        <v>1.3499999999999999</v>
      </c>
      <c r="G38" s="134">
        <f t="shared" si="2"/>
        <v>6.3</v>
      </c>
      <c r="H38" s="135">
        <f t="shared" si="3"/>
        <v>56.699999999999996</v>
      </c>
      <c r="I38" s="152">
        <v>1.4</v>
      </c>
      <c r="J38" s="135">
        <f t="shared" si="4"/>
        <v>12.6</v>
      </c>
      <c r="K38" s="136">
        <f t="shared" si="5"/>
        <v>69.3</v>
      </c>
      <c r="L38" s="135">
        <f t="shared" si="6"/>
        <v>7.6999999999999993</v>
      </c>
      <c r="M38" s="137">
        <f t="shared" si="7"/>
        <v>69.3</v>
      </c>
      <c r="N38" s="144">
        <v>0</v>
      </c>
      <c r="O38" s="130">
        <f t="shared" si="8"/>
        <v>0</v>
      </c>
      <c r="P38" s="159"/>
      <c r="Q38" s="159"/>
    </row>
    <row r="39" spans="1:17" s="72" customFormat="1" ht="14.25" x14ac:dyDescent="0.2">
      <c r="A39" s="63"/>
      <c r="B39" s="175" t="s">
        <v>249</v>
      </c>
      <c r="C39" s="64">
        <v>327</v>
      </c>
      <c r="D39" s="75" t="s">
        <v>116</v>
      </c>
      <c r="E39" s="134">
        <v>0.15</v>
      </c>
      <c r="F39" s="134">
        <f t="shared" si="1"/>
        <v>49.05</v>
      </c>
      <c r="G39" s="134">
        <f t="shared" si="2"/>
        <v>6.3</v>
      </c>
      <c r="H39" s="135">
        <f t="shared" si="3"/>
        <v>2060.1</v>
      </c>
      <c r="I39" s="152">
        <v>1.4</v>
      </c>
      <c r="J39" s="135">
        <f t="shared" si="4"/>
        <v>457.79999999999995</v>
      </c>
      <c r="K39" s="136">
        <f t="shared" si="5"/>
        <v>2517.8999999999996</v>
      </c>
      <c r="L39" s="135">
        <f t="shared" si="6"/>
        <v>7.6999999999999993</v>
      </c>
      <c r="M39" s="137">
        <f t="shared" si="7"/>
        <v>2517.8999999999996</v>
      </c>
      <c r="N39" s="144">
        <v>0</v>
      </c>
      <c r="O39" s="130">
        <f t="shared" si="8"/>
        <v>0</v>
      </c>
      <c r="P39" s="159"/>
      <c r="Q39" s="159"/>
    </row>
    <row r="40" spans="1:17" s="72" customFormat="1" ht="14.25" x14ac:dyDescent="0.2">
      <c r="A40" s="63"/>
      <c r="B40" s="175" t="s">
        <v>712</v>
      </c>
      <c r="C40" s="64">
        <v>17</v>
      </c>
      <c r="D40" s="75" t="s">
        <v>116</v>
      </c>
      <c r="E40" s="134">
        <v>0.4</v>
      </c>
      <c r="F40" s="134">
        <f>C40*E40</f>
        <v>6.8000000000000007</v>
      </c>
      <c r="G40" s="134">
        <f>$H$11*E40</f>
        <v>16.8</v>
      </c>
      <c r="H40" s="135">
        <f>F40*$H$11</f>
        <v>285.60000000000002</v>
      </c>
      <c r="I40" s="152">
        <v>15</v>
      </c>
      <c r="J40" s="135">
        <f>C40*I40</f>
        <v>255</v>
      </c>
      <c r="K40" s="136">
        <f>SUM(H40,J40)</f>
        <v>540.6</v>
      </c>
      <c r="L40" s="135">
        <f>K40/C40</f>
        <v>31.8</v>
      </c>
      <c r="M40" s="137">
        <f>C40*L40</f>
        <v>540.6</v>
      </c>
      <c r="N40" s="144">
        <v>0</v>
      </c>
      <c r="O40" s="130">
        <f>M40*N40</f>
        <v>0</v>
      </c>
      <c r="P40" s="159"/>
      <c r="Q40" s="159"/>
    </row>
    <row r="41" spans="1:17" s="72" customFormat="1" ht="14.25" x14ac:dyDescent="0.2">
      <c r="A41" s="63"/>
      <c r="B41" s="143"/>
      <c r="C41" s="64"/>
      <c r="D41" s="75"/>
      <c r="E41" s="134"/>
      <c r="F41" s="134"/>
      <c r="G41" s="134"/>
      <c r="H41" s="135"/>
      <c r="I41" s="152"/>
      <c r="J41" s="135"/>
      <c r="K41" s="136"/>
      <c r="L41" s="194"/>
      <c r="M41" s="137"/>
      <c r="N41" s="144"/>
      <c r="O41" s="130"/>
      <c r="P41" s="159"/>
      <c r="Q41" s="159"/>
    </row>
    <row r="42" spans="1:17" s="72" customFormat="1" ht="14.25" x14ac:dyDescent="0.2">
      <c r="A42" s="63"/>
      <c r="B42" s="143"/>
      <c r="C42" s="64"/>
      <c r="D42" s="75"/>
      <c r="E42" s="134"/>
      <c r="F42" s="134"/>
      <c r="G42" s="134"/>
      <c r="H42" s="135"/>
      <c r="I42" s="152"/>
      <c r="J42" s="135"/>
      <c r="K42" s="136"/>
      <c r="L42" s="194"/>
      <c r="M42" s="137"/>
      <c r="N42" s="144"/>
      <c r="O42" s="130"/>
      <c r="P42" s="159"/>
      <c r="Q42" s="159"/>
    </row>
    <row r="43" spans="1:17" s="72" customFormat="1" ht="14.25" x14ac:dyDescent="0.2">
      <c r="A43" s="63"/>
      <c r="B43" s="180" t="s">
        <v>65</v>
      </c>
      <c r="C43" s="64"/>
      <c r="D43" s="75"/>
      <c r="E43" s="134"/>
      <c r="F43" s="134"/>
      <c r="G43" s="134"/>
      <c r="H43" s="135"/>
      <c r="I43" s="152"/>
      <c r="J43" s="135"/>
      <c r="K43" s="136"/>
      <c r="L43" s="194"/>
      <c r="M43" s="137"/>
      <c r="N43" s="144"/>
      <c r="O43" s="130"/>
      <c r="P43" s="159"/>
      <c r="Q43" s="159"/>
    </row>
    <row r="44" spans="1:17" s="72" customFormat="1" ht="14.25" x14ac:dyDescent="0.2">
      <c r="A44" s="63"/>
      <c r="B44" s="121"/>
      <c r="C44" s="64"/>
      <c r="D44" s="75"/>
      <c r="E44" s="128"/>
      <c r="F44" s="129"/>
      <c r="G44" s="129"/>
      <c r="H44" s="129"/>
      <c r="I44" s="153"/>
      <c r="J44" s="128"/>
      <c r="K44" s="128"/>
      <c r="L44" s="179"/>
      <c r="M44" s="120"/>
      <c r="N44" s="126"/>
      <c r="O44" s="127"/>
      <c r="P44" s="159"/>
      <c r="Q44" s="159"/>
    </row>
    <row r="45" spans="1:17" s="72" customFormat="1" ht="15" x14ac:dyDescent="0.2">
      <c r="A45" s="63"/>
      <c r="B45" s="176" t="s">
        <v>58</v>
      </c>
      <c r="C45" s="64"/>
      <c r="D45" s="75"/>
      <c r="E45" s="128"/>
      <c r="F45" s="129"/>
      <c r="G45" s="129"/>
      <c r="H45" s="129"/>
      <c r="I45" s="153"/>
      <c r="J45" s="128"/>
      <c r="K45" s="128"/>
      <c r="L45" s="179"/>
      <c r="M45" s="120"/>
      <c r="N45" s="126"/>
      <c r="O45" s="127"/>
      <c r="P45" s="159"/>
      <c r="Q45" s="159"/>
    </row>
    <row r="46" spans="1:17" s="72" customFormat="1" ht="14.25" x14ac:dyDescent="0.2">
      <c r="A46" s="63"/>
      <c r="B46" s="143" t="s">
        <v>333</v>
      </c>
      <c r="C46" s="64">
        <f>'Gib Linings'!P56</f>
        <v>878</v>
      </c>
      <c r="D46" s="75" t="s">
        <v>151</v>
      </c>
      <c r="E46" s="134">
        <v>0.2</v>
      </c>
      <c r="F46" s="134">
        <f>C46*E46</f>
        <v>175.60000000000002</v>
      </c>
      <c r="G46" s="134">
        <f>$H$11*E46</f>
        <v>8.4</v>
      </c>
      <c r="H46" s="135">
        <f>F46*$H$11</f>
        <v>7375.2000000000007</v>
      </c>
      <c r="I46" s="152">
        <v>0.95</v>
      </c>
      <c r="J46" s="135">
        <f>C46*I46</f>
        <v>834.09999999999991</v>
      </c>
      <c r="K46" s="136">
        <f>SUM(H46,J46)</f>
        <v>8209.3000000000011</v>
      </c>
      <c r="L46" s="135">
        <f>K46/C46</f>
        <v>9.3500000000000014</v>
      </c>
      <c r="M46" s="137">
        <f>C46*L46</f>
        <v>8209.3000000000011</v>
      </c>
      <c r="N46" s="144">
        <v>0</v>
      </c>
      <c r="O46" s="130">
        <f>M46*N46</f>
        <v>0</v>
      </c>
      <c r="P46" s="159"/>
      <c r="Q46" s="159"/>
    </row>
    <row r="47" spans="1:17" s="72" customFormat="1" ht="14.25" x14ac:dyDescent="0.2">
      <c r="A47" s="63"/>
      <c r="B47" s="175" t="s">
        <v>334</v>
      </c>
      <c r="C47" s="64">
        <f>'Gib Linings'!P57</f>
        <v>31</v>
      </c>
      <c r="D47" s="75" t="s">
        <v>151</v>
      </c>
      <c r="E47" s="134">
        <v>0.25</v>
      </c>
      <c r="F47" s="134">
        <f>C47*E47</f>
        <v>7.75</v>
      </c>
      <c r="G47" s="134">
        <f>$H$11*E47</f>
        <v>10.5</v>
      </c>
      <c r="H47" s="135">
        <f>F47*$H$11</f>
        <v>325.5</v>
      </c>
      <c r="I47" s="152">
        <v>0.95</v>
      </c>
      <c r="J47" s="135">
        <f>C47*I47</f>
        <v>29.45</v>
      </c>
      <c r="K47" s="136">
        <f>SUM(H47,J47)</f>
        <v>354.95</v>
      </c>
      <c r="L47" s="135">
        <f>K47/C47</f>
        <v>11.45</v>
      </c>
      <c r="M47" s="137">
        <f>C47*L47</f>
        <v>354.95</v>
      </c>
      <c r="N47" s="144">
        <v>0</v>
      </c>
      <c r="O47" s="130">
        <f>M47*N47</f>
        <v>0</v>
      </c>
      <c r="P47" s="159"/>
      <c r="Q47" s="159"/>
    </row>
    <row r="48" spans="1:17" s="72" customFormat="1" ht="14.25" x14ac:dyDescent="0.2">
      <c r="A48" s="63"/>
      <c r="B48" s="175" t="s">
        <v>335</v>
      </c>
      <c r="C48" s="64">
        <v>101</v>
      </c>
      <c r="D48" s="75" t="s">
        <v>116</v>
      </c>
      <c r="E48" s="134">
        <v>0.15</v>
      </c>
      <c r="F48" s="134">
        <f>C48*E48</f>
        <v>15.149999999999999</v>
      </c>
      <c r="G48" s="134">
        <f>$H$11*E48</f>
        <v>6.3</v>
      </c>
      <c r="H48" s="135">
        <f>F48*$H$11</f>
        <v>636.29999999999995</v>
      </c>
      <c r="I48" s="152">
        <v>2.5</v>
      </c>
      <c r="J48" s="135">
        <f>C48*I48</f>
        <v>252.5</v>
      </c>
      <c r="K48" s="136">
        <f>SUM(H48,J48)</f>
        <v>888.8</v>
      </c>
      <c r="L48" s="135">
        <f>K48/C48</f>
        <v>8.7999999999999989</v>
      </c>
      <c r="M48" s="137">
        <f>C48*L48</f>
        <v>888.79999999999984</v>
      </c>
      <c r="N48" s="144">
        <v>0</v>
      </c>
      <c r="O48" s="130">
        <f>M48*N48</f>
        <v>0</v>
      </c>
      <c r="P48" s="159"/>
      <c r="Q48" s="159"/>
    </row>
    <row r="49" spans="1:17" s="72" customFormat="1" ht="14.25" x14ac:dyDescent="0.2">
      <c r="A49" s="63"/>
      <c r="B49" s="175" t="s">
        <v>521</v>
      </c>
      <c r="C49" s="64">
        <v>165</v>
      </c>
      <c r="D49" s="75" t="s">
        <v>116</v>
      </c>
      <c r="E49" s="134">
        <v>0.15</v>
      </c>
      <c r="F49" s="134">
        <f>C49*E49</f>
        <v>24.75</v>
      </c>
      <c r="G49" s="134">
        <f>$H$11*E49</f>
        <v>6.3</v>
      </c>
      <c r="H49" s="135">
        <f>F49*$H$11</f>
        <v>1039.5</v>
      </c>
      <c r="I49" s="152">
        <v>2.5</v>
      </c>
      <c r="J49" s="135">
        <f>C49*I49</f>
        <v>412.5</v>
      </c>
      <c r="K49" s="136">
        <f>SUM(H49,J49)</f>
        <v>1452</v>
      </c>
      <c r="L49" s="135">
        <f>K49/C49</f>
        <v>8.8000000000000007</v>
      </c>
      <c r="M49" s="137">
        <f>C49*L49</f>
        <v>1452.0000000000002</v>
      </c>
      <c r="N49" s="144">
        <v>0</v>
      </c>
      <c r="O49" s="130">
        <f>M49*N49</f>
        <v>0</v>
      </c>
      <c r="P49" s="159"/>
      <c r="Q49" s="159"/>
    </row>
    <row r="50" spans="1:17" s="72" customFormat="1" ht="14.25" x14ac:dyDescent="0.2">
      <c r="A50" s="63"/>
      <c r="B50" s="175"/>
      <c r="C50" s="64"/>
      <c r="D50" s="75"/>
      <c r="E50" s="134"/>
      <c r="F50" s="134"/>
      <c r="G50" s="134"/>
      <c r="H50" s="135"/>
      <c r="I50" s="152"/>
      <c r="J50" s="135"/>
      <c r="K50" s="136"/>
      <c r="L50" s="135"/>
      <c r="M50" s="137"/>
      <c r="N50" s="144"/>
      <c r="O50" s="130"/>
      <c r="P50" s="159"/>
      <c r="Q50" s="159"/>
    </row>
    <row r="51" spans="1:17" s="72" customFormat="1" ht="14.25" x14ac:dyDescent="0.2">
      <c r="A51" s="63"/>
      <c r="B51" s="143" t="s">
        <v>870</v>
      </c>
      <c r="C51" s="64">
        <v>13</v>
      </c>
      <c r="D51" s="75" t="s">
        <v>148</v>
      </c>
      <c r="E51" s="134">
        <v>0</v>
      </c>
      <c r="F51" s="134">
        <f>C51*E51</f>
        <v>0</v>
      </c>
      <c r="G51" s="134">
        <f>$H$11*E51</f>
        <v>0</v>
      </c>
      <c r="H51" s="135">
        <f>F51*$H$11</f>
        <v>0</v>
      </c>
      <c r="I51" s="152">
        <v>165</v>
      </c>
      <c r="J51" s="135">
        <f>C51*I51</f>
        <v>2145</v>
      </c>
      <c r="K51" s="136">
        <f>SUM(H51,J51)</f>
        <v>2145</v>
      </c>
      <c r="L51" s="135">
        <f>K51/C51</f>
        <v>165</v>
      </c>
      <c r="M51" s="137">
        <f>C51*L51</f>
        <v>2145</v>
      </c>
      <c r="N51" s="144">
        <v>0</v>
      </c>
      <c r="O51" s="130">
        <f>M51*N51</f>
        <v>0</v>
      </c>
      <c r="P51" s="159"/>
      <c r="Q51" s="550"/>
    </row>
    <row r="52" spans="1:17" s="72" customFormat="1" ht="14.25" x14ac:dyDescent="0.2">
      <c r="A52" s="63"/>
      <c r="B52" s="175"/>
      <c r="C52" s="64"/>
      <c r="D52" s="75"/>
      <c r="E52" s="134"/>
      <c r="F52" s="134"/>
      <c r="G52" s="134"/>
      <c r="H52" s="135"/>
      <c r="I52" s="152"/>
      <c r="J52" s="135"/>
      <c r="K52" s="136"/>
      <c r="L52" s="135"/>
      <c r="M52" s="137"/>
      <c r="N52" s="144"/>
      <c r="O52" s="130"/>
      <c r="P52" s="159"/>
      <c r="Q52" s="159"/>
    </row>
    <row r="53" spans="1:17" s="72" customFormat="1" ht="14.25" x14ac:dyDescent="0.2">
      <c r="A53" s="63"/>
      <c r="B53" s="143"/>
      <c r="C53" s="64"/>
      <c r="D53" s="75"/>
      <c r="E53" s="134"/>
      <c r="F53" s="134"/>
      <c r="G53" s="134"/>
      <c r="H53" s="135"/>
      <c r="I53" s="152"/>
      <c r="J53" s="135"/>
      <c r="K53" s="136"/>
      <c r="L53" s="135"/>
      <c r="M53" s="137"/>
      <c r="N53" s="144"/>
      <c r="O53" s="130"/>
      <c r="P53" s="159"/>
      <c r="Q53" s="159"/>
    </row>
    <row r="54" spans="1:17" s="72" customFormat="1" ht="15" x14ac:dyDescent="0.2">
      <c r="A54" s="63"/>
      <c r="B54" s="176" t="s">
        <v>59</v>
      </c>
      <c r="C54" s="64"/>
      <c r="D54" s="75"/>
      <c r="E54" s="128"/>
      <c r="F54" s="129"/>
      <c r="G54" s="129"/>
      <c r="H54" s="129"/>
      <c r="I54" s="153"/>
      <c r="J54" s="128"/>
      <c r="K54" s="128"/>
      <c r="L54" s="128"/>
      <c r="M54" s="120"/>
      <c r="N54" s="126"/>
      <c r="O54" s="127"/>
      <c r="P54" s="159"/>
      <c r="Q54" s="159"/>
    </row>
    <row r="55" spans="1:17" s="72" customFormat="1" ht="14.25" x14ac:dyDescent="0.2">
      <c r="A55" s="63"/>
      <c r="B55" s="143" t="s">
        <v>333</v>
      </c>
      <c r="C55" s="64">
        <f>'Gib Linings'!P105</f>
        <v>762</v>
      </c>
      <c r="D55" s="75" t="s">
        <v>151</v>
      </c>
      <c r="E55" s="134">
        <v>0.2</v>
      </c>
      <c r="F55" s="134">
        <f>C55*E55</f>
        <v>152.4</v>
      </c>
      <c r="G55" s="134">
        <f>$H$11*E55</f>
        <v>8.4</v>
      </c>
      <c r="H55" s="135">
        <f>F55*$H$11</f>
        <v>6400.8</v>
      </c>
      <c r="I55" s="152">
        <v>0.95</v>
      </c>
      <c r="J55" s="135">
        <f>C55*I55</f>
        <v>723.9</v>
      </c>
      <c r="K55" s="136">
        <f>SUM(H55,J55)</f>
        <v>7124.7</v>
      </c>
      <c r="L55" s="135">
        <f>K55/C55</f>
        <v>9.35</v>
      </c>
      <c r="M55" s="137">
        <f>C55*L55</f>
        <v>7124.7</v>
      </c>
      <c r="N55" s="144">
        <v>0</v>
      </c>
      <c r="O55" s="130">
        <f>M55*N55</f>
        <v>0</v>
      </c>
      <c r="P55" s="159"/>
      <c r="Q55" s="159"/>
    </row>
    <row r="56" spans="1:17" s="72" customFormat="1" ht="14.25" x14ac:dyDescent="0.2">
      <c r="A56" s="63"/>
      <c r="B56" s="175" t="s">
        <v>334</v>
      </c>
      <c r="C56" s="64">
        <f>'Gib Linings'!P106</f>
        <v>25</v>
      </c>
      <c r="D56" s="75" t="s">
        <v>151</v>
      </c>
      <c r="E56" s="134">
        <v>0.25</v>
      </c>
      <c r="F56" s="134">
        <f>C56*E56</f>
        <v>6.25</v>
      </c>
      <c r="G56" s="134">
        <f>$H$11*E56</f>
        <v>10.5</v>
      </c>
      <c r="H56" s="135">
        <f>F56*$H$11</f>
        <v>262.5</v>
      </c>
      <c r="I56" s="152">
        <v>0.95</v>
      </c>
      <c r="J56" s="135">
        <f>C56*I56</f>
        <v>23.75</v>
      </c>
      <c r="K56" s="136">
        <f>SUM(H56,J56)</f>
        <v>286.25</v>
      </c>
      <c r="L56" s="135">
        <f>K56/C56</f>
        <v>11.45</v>
      </c>
      <c r="M56" s="137">
        <f>C56*L56</f>
        <v>286.25</v>
      </c>
      <c r="N56" s="144">
        <v>0</v>
      </c>
      <c r="O56" s="130">
        <f>M56*N56</f>
        <v>0</v>
      </c>
      <c r="P56" s="159"/>
      <c r="Q56" s="159"/>
    </row>
    <row r="57" spans="1:17" s="72" customFormat="1" ht="14.25" x14ac:dyDescent="0.2">
      <c r="A57" s="63"/>
      <c r="B57" s="175" t="s">
        <v>335</v>
      </c>
      <c r="C57" s="64">
        <v>99</v>
      </c>
      <c r="D57" s="75" t="s">
        <v>116</v>
      </c>
      <c r="E57" s="134">
        <v>0.15</v>
      </c>
      <c r="F57" s="134">
        <f>C57*E57</f>
        <v>14.85</v>
      </c>
      <c r="G57" s="134">
        <f>$H$11*E57</f>
        <v>6.3</v>
      </c>
      <c r="H57" s="135">
        <f>F57*$H$11</f>
        <v>623.69999999999993</v>
      </c>
      <c r="I57" s="152">
        <v>2.5</v>
      </c>
      <c r="J57" s="135">
        <f>C57*I57</f>
        <v>247.5</v>
      </c>
      <c r="K57" s="136">
        <f>SUM(H57,J57)</f>
        <v>871.19999999999993</v>
      </c>
      <c r="L57" s="135">
        <f>K57/C57</f>
        <v>8.7999999999999989</v>
      </c>
      <c r="M57" s="137">
        <f>C57*L57</f>
        <v>871.19999999999993</v>
      </c>
      <c r="N57" s="144">
        <v>0</v>
      </c>
      <c r="O57" s="130">
        <f>M57*N57</f>
        <v>0</v>
      </c>
      <c r="P57" s="159"/>
      <c r="Q57" s="159"/>
    </row>
    <row r="58" spans="1:17" s="72" customFormat="1" ht="14.25" x14ac:dyDescent="0.2">
      <c r="A58" s="63"/>
      <c r="B58" s="242" t="s">
        <v>521</v>
      </c>
      <c r="C58" s="64">
        <v>130</v>
      </c>
      <c r="D58" s="75" t="s">
        <v>116</v>
      </c>
      <c r="E58" s="134">
        <v>0.15</v>
      </c>
      <c r="F58" s="134">
        <f>C58*E58</f>
        <v>19.5</v>
      </c>
      <c r="G58" s="134">
        <f>$H$11*E58</f>
        <v>6.3</v>
      </c>
      <c r="H58" s="135">
        <f>F58*$H$11</f>
        <v>819</v>
      </c>
      <c r="I58" s="152">
        <v>2.5</v>
      </c>
      <c r="J58" s="135">
        <f>C58*I58</f>
        <v>325</v>
      </c>
      <c r="K58" s="136">
        <f>SUM(H58,J58)</f>
        <v>1144</v>
      </c>
      <c r="L58" s="135">
        <f>K58/C58</f>
        <v>8.8000000000000007</v>
      </c>
      <c r="M58" s="137">
        <f>C58*L58</f>
        <v>1144</v>
      </c>
      <c r="N58" s="144">
        <v>0</v>
      </c>
      <c r="O58" s="130">
        <f>M58*N58</f>
        <v>0</v>
      </c>
      <c r="P58" s="159"/>
      <c r="Q58" s="550"/>
    </row>
    <row r="59" spans="1:17" s="72" customFormat="1" ht="14.25" x14ac:dyDescent="0.2">
      <c r="A59" s="63"/>
      <c r="B59" s="242"/>
      <c r="C59" s="64"/>
      <c r="D59" s="75"/>
      <c r="E59" s="134"/>
      <c r="F59" s="134"/>
      <c r="G59" s="134"/>
      <c r="H59" s="135"/>
      <c r="I59" s="152"/>
      <c r="J59" s="135"/>
      <c r="K59" s="136"/>
      <c r="L59" s="135"/>
      <c r="M59" s="137"/>
      <c r="N59" s="144"/>
      <c r="O59" s="130"/>
      <c r="P59" s="159"/>
      <c r="Q59" s="550"/>
    </row>
    <row r="60" spans="1:17" s="72" customFormat="1" ht="14.25" x14ac:dyDescent="0.2">
      <c r="A60" s="63"/>
      <c r="B60" s="143" t="s">
        <v>870</v>
      </c>
      <c r="C60" s="64">
        <v>19</v>
      </c>
      <c r="D60" s="75" t="s">
        <v>148</v>
      </c>
      <c r="E60" s="134">
        <v>0</v>
      </c>
      <c r="F60" s="134">
        <f>C60*E60</f>
        <v>0</v>
      </c>
      <c r="G60" s="134">
        <f>$H$11*E60</f>
        <v>0</v>
      </c>
      <c r="H60" s="135">
        <f>F60*$H$11</f>
        <v>0</v>
      </c>
      <c r="I60" s="152">
        <v>165</v>
      </c>
      <c r="J60" s="135">
        <f>C60*I60</f>
        <v>3135</v>
      </c>
      <c r="K60" s="136">
        <f>SUM(H60,J60)</f>
        <v>3135</v>
      </c>
      <c r="L60" s="135">
        <f>K60/C60</f>
        <v>165</v>
      </c>
      <c r="M60" s="137">
        <f>C60*L60</f>
        <v>3135</v>
      </c>
      <c r="N60" s="144">
        <v>0</v>
      </c>
      <c r="O60" s="130">
        <f>M60*N60</f>
        <v>0</v>
      </c>
      <c r="P60" s="159"/>
      <c r="Q60" s="550"/>
    </row>
    <row r="61" spans="1:17" s="72" customFormat="1" ht="14.25" x14ac:dyDescent="0.2">
      <c r="A61" s="63"/>
      <c r="B61" s="175"/>
      <c r="C61" s="64"/>
      <c r="D61" s="75"/>
      <c r="E61" s="134"/>
      <c r="F61" s="134"/>
      <c r="G61" s="134"/>
      <c r="H61" s="135"/>
      <c r="I61" s="152"/>
      <c r="J61" s="135"/>
      <c r="K61" s="136"/>
      <c r="L61" s="135"/>
      <c r="M61" s="137"/>
      <c r="N61" s="144"/>
      <c r="O61" s="130"/>
      <c r="P61" s="159"/>
      <c r="Q61" s="159"/>
    </row>
    <row r="62" spans="1:17" s="72" customFormat="1" ht="14.25" x14ac:dyDescent="0.2">
      <c r="A62" s="63"/>
      <c r="B62" s="143"/>
      <c r="C62" s="64"/>
      <c r="D62" s="75"/>
      <c r="E62" s="134"/>
      <c r="F62" s="134"/>
      <c r="G62" s="134"/>
      <c r="H62" s="135"/>
      <c r="I62" s="152"/>
      <c r="J62" s="135"/>
      <c r="K62" s="136"/>
      <c r="L62" s="135"/>
      <c r="M62" s="137"/>
      <c r="N62" s="144"/>
      <c r="O62" s="130"/>
      <c r="P62" s="159"/>
      <c r="Q62" s="159"/>
    </row>
    <row r="63" spans="1:17" s="72" customFormat="1" ht="15" x14ac:dyDescent="0.2">
      <c r="A63" s="63"/>
      <c r="B63" s="176" t="s">
        <v>60</v>
      </c>
      <c r="C63" s="64"/>
      <c r="D63" s="75"/>
      <c r="E63" s="134"/>
      <c r="F63" s="134"/>
      <c r="G63" s="134"/>
      <c r="H63" s="135"/>
      <c r="I63" s="152"/>
      <c r="J63" s="135"/>
      <c r="K63" s="136"/>
      <c r="L63" s="135"/>
      <c r="M63" s="137"/>
      <c r="N63" s="144"/>
      <c r="O63" s="130"/>
      <c r="P63" s="159"/>
      <c r="Q63" s="159"/>
    </row>
    <row r="64" spans="1:17" s="72" customFormat="1" ht="14.25" x14ac:dyDescent="0.2">
      <c r="A64" s="63"/>
      <c r="B64" s="143" t="s">
        <v>333</v>
      </c>
      <c r="C64" s="64">
        <f>'Gib Linings'!P147</f>
        <v>1324</v>
      </c>
      <c r="D64" s="75" t="s">
        <v>151</v>
      </c>
      <c r="E64" s="134">
        <v>0.2</v>
      </c>
      <c r="F64" s="134">
        <f>C64*E64</f>
        <v>264.8</v>
      </c>
      <c r="G64" s="134">
        <f>$H$11*E64</f>
        <v>8.4</v>
      </c>
      <c r="H64" s="135">
        <f>F64*$H$11</f>
        <v>11121.6</v>
      </c>
      <c r="I64" s="152">
        <v>0.95</v>
      </c>
      <c r="J64" s="135">
        <f>C64*I64</f>
        <v>1257.8</v>
      </c>
      <c r="K64" s="136">
        <f>SUM(H64,J64)</f>
        <v>12379.4</v>
      </c>
      <c r="L64" s="135">
        <f>K64/C64</f>
        <v>9.35</v>
      </c>
      <c r="M64" s="137">
        <f>C64*L64</f>
        <v>12379.4</v>
      </c>
      <c r="N64" s="144">
        <v>0</v>
      </c>
      <c r="O64" s="130">
        <f>M64*N64</f>
        <v>0</v>
      </c>
      <c r="P64" s="159"/>
      <c r="Q64" s="159"/>
    </row>
    <row r="65" spans="1:17" s="72" customFormat="1" ht="14.25" x14ac:dyDescent="0.2">
      <c r="A65" s="63"/>
      <c r="B65" s="175" t="s">
        <v>334</v>
      </c>
      <c r="C65" s="64">
        <f>'Gib Linings'!P148</f>
        <v>76</v>
      </c>
      <c r="D65" s="75" t="s">
        <v>151</v>
      </c>
      <c r="E65" s="134">
        <v>0.25</v>
      </c>
      <c r="F65" s="134">
        <f>C65*E65</f>
        <v>19</v>
      </c>
      <c r="G65" s="134">
        <f>$H$11*E65</f>
        <v>10.5</v>
      </c>
      <c r="H65" s="135">
        <f>F65*$H$11</f>
        <v>798</v>
      </c>
      <c r="I65" s="152">
        <v>0.95</v>
      </c>
      <c r="J65" s="135">
        <f>C65*I65</f>
        <v>72.2</v>
      </c>
      <c r="K65" s="136">
        <f>SUM(H65,J65)</f>
        <v>870.2</v>
      </c>
      <c r="L65" s="135">
        <f>K65/C65</f>
        <v>11.450000000000001</v>
      </c>
      <c r="M65" s="137">
        <f>C65*L65</f>
        <v>870.2</v>
      </c>
      <c r="N65" s="144">
        <v>0</v>
      </c>
      <c r="O65" s="130">
        <f>M65*N65</f>
        <v>0</v>
      </c>
      <c r="P65" s="159"/>
      <c r="Q65" s="159"/>
    </row>
    <row r="66" spans="1:17" s="72" customFormat="1" ht="14.25" x14ac:dyDescent="0.2">
      <c r="A66" s="63"/>
      <c r="B66" s="175" t="s">
        <v>335</v>
      </c>
      <c r="C66" s="64">
        <v>45</v>
      </c>
      <c r="D66" s="75" t="s">
        <v>116</v>
      </c>
      <c r="E66" s="134">
        <v>0.15</v>
      </c>
      <c r="F66" s="134">
        <f>C66*E66</f>
        <v>6.75</v>
      </c>
      <c r="G66" s="134">
        <f>$H$11*E66</f>
        <v>6.3</v>
      </c>
      <c r="H66" s="135">
        <f>F66*$H$11</f>
        <v>283.5</v>
      </c>
      <c r="I66" s="152">
        <v>2.5</v>
      </c>
      <c r="J66" s="135">
        <f>C66*I66</f>
        <v>112.5</v>
      </c>
      <c r="K66" s="136">
        <f>SUM(H66,J66)</f>
        <v>396</v>
      </c>
      <c r="L66" s="135">
        <f>K66/C66</f>
        <v>8.8000000000000007</v>
      </c>
      <c r="M66" s="137">
        <f>C66*L66</f>
        <v>396.00000000000006</v>
      </c>
      <c r="N66" s="144">
        <v>0</v>
      </c>
      <c r="O66" s="130">
        <f>M66*N66</f>
        <v>0</v>
      </c>
      <c r="P66" s="159"/>
      <c r="Q66" s="159"/>
    </row>
    <row r="67" spans="1:17" s="72" customFormat="1" ht="14.25" x14ac:dyDescent="0.2">
      <c r="A67" s="63"/>
      <c r="B67" s="242" t="s">
        <v>521</v>
      </c>
      <c r="C67" s="64">
        <v>245</v>
      </c>
      <c r="D67" s="75" t="s">
        <v>116</v>
      </c>
      <c r="E67" s="134">
        <v>0.15</v>
      </c>
      <c r="F67" s="134">
        <f>C67*E67</f>
        <v>36.75</v>
      </c>
      <c r="G67" s="134">
        <f>$H$11*E67</f>
        <v>6.3</v>
      </c>
      <c r="H67" s="135">
        <f>F67*$H$11</f>
        <v>1543.5</v>
      </c>
      <c r="I67" s="152">
        <v>2.5</v>
      </c>
      <c r="J67" s="135">
        <f>C67*I67</f>
        <v>612.5</v>
      </c>
      <c r="K67" s="136">
        <f>SUM(H67,J67)</f>
        <v>2156</v>
      </c>
      <c r="L67" s="135">
        <f>K67/C67</f>
        <v>8.8000000000000007</v>
      </c>
      <c r="M67" s="137">
        <f>C67*L67</f>
        <v>2156</v>
      </c>
      <c r="N67" s="144">
        <v>0</v>
      </c>
      <c r="O67" s="130">
        <f>M67*N67</f>
        <v>0</v>
      </c>
      <c r="P67" s="159"/>
      <c r="Q67" s="159"/>
    </row>
    <row r="68" spans="1:17" s="72" customFormat="1" ht="14.25" x14ac:dyDescent="0.2">
      <c r="A68" s="63"/>
      <c r="B68" s="242"/>
      <c r="C68" s="64"/>
      <c r="D68" s="75"/>
      <c r="E68" s="134"/>
      <c r="F68" s="134"/>
      <c r="G68" s="134"/>
      <c r="H68" s="135"/>
      <c r="I68" s="152"/>
      <c r="J68" s="135"/>
      <c r="K68" s="136"/>
      <c r="L68" s="135"/>
      <c r="M68" s="137"/>
      <c r="N68" s="144"/>
      <c r="O68" s="130"/>
      <c r="P68" s="159"/>
      <c r="Q68" s="159"/>
    </row>
    <row r="69" spans="1:17" s="72" customFormat="1" ht="14.25" x14ac:dyDescent="0.2">
      <c r="A69" s="63"/>
      <c r="B69" s="143" t="s">
        <v>870</v>
      </c>
      <c r="C69" s="64">
        <v>15</v>
      </c>
      <c r="D69" s="75" t="s">
        <v>148</v>
      </c>
      <c r="E69" s="134">
        <v>0</v>
      </c>
      <c r="F69" s="134">
        <f>C69*E69</f>
        <v>0</v>
      </c>
      <c r="G69" s="134">
        <f>$H$11*E69</f>
        <v>0</v>
      </c>
      <c r="H69" s="135">
        <f>F69*$H$11</f>
        <v>0</v>
      </c>
      <c r="I69" s="152">
        <v>165</v>
      </c>
      <c r="J69" s="135">
        <f>C69*I69</f>
        <v>2475</v>
      </c>
      <c r="K69" s="136">
        <f>SUM(H69,J69)</f>
        <v>2475</v>
      </c>
      <c r="L69" s="135">
        <f>K69/C69</f>
        <v>165</v>
      </c>
      <c r="M69" s="137">
        <f>C69*L69</f>
        <v>2475</v>
      </c>
      <c r="N69" s="144">
        <v>0</v>
      </c>
      <c r="O69" s="130">
        <f>M69*N69</f>
        <v>0</v>
      </c>
      <c r="P69" s="159"/>
      <c r="Q69" s="159"/>
    </row>
    <row r="70" spans="1:17" s="72" customFormat="1" ht="14.25" x14ac:dyDescent="0.2">
      <c r="A70" s="63"/>
      <c r="B70" s="143"/>
      <c r="C70" s="64"/>
      <c r="D70" s="75"/>
      <c r="E70" s="134"/>
      <c r="F70" s="134"/>
      <c r="G70" s="134"/>
      <c r="H70" s="135"/>
      <c r="I70" s="152"/>
      <c r="J70" s="135"/>
      <c r="K70" s="136"/>
      <c r="L70" s="135"/>
      <c r="M70" s="137"/>
      <c r="N70" s="144"/>
      <c r="O70" s="130"/>
      <c r="P70" s="159"/>
      <c r="Q70" s="159"/>
    </row>
    <row r="71" spans="1:17" ht="23.25" customHeight="1" x14ac:dyDescent="0.2">
      <c r="A71" s="63"/>
      <c r="B71" s="132"/>
      <c r="C71" s="138"/>
      <c r="D71" s="142"/>
      <c r="E71" s="133"/>
      <c r="F71" s="134"/>
      <c r="G71" s="134"/>
      <c r="H71" s="135"/>
      <c r="I71" s="135"/>
      <c r="J71" s="135"/>
      <c r="K71" s="136"/>
      <c r="L71" s="135"/>
      <c r="M71" s="137"/>
      <c r="N71" s="131"/>
      <c r="O71" s="130"/>
      <c r="P71" s="60"/>
      <c r="Q71" s="59"/>
    </row>
    <row r="72" spans="1:17" ht="24" customHeight="1" x14ac:dyDescent="0.2">
      <c r="A72" s="30"/>
      <c r="B72" s="31"/>
      <c r="C72" s="32"/>
      <c r="D72" s="33"/>
      <c r="E72" s="33"/>
      <c r="F72" s="33">
        <f>SUM(F13:F71)</f>
        <v>1026.72</v>
      </c>
      <c r="G72" s="33"/>
      <c r="H72" s="86">
        <f>SUM(H13:H71)</f>
        <v>43122.240000000005</v>
      </c>
      <c r="I72" s="33"/>
      <c r="J72" s="78">
        <f>SUM(J13:J71)</f>
        <v>16024.2</v>
      </c>
      <c r="K72" s="33"/>
      <c r="L72" s="33"/>
      <c r="M72" s="68"/>
      <c r="N72" s="94"/>
      <c r="O72" s="104"/>
      <c r="P72" s="60"/>
      <c r="Q72" s="59"/>
    </row>
    <row r="73" spans="1:17" ht="15" customHeight="1" x14ac:dyDescent="0.2">
      <c r="A73" s="15"/>
      <c r="B73" s="28" t="s">
        <v>16</v>
      </c>
      <c r="C73" s="24"/>
      <c r="D73" s="25"/>
      <c r="E73" s="25"/>
      <c r="F73" s="25"/>
      <c r="G73" s="25"/>
      <c r="H73" s="25"/>
      <c r="I73" s="25"/>
      <c r="J73" s="25"/>
      <c r="K73" s="25"/>
      <c r="L73" s="25"/>
      <c r="M73" s="26">
        <f>SUM(M13:M71)</f>
        <v>59146.439999999995</v>
      </c>
      <c r="N73" s="100"/>
      <c r="O73" s="103">
        <f>SUM(O13:O71)</f>
        <v>0</v>
      </c>
      <c r="P73" s="60"/>
      <c r="Q73" s="65"/>
    </row>
    <row r="74" spans="1:17" x14ac:dyDescent="0.2">
      <c r="A74" s="13"/>
      <c r="B74" s="35" t="s">
        <v>12</v>
      </c>
      <c r="C74" s="24"/>
      <c r="D74" s="36"/>
      <c r="E74" s="36"/>
      <c r="F74" s="36"/>
      <c r="G74" s="36"/>
      <c r="H74" s="36"/>
      <c r="I74" s="36"/>
      <c r="J74" s="36"/>
      <c r="K74" s="36"/>
      <c r="L74" s="36"/>
      <c r="M74" s="26"/>
      <c r="N74" s="100"/>
      <c r="O74" s="103"/>
      <c r="P74" s="60"/>
      <c r="Q74" s="65"/>
    </row>
    <row r="75" spans="1:17" ht="24" customHeight="1" x14ac:dyDescent="0.2">
      <c r="A75" s="13"/>
      <c r="B75" s="37"/>
      <c r="C75" s="24"/>
      <c r="D75" s="36"/>
      <c r="E75" s="36"/>
      <c r="F75" s="36"/>
      <c r="G75" s="36"/>
      <c r="H75" s="36"/>
      <c r="I75" s="36"/>
      <c r="J75" s="36"/>
      <c r="K75" s="36"/>
      <c r="L75" s="36"/>
      <c r="M75" s="26"/>
      <c r="N75" s="100"/>
      <c r="O75" s="103"/>
      <c r="P75" s="60"/>
      <c r="Q75" s="59"/>
    </row>
    <row r="76" spans="1:17" ht="18.75" customHeight="1" x14ac:dyDescent="0.2">
      <c r="A76" s="15"/>
      <c r="B76" s="13" t="s">
        <v>8</v>
      </c>
      <c r="C76" s="24"/>
      <c r="D76" s="36" t="s">
        <v>5</v>
      </c>
      <c r="E76" s="36"/>
      <c r="F76" s="36"/>
      <c r="G76" s="36"/>
      <c r="H76" s="36"/>
      <c r="I76" s="36"/>
      <c r="J76" s="36"/>
      <c r="K76" s="36"/>
      <c r="L76" s="609">
        <v>2.0500000000000001E-2</v>
      </c>
      <c r="M76" s="84">
        <f>M73*L76</f>
        <v>1212.5020199999999</v>
      </c>
      <c r="N76" s="100"/>
      <c r="O76" s="103">
        <f>(O73/M73)*M76</f>
        <v>0</v>
      </c>
    </row>
    <row r="77" spans="1:17" ht="18.75" customHeight="1" x14ac:dyDescent="0.2">
      <c r="A77" s="38"/>
      <c r="B77" s="13"/>
      <c r="C77" s="24"/>
      <c r="D77" s="36"/>
      <c r="E77" s="36"/>
      <c r="F77" s="36"/>
      <c r="G77" s="36"/>
      <c r="H77" s="36"/>
      <c r="I77" s="36"/>
      <c r="J77" s="36"/>
      <c r="K77" s="36"/>
      <c r="L77" s="36"/>
      <c r="M77" s="26"/>
      <c r="N77" s="100"/>
      <c r="O77" s="103"/>
    </row>
    <row r="78" spans="1:17" s="42" customFormat="1" x14ac:dyDescent="0.2">
      <c r="A78" s="15"/>
      <c r="B78" s="39" t="s">
        <v>9</v>
      </c>
      <c r="C78" s="40"/>
      <c r="D78" s="41" t="s">
        <v>5</v>
      </c>
      <c r="E78" s="41"/>
      <c r="F78" s="41"/>
      <c r="G78" s="41"/>
      <c r="H78" s="41"/>
      <c r="I78" s="41"/>
      <c r="J78" s="41"/>
      <c r="K78" s="41"/>
      <c r="L78" s="79">
        <v>0.01</v>
      </c>
      <c r="M78" s="34">
        <f>M73*L78</f>
        <v>591.46439999999996</v>
      </c>
      <c r="N78" s="100"/>
      <c r="O78" s="103">
        <f>(O73/M73)*M78</f>
        <v>0</v>
      </c>
    </row>
    <row r="79" spans="1:17" s="42" customFormat="1" x14ac:dyDescent="0.2">
      <c r="A79" s="15"/>
      <c r="B79" s="39"/>
      <c r="C79" s="40"/>
      <c r="D79" s="41"/>
      <c r="E79" s="41"/>
      <c r="F79" s="41"/>
      <c r="G79" s="41"/>
      <c r="H79" s="41"/>
      <c r="I79" s="41"/>
      <c r="J79" s="41"/>
      <c r="K79" s="41"/>
      <c r="L79" s="41"/>
      <c r="M79" s="34"/>
      <c r="N79" s="100"/>
      <c r="O79" s="103"/>
    </row>
    <row r="80" spans="1:17" s="42" customFormat="1" x14ac:dyDescent="0.2">
      <c r="A80" s="15"/>
      <c r="B80" s="39" t="s">
        <v>10</v>
      </c>
      <c r="C80" s="40"/>
      <c r="D80" s="41" t="s">
        <v>5</v>
      </c>
      <c r="E80" s="41"/>
      <c r="F80" s="41"/>
      <c r="G80" s="41"/>
      <c r="H80" s="41"/>
      <c r="I80" s="41"/>
      <c r="J80" s="41"/>
      <c r="K80" s="41"/>
      <c r="L80" s="79">
        <v>2.5000000000000001E-3</v>
      </c>
      <c r="M80" s="34">
        <f>M73*L80</f>
        <v>147.86609999999999</v>
      </c>
      <c r="N80" s="100"/>
      <c r="O80" s="103">
        <f>(O73/M73)*M80</f>
        <v>0</v>
      </c>
    </row>
    <row r="81" spans="1:17" s="42" customFormat="1" ht="20.25" customHeight="1" x14ac:dyDescent="0.2">
      <c r="A81" s="15"/>
      <c r="B81" s="80"/>
      <c r="C81" s="81"/>
      <c r="D81" s="82"/>
      <c r="E81" s="82"/>
      <c r="F81" s="82"/>
      <c r="G81" s="82"/>
      <c r="H81" s="82"/>
      <c r="I81" s="82"/>
      <c r="J81" s="82"/>
      <c r="K81" s="82"/>
      <c r="L81" s="82"/>
      <c r="M81" s="85"/>
      <c r="N81" s="100"/>
      <c r="O81" s="103"/>
    </row>
    <row r="82" spans="1:17" s="42" customFormat="1" ht="21.75" customHeight="1" x14ac:dyDescent="0.2">
      <c r="A82" s="29"/>
      <c r="B82" s="141" t="s">
        <v>42</v>
      </c>
      <c r="C82" s="81"/>
      <c r="D82" s="82" t="s">
        <v>5</v>
      </c>
      <c r="E82" s="82"/>
      <c r="F82" s="82"/>
      <c r="G82" s="82"/>
      <c r="H82" s="82"/>
      <c r="I82" s="82"/>
      <c r="J82" s="82"/>
      <c r="K82" s="82"/>
      <c r="L82" s="83">
        <f>M82/M73</f>
        <v>3.9057633899859404E-2</v>
      </c>
      <c r="M82" s="85">
        <f>I95</f>
        <v>2310.12</v>
      </c>
      <c r="N82" s="100"/>
      <c r="O82" s="103"/>
      <c r="P82" s="172"/>
    </row>
    <row r="83" spans="1:17" s="42" customFormat="1" ht="18" customHeight="1" x14ac:dyDescent="0.2">
      <c r="A83" s="29"/>
      <c r="B83" s="80"/>
      <c r="C83" s="81"/>
      <c r="D83" s="82"/>
      <c r="E83" s="82"/>
      <c r="F83" s="82"/>
      <c r="G83" s="82"/>
      <c r="H83" s="82"/>
      <c r="I83" s="82"/>
      <c r="J83" s="82"/>
      <c r="K83" s="82"/>
      <c r="L83" s="82"/>
      <c r="M83" s="85"/>
      <c r="N83" s="100"/>
      <c r="O83" s="103"/>
    </row>
    <row r="84" spans="1:17" s="42" customFormat="1" x14ac:dyDescent="0.2">
      <c r="A84" s="29"/>
      <c r="B84" s="80" t="s">
        <v>44</v>
      </c>
      <c r="C84" s="81"/>
      <c r="D84" s="82" t="s">
        <v>5</v>
      </c>
      <c r="E84" s="82"/>
      <c r="F84" s="82"/>
      <c r="G84" s="82"/>
      <c r="H84" s="82"/>
      <c r="I84" s="82"/>
      <c r="J84" s="82"/>
      <c r="K84" s="82"/>
      <c r="L84" s="83"/>
      <c r="M84" s="85"/>
      <c r="N84" s="100"/>
      <c r="O84" s="103">
        <f>M84*N84</f>
        <v>0</v>
      </c>
    </row>
    <row r="85" spans="1:17" s="42" customFormat="1" x14ac:dyDescent="0.2">
      <c r="A85" s="15"/>
      <c r="B85" s="80"/>
      <c r="C85" s="81"/>
      <c r="D85" s="82"/>
      <c r="E85" s="82"/>
      <c r="F85" s="82"/>
      <c r="G85" s="82"/>
      <c r="H85" s="82"/>
      <c r="I85" s="82"/>
      <c r="J85" s="82"/>
      <c r="K85" s="82"/>
      <c r="L85" s="82"/>
      <c r="M85" s="34"/>
      <c r="N85" s="100"/>
      <c r="O85" s="105"/>
    </row>
    <row r="86" spans="1:17" ht="18.75" customHeight="1" x14ac:dyDescent="0.2">
      <c r="A86" s="43"/>
      <c r="B86" s="44" t="s">
        <v>17</v>
      </c>
      <c r="C86" s="45"/>
      <c r="D86" s="46"/>
      <c r="E86" s="46"/>
      <c r="F86" s="46"/>
      <c r="G86" s="46"/>
      <c r="H86" s="46"/>
      <c r="I86" s="46"/>
      <c r="J86" s="46"/>
      <c r="K86" s="46"/>
      <c r="L86" s="46"/>
      <c r="M86" s="69">
        <f>SUM(M73:M85)</f>
        <v>63408.392519999994</v>
      </c>
      <c r="N86" s="101"/>
      <c r="O86" s="106">
        <f>SUM(O73:O85)</f>
        <v>0</v>
      </c>
      <c r="P86" s="42"/>
      <c r="Q86" s="42"/>
    </row>
    <row r="87" spans="1:17" ht="16.5" customHeight="1" x14ac:dyDescent="0.2">
      <c r="A87" s="15"/>
      <c r="B87" s="19"/>
      <c r="C87" s="24"/>
      <c r="D87" s="36"/>
      <c r="E87" s="36"/>
      <c r="F87" s="36"/>
      <c r="G87" s="36"/>
      <c r="H87" s="36"/>
      <c r="I87" s="36"/>
      <c r="J87" s="36"/>
      <c r="K87" s="36"/>
      <c r="L87" s="36"/>
      <c r="M87" s="26"/>
      <c r="N87" s="95"/>
      <c r="O87" s="107"/>
      <c r="P87" s="42"/>
      <c r="Q87" s="42"/>
    </row>
    <row r="88" spans="1:17" x14ac:dyDescent="0.2">
      <c r="A88" s="15"/>
      <c r="B88" s="19" t="s">
        <v>11</v>
      </c>
      <c r="C88" s="24"/>
      <c r="D88" s="36"/>
      <c r="E88" s="36"/>
      <c r="F88" s="36"/>
      <c r="G88" s="36"/>
      <c r="H88" s="36"/>
      <c r="I88" s="36"/>
      <c r="J88" s="36"/>
      <c r="K88" s="36"/>
      <c r="L88" s="79">
        <v>0.05</v>
      </c>
      <c r="M88" s="26">
        <f>M86*L88</f>
        <v>3170.4196259999999</v>
      </c>
      <c r="N88" s="95"/>
      <c r="O88" s="107">
        <f>O86/M86*M88</f>
        <v>0</v>
      </c>
      <c r="P88" s="42"/>
      <c r="Q88" s="42"/>
    </row>
    <row r="89" spans="1:17" x14ac:dyDescent="0.2">
      <c r="A89" s="47"/>
      <c r="B89" s="48"/>
      <c r="C89" s="49"/>
      <c r="D89" s="49"/>
      <c r="E89" s="49"/>
      <c r="F89" s="49"/>
      <c r="G89" s="49"/>
      <c r="H89" s="49"/>
      <c r="I89" s="49"/>
      <c r="J89" s="49"/>
      <c r="K89" s="49"/>
      <c r="L89" s="174"/>
      <c r="M89" s="70"/>
      <c r="N89" s="95"/>
      <c r="O89" s="107"/>
      <c r="P89" s="42"/>
      <c r="Q89" s="42"/>
    </row>
    <row r="90" spans="1:17" ht="27.75" customHeight="1" x14ac:dyDescent="0.2">
      <c r="A90" s="50"/>
      <c r="B90" s="56" t="s">
        <v>238</v>
      </c>
      <c r="C90" s="51"/>
      <c r="D90" s="52"/>
      <c r="E90" s="52"/>
      <c r="F90" s="52"/>
      <c r="G90" s="52"/>
      <c r="H90" s="52"/>
      <c r="I90" s="52"/>
      <c r="J90" s="52"/>
      <c r="K90" s="52"/>
      <c r="L90" s="173"/>
      <c r="M90" s="71">
        <f>ROUNDUP(SUM(M86:M89),0)</f>
        <v>66579</v>
      </c>
      <c r="N90" s="151">
        <f>O90/M90</f>
        <v>0</v>
      </c>
      <c r="O90" s="109">
        <f>SUM(O86:O89)</f>
        <v>0</v>
      </c>
      <c r="P90" s="42"/>
      <c r="Q90" s="42"/>
    </row>
    <row r="91" spans="1:17" ht="13.5" customHeight="1" x14ac:dyDescent="0.2">
      <c r="A91" s="161"/>
      <c r="B91" s="162"/>
      <c r="C91" s="163"/>
      <c r="D91" s="164"/>
      <c r="E91" s="164"/>
      <c r="F91" s="164"/>
      <c r="G91" s="72"/>
      <c r="H91" s="72"/>
      <c r="I91" s="72"/>
      <c r="J91" s="72"/>
      <c r="K91" s="164"/>
      <c r="L91" s="164"/>
      <c r="M91" s="165"/>
      <c r="N91" s="166">
        <f>SUM(L75:L85)</f>
        <v>7.2057633899859405E-2</v>
      </c>
      <c r="O91" s="240"/>
      <c r="P91" s="166">
        <f>L88</f>
        <v>0.05</v>
      </c>
      <c r="Q91" s="42"/>
    </row>
    <row r="92" spans="1:17" ht="13.5" customHeight="1" x14ac:dyDescent="0.2">
      <c r="A92" s="161"/>
      <c r="B92" s="162"/>
      <c r="C92" s="163"/>
      <c r="D92" s="164"/>
      <c r="E92" s="164"/>
      <c r="F92" s="167"/>
      <c r="G92" s="410" t="s">
        <v>45</v>
      </c>
      <c r="H92" s="411"/>
      <c r="I92" s="411"/>
      <c r="J92" s="412"/>
      <c r="K92" s="633">
        <f>SUM(F16:F22,F46:F52)</f>
        <v>293.57</v>
      </c>
      <c r="L92" s="169" t="s">
        <v>328</v>
      </c>
      <c r="M92" s="165">
        <f>SUM(M16:M22,M46:M52)</f>
        <v>16833.79</v>
      </c>
      <c r="N92" s="561">
        <f>M92*$N$91</f>
        <v>1213.0030769671143</v>
      </c>
      <c r="O92" s="156">
        <f>SUM(M92:N92)</f>
        <v>18046.793076967115</v>
      </c>
      <c r="P92" s="172">
        <f>O92*$P$91</f>
        <v>902.33965384835574</v>
      </c>
      <c r="Q92" s="565">
        <f>SUM(O92:P92)</f>
        <v>18949.132730815472</v>
      </c>
    </row>
    <row r="93" spans="1:17" ht="13.5" customHeight="1" x14ac:dyDescent="0.2">
      <c r="A93" s="161"/>
      <c r="B93" s="162"/>
      <c r="C93" s="163"/>
      <c r="D93" s="164"/>
      <c r="E93" s="164"/>
      <c r="F93" s="164"/>
      <c r="G93" s="413"/>
      <c r="H93" s="414" t="s">
        <v>583</v>
      </c>
      <c r="I93" s="72"/>
      <c r="J93" s="415"/>
      <c r="K93" s="634"/>
      <c r="L93" s="169"/>
      <c r="M93" s="165"/>
      <c r="N93" s="561"/>
      <c r="O93" s="156"/>
      <c r="P93" s="172"/>
      <c r="Q93" s="566"/>
    </row>
    <row r="94" spans="1:17" ht="13.5" customHeight="1" x14ac:dyDescent="0.2">
      <c r="F94" s="168"/>
      <c r="G94" s="413">
        <f>F72/8</f>
        <v>128.34</v>
      </c>
      <c r="H94" s="416">
        <v>1</v>
      </c>
      <c r="I94" s="72"/>
      <c r="J94" s="415"/>
      <c r="K94" s="635">
        <f>SUM(F24:F29,F55:F58)</f>
        <v>222.04</v>
      </c>
      <c r="L94" s="169" t="s">
        <v>329</v>
      </c>
      <c r="M94" s="53">
        <f>SUM(M24:M29,M55:M60)</f>
        <v>14207.08</v>
      </c>
      <c r="N94" s="561">
        <f>M94*$N$91</f>
        <v>1023.7285694260146</v>
      </c>
      <c r="O94" s="156">
        <f>SUM(M94:N94)</f>
        <v>15230.808569426015</v>
      </c>
      <c r="P94" s="172">
        <f>O94*$P$91</f>
        <v>761.54042847130086</v>
      </c>
      <c r="Q94" s="219">
        <f>SUM(O94:P94)</f>
        <v>15992.348997897316</v>
      </c>
    </row>
    <row r="95" spans="1:17" ht="13.5" customHeight="1" x14ac:dyDescent="0.2">
      <c r="F95" s="168"/>
      <c r="G95" s="413">
        <f>G94/H94</f>
        <v>128.34</v>
      </c>
      <c r="H95" s="61">
        <v>18</v>
      </c>
      <c r="I95" s="61">
        <f>G95*H95</f>
        <v>2310.12</v>
      </c>
      <c r="J95" s="415"/>
      <c r="K95" s="634"/>
      <c r="L95" s="169"/>
      <c r="M95" s="53"/>
      <c r="N95" s="561"/>
      <c r="O95" s="156"/>
      <c r="P95" s="172"/>
      <c r="Q95" s="566"/>
    </row>
    <row r="96" spans="1:17" x14ac:dyDescent="0.2">
      <c r="F96" s="168"/>
      <c r="G96" s="413"/>
      <c r="H96" s="72"/>
      <c r="I96" s="72"/>
      <c r="J96" s="415"/>
      <c r="K96" s="635">
        <f>SUM(F31:F40,F64:F69)</f>
        <v>511.11</v>
      </c>
      <c r="L96" s="169" t="s">
        <v>330</v>
      </c>
      <c r="M96" s="53">
        <f>SUM(M31:M40,M64:M69)</f>
        <v>28105.57</v>
      </c>
      <c r="N96" s="561">
        <f>M96*$N$91</f>
        <v>2025.2208736068715</v>
      </c>
      <c r="O96" s="156">
        <f>SUM(M96:N96)</f>
        <v>30130.790873606871</v>
      </c>
      <c r="P96" s="172">
        <f>O96*$P$91</f>
        <v>1506.5395436803437</v>
      </c>
      <c r="Q96" s="567">
        <f>SUM(O96:P96)</f>
        <v>31637.330417287216</v>
      </c>
    </row>
    <row r="97" spans="2:17" x14ac:dyDescent="0.2">
      <c r="G97" s="417"/>
      <c r="H97" s="418"/>
      <c r="I97" s="418"/>
      <c r="J97" s="419"/>
      <c r="K97" s="637"/>
      <c r="L97" s="556"/>
      <c r="M97" s="557"/>
      <c r="N97" s="558"/>
      <c r="O97" s="559"/>
      <c r="P97" s="546"/>
      <c r="Q97" s="546"/>
    </row>
    <row r="98" spans="2:17" x14ac:dyDescent="0.2">
      <c r="K98" s="635">
        <f>SUM(K92:K97)</f>
        <v>1026.72</v>
      </c>
      <c r="L98" s="53"/>
      <c r="M98" s="53">
        <f>SUM(M92:M97)</f>
        <v>59146.44</v>
      </c>
      <c r="N98" s="53"/>
      <c r="O98" s="53"/>
      <c r="P98" s="53"/>
      <c r="Q98" s="53">
        <f>SUM(Q92:Q97)</f>
        <v>66578.812146000011</v>
      </c>
    </row>
    <row r="99" spans="2:17" ht="15" x14ac:dyDescent="0.25">
      <c r="B99" s="113" t="s">
        <v>30</v>
      </c>
      <c r="C99" s="114"/>
      <c r="D99" s="114"/>
      <c r="E99" s="114"/>
      <c r="F99" s="114"/>
      <c r="I99" s="113" t="s">
        <v>30</v>
      </c>
      <c r="J99" s="114"/>
      <c r="K99" s="114"/>
      <c r="L99" s="114"/>
      <c r="M99" s="114"/>
      <c r="O99" s="108"/>
      <c r="P99" s="42"/>
      <c r="Q99" s="42"/>
    </row>
    <row r="100" spans="2:17" x14ac:dyDescent="0.2">
      <c r="B100" s="115" t="s">
        <v>43</v>
      </c>
      <c r="C100" s="116"/>
      <c r="D100" s="111"/>
      <c r="E100" s="111"/>
      <c r="F100" s="111"/>
      <c r="I100" s="115" t="s">
        <v>31</v>
      </c>
      <c r="J100" s="116"/>
      <c r="K100" s="111"/>
      <c r="L100" s="111"/>
      <c r="M100" s="111"/>
      <c r="O100" s="108"/>
      <c r="P100" s="42"/>
      <c r="Q100" s="42"/>
    </row>
    <row r="101" spans="2:17" ht="15" x14ac:dyDescent="0.25">
      <c r="B101" s="115" t="s">
        <v>32</v>
      </c>
      <c r="C101" s="116" t="s">
        <v>33</v>
      </c>
      <c r="D101" s="111" t="s">
        <v>34</v>
      </c>
      <c r="E101" s="111" t="s">
        <v>35</v>
      </c>
      <c r="F101" s="114"/>
      <c r="I101" s="115" t="s">
        <v>32</v>
      </c>
      <c r="J101" s="116" t="s">
        <v>33</v>
      </c>
      <c r="K101" s="111" t="s">
        <v>34</v>
      </c>
      <c r="L101" s="111" t="s">
        <v>35</v>
      </c>
      <c r="M101" s="114"/>
      <c r="O101" s="108"/>
      <c r="P101" s="42"/>
      <c r="Q101" s="42"/>
    </row>
    <row r="102" spans="2:17" x14ac:dyDescent="0.2">
      <c r="B102" s="117">
        <v>1</v>
      </c>
      <c r="C102" s="116">
        <v>55</v>
      </c>
      <c r="D102" s="111">
        <f>B102*C102</f>
        <v>55</v>
      </c>
      <c r="E102" s="111">
        <f>D102*F102</f>
        <v>110</v>
      </c>
      <c r="F102" s="118">
        <v>2</v>
      </c>
      <c r="I102" s="117">
        <v>4</v>
      </c>
      <c r="J102" s="116">
        <v>55</v>
      </c>
      <c r="K102" s="111">
        <f>I102*J102</f>
        <v>220</v>
      </c>
      <c r="L102" s="111">
        <f>K102*M102</f>
        <v>440</v>
      </c>
      <c r="M102" s="118">
        <v>2</v>
      </c>
      <c r="O102" s="108"/>
      <c r="P102" s="42"/>
      <c r="Q102" s="42"/>
    </row>
    <row r="103" spans="2:17" x14ac:dyDescent="0.2">
      <c r="B103" s="115" t="s">
        <v>36</v>
      </c>
      <c r="C103" s="116"/>
      <c r="D103" s="111"/>
      <c r="E103" s="111" t="s">
        <v>37</v>
      </c>
      <c r="F103" s="111"/>
      <c r="I103" s="115" t="s">
        <v>36</v>
      </c>
      <c r="J103" s="116"/>
      <c r="K103" s="111"/>
      <c r="L103" s="111" t="s">
        <v>37</v>
      </c>
      <c r="M103" s="111"/>
      <c r="O103" s="108"/>
      <c r="P103" s="42"/>
      <c r="Q103" s="42"/>
    </row>
    <row r="104" spans="2:17" ht="15" x14ac:dyDescent="0.25">
      <c r="B104" s="115">
        <v>0.7</v>
      </c>
      <c r="C104" s="119"/>
      <c r="D104" s="114"/>
      <c r="E104" s="111">
        <f>B104*C104</f>
        <v>0</v>
      </c>
      <c r="F104" s="111"/>
      <c r="I104" s="115">
        <v>0.7</v>
      </c>
      <c r="J104" s="119">
        <v>310</v>
      </c>
      <c r="K104" s="114"/>
      <c r="L104" s="111">
        <f>I104*J104</f>
        <v>217</v>
      </c>
      <c r="M104" s="111"/>
      <c r="O104" s="108"/>
      <c r="P104" s="42"/>
      <c r="Q104" s="42"/>
    </row>
    <row r="105" spans="2:17" x14ac:dyDescent="0.2">
      <c r="B105" s="115" t="s">
        <v>38</v>
      </c>
      <c r="C105" s="116"/>
      <c r="D105" s="111"/>
      <c r="E105" s="111">
        <f>SUM(E102:E104)</f>
        <v>110</v>
      </c>
      <c r="F105" s="111"/>
      <c r="I105" s="115" t="s">
        <v>38</v>
      </c>
      <c r="J105" s="116"/>
      <c r="K105" s="111"/>
      <c r="L105" s="111">
        <f>SUM(L102:L104)</f>
        <v>657</v>
      </c>
      <c r="M105" s="111"/>
      <c r="O105" s="108"/>
      <c r="P105" s="42"/>
      <c r="Q105" s="42"/>
    </row>
    <row r="106" spans="2:17" x14ac:dyDescent="0.2">
      <c r="B106" s="117">
        <v>2</v>
      </c>
      <c r="C106" s="116"/>
      <c r="D106" s="111"/>
      <c r="E106" s="111">
        <f>B106*E105</f>
        <v>220</v>
      </c>
      <c r="F106" s="111"/>
      <c r="I106" s="117">
        <v>1</v>
      </c>
      <c r="J106" s="116"/>
      <c r="K106" s="111"/>
      <c r="L106" s="111">
        <f>I106*L105</f>
        <v>657</v>
      </c>
      <c r="M106" s="111"/>
      <c r="O106" s="108"/>
      <c r="P106" s="42"/>
      <c r="Q106" s="42"/>
    </row>
    <row r="107" spans="2:17" x14ac:dyDescent="0.2">
      <c r="B107" s="115" t="s">
        <v>39</v>
      </c>
      <c r="C107" s="116" t="s">
        <v>40</v>
      </c>
      <c r="D107" s="111"/>
      <c r="E107" s="111" t="s">
        <v>41</v>
      </c>
      <c r="F107" s="111"/>
      <c r="I107" s="115" t="s">
        <v>39</v>
      </c>
      <c r="J107" s="116" t="s">
        <v>40</v>
      </c>
      <c r="K107" s="111"/>
      <c r="L107" s="111" t="s">
        <v>41</v>
      </c>
      <c r="M107" s="111"/>
      <c r="Q107" s="54"/>
    </row>
    <row r="108" spans="2:17" x14ac:dyDescent="0.2">
      <c r="B108" s="117"/>
      <c r="C108" s="119"/>
      <c r="D108" s="111">
        <f>B108*C108</f>
        <v>0</v>
      </c>
      <c r="E108" s="111">
        <f>D108*F102</f>
        <v>0</v>
      </c>
      <c r="F108" s="111"/>
      <c r="I108" s="117">
        <v>125</v>
      </c>
      <c r="J108" s="119">
        <v>4</v>
      </c>
      <c r="K108" s="111">
        <f>I108*J108</f>
        <v>500</v>
      </c>
      <c r="L108" s="111">
        <f>K108*M102</f>
        <v>1000</v>
      </c>
      <c r="M108" s="111"/>
    </row>
    <row r="109" spans="2:17" x14ac:dyDescent="0.2">
      <c r="B109" s="115"/>
      <c r="C109" s="116"/>
      <c r="D109" s="111"/>
      <c r="E109" s="112">
        <f>SUM(E106:E108)</f>
        <v>220</v>
      </c>
      <c r="F109" s="111"/>
      <c r="I109" s="115"/>
      <c r="J109" s="116"/>
      <c r="K109" s="111"/>
      <c r="L109" s="112">
        <f>SUM(L106:L108)</f>
        <v>1657</v>
      </c>
      <c r="M109" s="111"/>
    </row>
    <row r="113" spans="4:7" x14ac:dyDescent="0.2">
      <c r="D113" s="72" t="s">
        <v>45</v>
      </c>
      <c r="E113" s="14">
        <f>F72/8.5</f>
        <v>120.79058823529412</v>
      </c>
      <c r="F113" s="60">
        <f>E113*17.5</f>
        <v>2113.8352941176472</v>
      </c>
      <c r="G113" s="72" t="s">
        <v>48</v>
      </c>
    </row>
  </sheetData>
  <mergeCells count="3">
    <mergeCell ref="T13:V13"/>
    <mergeCell ref="W13:Y13"/>
    <mergeCell ref="Z13:AB13"/>
  </mergeCells>
  <pageMargins left="0.7" right="0.7" top="0.75" bottom="0.75" header="0.3" footer="0.3"/>
  <pageSetup paperSize="9" scale="9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11D0-6866-4FE3-B173-0BA3987DFD48}">
  <sheetPr>
    <pageSetUpPr fitToPage="1"/>
  </sheetPr>
  <dimension ref="A1:Q84"/>
  <sheetViews>
    <sheetView topLeftCell="A3" zoomScale="85" zoomScaleNormal="85" workbookViewId="0">
      <selection activeCell="D43" sqref="A1:D43"/>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23.25" customHeight="1" x14ac:dyDescent="0.2">
      <c r="A9" s="15"/>
      <c r="B9" s="55" t="str">
        <f>Summary!B127</f>
        <v>Potters Rigitone Matrix Ceiling Lining</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50</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2"/>
      <c r="M13" s="181"/>
      <c r="N13" s="182"/>
      <c r="O13" s="183"/>
    </row>
    <row r="14" spans="1:17" s="72" customFormat="1" ht="20.25" customHeight="1" x14ac:dyDescent="0.2">
      <c r="A14" s="63"/>
      <c r="B14" s="180" t="s">
        <v>66</v>
      </c>
      <c r="C14" s="64"/>
      <c r="D14" s="75"/>
      <c r="E14" s="128"/>
      <c r="F14" s="129"/>
      <c r="G14" s="129"/>
      <c r="H14" s="129"/>
      <c r="I14" s="153"/>
      <c r="J14" s="128"/>
      <c r="K14" s="128"/>
      <c r="L14" s="128"/>
      <c r="M14" s="120"/>
      <c r="N14" s="126"/>
      <c r="O14" s="127"/>
    </row>
    <row r="15" spans="1:17" s="72" customFormat="1" ht="14.25" x14ac:dyDescent="0.2">
      <c r="A15" s="63"/>
      <c r="B15" s="121"/>
      <c r="C15" s="64"/>
      <c r="D15" s="75"/>
      <c r="E15" s="128"/>
      <c r="F15" s="129"/>
      <c r="G15" s="129"/>
      <c r="H15" s="129"/>
      <c r="I15" s="153"/>
      <c r="J15" s="128"/>
      <c r="K15" s="128"/>
      <c r="L15" s="128"/>
      <c r="M15" s="120"/>
      <c r="N15" s="126"/>
      <c r="O15" s="127"/>
    </row>
    <row r="16" spans="1:17" s="72" customFormat="1" ht="15" x14ac:dyDescent="0.2">
      <c r="A16" s="63"/>
      <c r="B16" s="176" t="s">
        <v>58</v>
      </c>
      <c r="C16" s="192" t="s">
        <v>149</v>
      </c>
      <c r="D16" s="75"/>
      <c r="E16" s="128"/>
      <c r="F16" s="129"/>
      <c r="G16" s="129"/>
      <c r="H16" s="129"/>
      <c r="I16" s="153"/>
      <c r="J16" s="128"/>
      <c r="K16" s="128"/>
      <c r="L16" s="128"/>
      <c r="M16" s="120"/>
      <c r="N16" s="126"/>
      <c r="O16" s="127"/>
    </row>
    <row r="17" spans="1:17" s="72" customFormat="1" ht="14.25" x14ac:dyDescent="0.2">
      <c r="A17" s="63"/>
      <c r="B17" s="143"/>
      <c r="C17" s="64"/>
      <c r="D17" s="75"/>
      <c r="E17" s="134"/>
      <c r="F17" s="134"/>
      <c r="G17" s="134"/>
      <c r="H17" s="135"/>
      <c r="I17" s="152"/>
      <c r="J17" s="135"/>
      <c r="K17" s="136"/>
      <c r="L17" s="135"/>
      <c r="M17" s="137"/>
      <c r="N17" s="144"/>
      <c r="O17" s="130"/>
      <c r="P17" s="159"/>
      <c r="Q17" s="177"/>
    </row>
    <row r="18" spans="1:17" s="72" customFormat="1" ht="14.25" x14ac:dyDescent="0.2">
      <c r="A18" s="63"/>
      <c r="B18" s="175"/>
      <c r="C18" s="64"/>
      <c r="D18" s="75"/>
      <c r="E18" s="134"/>
      <c r="F18" s="134"/>
      <c r="G18" s="134"/>
      <c r="H18" s="135"/>
      <c r="I18" s="152"/>
      <c r="J18" s="135"/>
      <c r="K18" s="136"/>
      <c r="L18" s="135"/>
      <c r="M18" s="137"/>
      <c r="N18" s="144"/>
      <c r="O18" s="130"/>
      <c r="P18" s="159"/>
      <c r="Q18" s="159"/>
    </row>
    <row r="19" spans="1:17" s="72" customFormat="1" ht="15" x14ac:dyDescent="0.2">
      <c r="A19" s="63"/>
      <c r="B19" s="176" t="s">
        <v>59</v>
      </c>
      <c r="C19" s="192" t="s">
        <v>149</v>
      </c>
      <c r="D19" s="75"/>
      <c r="E19" s="128"/>
      <c r="F19" s="129"/>
      <c r="G19" s="129"/>
      <c r="H19" s="129"/>
      <c r="I19" s="153"/>
      <c r="J19" s="128"/>
      <c r="K19" s="128"/>
      <c r="L19" s="128"/>
      <c r="M19" s="120"/>
      <c r="N19" s="126"/>
      <c r="O19" s="127"/>
      <c r="P19" s="159"/>
      <c r="Q19" s="159"/>
    </row>
    <row r="20" spans="1:17" s="72" customFormat="1" ht="14.25" x14ac:dyDescent="0.2">
      <c r="A20" s="63"/>
      <c r="B20" s="175"/>
      <c r="C20" s="64"/>
      <c r="D20" s="75"/>
      <c r="E20" s="134"/>
      <c r="F20" s="134"/>
      <c r="G20" s="134"/>
      <c r="H20" s="135"/>
      <c r="I20" s="152"/>
      <c r="J20" s="135"/>
      <c r="K20" s="136"/>
      <c r="L20" s="135"/>
      <c r="M20" s="137"/>
      <c r="N20" s="144"/>
      <c r="O20" s="130"/>
      <c r="P20" s="159"/>
      <c r="Q20" s="159"/>
    </row>
    <row r="21" spans="1:17" s="72" customFormat="1" ht="14.25" x14ac:dyDescent="0.2">
      <c r="A21" s="63"/>
      <c r="B21" s="143"/>
      <c r="C21" s="64"/>
      <c r="D21" s="75"/>
      <c r="E21" s="134"/>
      <c r="F21" s="134"/>
      <c r="G21" s="134"/>
      <c r="H21" s="135"/>
      <c r="I21" s="152"/>
      <c r="J21" s="135"/>
      <c r="K21" s="136"/>
      <c r="L21" s="135"/>
      <c r="M21" s="137"/>
      <c r="N21" s="144"/>
      <c r="O21" s="130"/>
      <c r="P21" s="159"/>
      <c r="Q21" s="159"/>
    </row>
    <row r="22" spans="1:17" s="72" customFormat="1" ht="15" x14ac:dyDescent="0.2">
      <c r="A22" s="63"/>
      <c r="B22" s="176" t="s">
        <v>60</v>
      </c>
      <c r="C22" s="64"/>
      <c r="D22" s="75"/>
      <c r="E22" s="128"/>
      <c r="F22" s="129"/>
      <c r="G22" s="129"/>
      <c r="H22" s="129"/>
      <c r="I22" s="153"/>
      <c r="J22" s="128"/>
      <c r="K22" s="128"/>
      <c r="L22" s="128"/>
      <c r="M22" s="120"/>
      <c r="N22" s="126"/>
      <c r="O22" s="127"/>
      <c r="P22" s="159"/>
      <c r="Q22" s="159"/>
    </row>
    <row r="23" spans="1:17" s="72" customFormat="1" ht="15" x14ac:dyDescent="0.2">
      <c r="A23" s="63"/>
      <c r="B23" s="176"/>
      <c r="C23" s="64"/>
      <c r="D23" s="75"/>
      <c r="E23" s="128"/>
      <c r="F23" s="129"/>
      <c r="G23" s="129"/>
      <c r="H23" s="129"/>
      <c r="I23" s="153"/>
      <c r="J23" s="128"/>
      <c r="K23" s="128"/>
      <c r="L23" s="128"/>
      <c r="M23" s="120"/>
      <c r="N23" s="126"/>
      <c r="O23" s="127"/>
      <c r="P23" s="159"/>
      <c r="Q23" s="159"/>
    </row>
    <row r="24" spans="1:17" s="72" customFormat="1" ht="14.25" x14ac:dyDescent="0.2">
      <c r="A24" s="63"/>
      <c r="B24" s="196" t="s">
        <v>165</v>
      </c>
      <c r="C24" s="64">
        <v>204</v>
      </c>
      <c r="D24" s="75" t="s">
        <v>151</v>
      </c>
      <c r="E24" s="134">
        <v>1.25</v>
      </c>
      <c r="F24" s="134">
        <f t="shared" ref="F24:F29" si="0">C24*E24</f>
        <v>255</v>
      </c>
      <c r="G24" s="134">
        <f t="shared" ref="G24:G29" si="1">$H$11*E24</f>
        <v>62.5</v>
      </c>
      <c r="H24" s="135">
        <f t="shared" ref="H24:H29" si="2">F24*$H$11</f>
        <v>12750</v>
      </c>
      <c r="I24" s="247">
        <v>85.95</v>
      </c>
      <c r="J24" s="135">
        <f t="shared" ref="J24:J29" si="3">C24*I24</f>
        <v>17533.8</v>
      </c>
      <c r="K24" s="136">
        <f t="shared" ref="K24:K29" si="4">SUM(H24,J24)</f>
        <v>30283.8</v>
      </c>
      <c r="L24" s="135">
        <f t="shared" ref="L24:L29" si="5">K24/C24</f>
        <v>148.44999999999999</v>
      </c>
      <c r="M24" s="137">
        <f t="shared" ref="M24:M29" si="6">C24*L24</f>
        <v>30283.8</v>
      </c>
      <c r="N24" s="144">
        <v>0</v>
      </c>
      <c r="O24" s="130">
        <f t="shared" ref="O24:O29" si="7">M24*N24</f>
        <v>0</v>
      </c>
      <c r="P24" s="159"/>
      <c r="Q24" s="159"/>
    </row>
    <row r="25" spans="1:17" s="72" customFormat="1" ht="14.25" x14ac:dyDescent="0.2">
      <c r="A25" s="63"/>
      <c r="B25" s="196" t="s">
        <v>757</v>
      </c>
      <c r="C25" s="64">
        <v>204</v>
      </c>
      <c r="D25" s="75" t="s">
        <v>151</v>
      </c>
      <c r="E25" s="134">
        <v>0.25</v>
      </c>
      <c r="F25" s="134">
        <f t="shared" si="0"/>
        <v>51</v>
      </c>
      <c r="G25" s="134">
        <f t="shared" si="1"/>
        <v>12.5</v>
      </c>
      <c r="H25" s="135">
        <f t="shared" si="2"/>
        <v>2550</v>
      </c>
      <c r="I25" s="247">
        <v>0</v>
      </c>
      <c r="J25" s="135">
        <f t="shared" si="3"/>
        <v>0</v>
      </c>
      <c r="K25" s="136">
        <f t="shared" si="4"/>
        <v>2550</v>
      </c>
      <c r="L25" s="135">
        <f t="shared" si="5"/>
        <v>12.5</v>
      </c>
      <c r="M25" s="137">
        <f t="shared" si="6"/>
        <v>2550</v>
      </c>
      <c r="N25" s="144">
        <v>0</v>
      </c>
      <c r="O25" s="130">
        <f t="shared" si="7"/>
        <v>0</v>
      </c>
      <c r="P25" s="159"/>
      <c r="Q25" s="159"/>
    </row>
    <row r="26" spans="1:17" s="72" customFormat="1" ht="14.25" x14ac:dyDescent="0.2">
      <c r="A26" s="63"/>
      <c r="B26" s="143" t="s">
        <v>162</v>
      </c>
      <c r="C26" s="64">
        <v>204</v>
      </c>
      <c r="D26" s="75" t="s">
        <v>151</v>
      </c>
      <c r="E26" s="134">
        <v>0.25</v>
      </c>
      <c r="F26" s="134">
        <f t="shared" si="0"/>
        <v>51</v>
      </c>
      <c r="G26" s="134">
        <f t="shared" si="1"/>
        <v>12.5</v>
      </c>
      <c r="H26" s="135">
        <f t="shared" si="2"/>
        <v>2550</v>
      </c>
      <c r="I26" s="247">
        <v>3.35</v>
      </c>
      <c r="J26" s="135">
        <f t="shared" si="3"/>
        <v>683.4</v>
      </c>
      <c r="K26" s="136">
        <f t="shared" si="4"/>
        <v>3233.4</v>
      </c>
      <c r="L26" s="135">
        <f t="shared" si="5"/>
        <v>15.85</v>
      </c>
      <c r="M26" s="137">
        <f t="shared" si="6"/>
        <v>3233.4</v>
      </c>
      <c r="N26" s="144">
        <v>0</v>
      </c>
      <c r="O26" s="130">
        <f t="shared" si="7"/>
        <v>0</v>
      </c>
      <c r="P26" s="159" t="s">
        <v>836</v>
      </c>
      <c r="Q26" s="159"/>
    </row>
    <row r="27" spans="1:17" s="72" customFormat="1" ht="14.25" x14ac:dyDescent="0.2">
      <c r="A27" s="63"/>
      <c r="B27" s="143" t="s">
        <v>790</v>
      </c>
      <c r="C27" s="64">
        <v>1</v>
      </c>
      <c r="D27" s="75" t="s">
        <v>75</v>
      </c>
      <c r="E27" s="134">
        <v>0</v>
      </c>
      <c r="F27" s="134">
        <f t="shared" si="0"/>
        <v>0</v>
      </c>
      <c r="G27" s="134">
        <f t="shared" si="1"/>
        <v>0</v>
      </c>
      <c r="H27" s="135">
        <f t="shared" si="2"/>
        <v>0</v>
      </c>
      <c r="I27" s="229">
        <v>500</v>
      </c>
      <c r="J27" s="135">
        <f t="shared" si="3"/>
        <v>500</v>
      </c>
      <c r="K27" s="136">
        <f t="shared" si="4"/>
        <v>500</v>
      </c>
      <c r="L27" s="135">
        <f t="shared" si="5"/>
        <v>500</v>
      </c>
      <c r="M27" s="137">
        <f t="shared" si="6"/>
        <v>500</v>
      </c>
      <c r="N27" s="144">
        <v>0</v>
      </c>
      <c r="O27" s="130">
        <f t="shared" si="7"/>
        <v>0</v>
      </c>
      <c r="P27" s="159"/>
      <c r="Q27" s="159"/>
    </row>
    <row r="28" spans="1:17" s="72" customFormat="1" ht="14.25" x14ac:dyDescent="0.2">
      <c r="A28" s="63"/>
      <c r="B28" s="196" t="s">
        <v>163</v>
      </c>
      <c r="C28" s="64">
        <v>204</v>
      </c>
      <c r="D28" s="75" t="s">
        <v>151</v>
      </c>
      <c r="E28" s="134">
        <v>0.25</v>
      </c>
      <c r="F28" s="134">
        <f t="shared" si="0"/>
        <v>51</v>
      </c>
      <c r="G28" s="134">
        <f t="shared" si="1"/>
        <v>12.5</v>
      </c>
      <c r="H28" s="135">
        <f t="shared" si="2"/>
        <v>2550</v>
      </c>
      <c r="I28" s="229">
        <v>3</v>
      </c>
      <c r="J28" s="135">
        <f t="shared" si="3"/>
        <v>612</v>
      </c>
      <c r="K28" s="136">
        <f t="shared" si="4"/>
        <v>3162</v>
      </c>
      <c r="L28" s="135">
        <f t="shared" si="5"/>
        <v>15.5</v>
      </c>
      <c r="M28" s="137">
        <f t="shared" si="6"/>
        <v>3162</v>
      </c>
      <c r="N28" s="144">
        <v>0</v>
      </c>
      <c r="O28" s="130">
        <f t="shared" si="7"/>
        <v>0</v>
      </c>
      <c r="P28" s="159"/>
      <c r="Q28" s="159"/>
    </row>
    <row r="29" spans="1:17" s="72" customFormat="1" ht="28.5" customHeight="1" x14ac:dyDescent="0.2">
      <c r="A29" s="63"/>
      <c r="B29" s="542" t="s">
        <v>791</v>
      </c>
      <c r="C29" s="64">
        <v>155</v>
      </c>
      <c r="D29" s="75" t="s">
        <v>116</v>
      </c>
      <c r="E29" s="134">
        <v>0.15</v>
      </c>
      <c r="F29" s="134">
        <f t="shared" si="0"/>
        <v>23.25</v>
      </c>
      <c r="G29" s="134">
        <f t="shared" si="1"/>
        <v>7.5</v>
      </c>
      <c r="H29" s="135">
        <f t="shared" si="2"/>
        <v>1162.5</v>
      </c>
      <c r="I29" s="152">
        <v>20</v>
      </c>
      <c r="J29" s="135">
        <f t="shared" si="3"/>
        <v>3100</v>
      </c>
      <c r="K29" s="136">
        <f t="shared" si="4"/>
        <v>4262.5</v>
      </c>
      <c r="L29" s="135">
        <f t="shared" si="5"/>
        <v>27.5</v>
      </c>
      <c r="M29" s="137">
        <f t="shared" si="6"/>
        <v>4262.5</v>
      </c>
      <c r="N29" s="144">
        <v>0</v>
      </c>
      <c r="O29" s="130">
        <f t="shared" si="7"/>
        <v>0</v>
      </c>
      <c r="P29" s="159"/>
      <c r="Q29" s="159"/>
    </row>
    <row r="30" spans="1:17" s="72" customFormat="1" ht="14.25" x14ac:dyDescent="0.2">
      <c r="A30" s="63"/>
      <c r="B30" s="391"/>
      <c r="C30" s="64"/>
      <c r="D30" s="75"/>
      <c r="E30" s="134"/>
      <c r="F30" s="134"/>
      <c r="G30" s="134"/>
      <c r="H30" s="135"/>
      <c r="I30" s="152"/>
      <c r="J30" s="135"/>
      <c r="K30" s="136"/>
      <c r="L30" s="135"/>
      <c r="M30" s="137"/>
      <c r="N30" s="144"/>
      <c r="O30" s="130"/>
      <c r="P30" s="159"/>
      <c r="Q30" s="159"/>
    </row>
    <row r="31" spans="1:17" s="72" customFormat="1" ht="14.25" x14ac:dyDescent="0.2">
      <c r="A31" s="63"/>
      <c r="B31" s="391"/>
      <c r="C31" s="64"/>
      <c r="D31" s="75"/>
      <c r="E31" s="134"/>
      <c r="F31" s="134"/>
      <c r="G31" s="134"/>
      <c r="H31" s="135"/>
      <c r="I31" s="152"/>
      <c r="J31" s="135"/>
      <c r="K31" s="136"/>
      <c r="L31" s="135"/>
      <c r="M31" s="137"/>
      <c r="N31" s="144"/>
      <c r="O31" s="130"/>
      <c r="P31" s="159"/>
      <c r="Q31" s="159"/>
    </row>
    <row r="32" spans="1:17" s="72" customFormat="1" ht="14.25" x14ac:dyDescent="0.2">
      <c r="A32" s="63"/>
      <c r="B32" s="180" t="s">
        <v>242</v>
      </c>
      <c r="C32" s="64"/>
      <c r="D32" s="75"/>
      <c r="E32" s="134"/>
      <c r="F32" s="134"/>
      <c r="G32" s="134"/>
      <c r="H32" s="135"/>
      <c r="I32" s="152"/>
      <c r="J32" s="135"/>
      <c r="K32" s="136"/>
      <c r="L32" s="135"/>
      <c r="M32" s="137"/>
      <c r="N32" s="144"/>
      <c r="O32" s="130"/>
      <c r="P32" s="159"/>
      <c r="Q32" s="159"/>
    </row>
    <row r="33" spans="1:17" s="72" customFormat="1" ht="14.25" x14ac:dyDescent="0.2">
      <c r="A33" s="63"/>
      <c r="B33" s="121"/>
      <c r="C33" s="64"/>
      <c r="D33" s="75"/>
      <c r="E33" s="128"/>
      <c r="F33" s="129"/>
      <c r="G33" s="129"/>
      <c r="H33" s="129"/>
      <c r="I33" s="153"/>
      <c r="J33" s="128"/>
      <c r="K33" s="128"/>
      <c r="L33" s="128"/>
      <c r="M33" s="120"/>
      <c r="N33" s="126"/>
      <c r="O33" s="127"/>
      <c r="P33" s="159"/>
      <c r="Q33" s="159"/>
    </row>
    <row r="34" spans="1:17" s="72" customFormat="1" ht="15" x14ac:dyDescent="0.2">
      <c r="A34" s="63"/>
      <c r="B34" s="176" t="s">
        <v>58</v>
      </c>
      <c r="C34" s="192" t="s">
        <v>149</v>
      </c>
      <c r="D34" s="75"/>
      <c r="E34" s="128"/>
      <c r="F34" s="129"/>
      <c r="G34" s="129"/>
      <c r="H34" s="129"/>
      <c r="I34" s="153"/>
      <c r="J34" s="128"/>
      <c r="K34" s="128"/>
      <c r="L34" s="128"/>
      <c r="M34" s="120"/>
      <c r="N34" s="126"/>
      <c r="O34" s="127"/>
      <c r="P34" s="159"/>
      <c r="Q34" s="159"/>
    </row>
    <row r="35" spans="1:17" s="72" customFormat="1" ht="14.25" x14ac:dyDescent="0.2">
      <c r="A35" s="63"/>
      <c r="B35" s="143"/>
      <c r="C35" s="192"/>
      <c r="D35" s="75"/>
      <c r="E35" s="134"/>
      <c r="F35" s="134"/>
      <c r="G35" s="134"/>
      <c r="H35" s="135"/>
      <c r="I35" s="152"/>
      <c r="J35" s="135"/>
      <c r="K35" s="136"/>
      <c r="L35" s="135"/>
      <c r="M35" s="137"/>
      <c r="N35" s="144"/>
      <c r="O35" s="130"/>
      <c r="P35" s="159"/>
      <c r="Q35" s="159"/>
    </row>
    <row r="36" spans="1:17" s="72" customFormat="1" ht="14.25" x14ac:dyDescent="0.2">
      <c r="A36" s="63"/>
      <c r="B36" s="143"/>
      <c r="C36" s="64"/>
      <c r="D36" s="75"/>
      <c r="E36" s="134"/>
      <c r="F36" s="134"/>
      <c r="G36" s="134"/>
      <c r="H36" s="135"/>
      <c r="I36" s="152"/>
      <c r="J36" s="135"/>
      <c r="K36" s="136"/>
      <c r="L36" s="135"/>
      <c r="M36" s="137"/>
      <c r="N36" s="144"/>
      <c r="O36" s="130"/>
      <c r="P36" s="159"/>
      <c r="Q36" s="159"/>
    </row>
    <row r="37" spans="1:17" s="72" customFormat="1" ht="15" x14ac:dyDescent="0.2">
      <c r="A37" s="63"/>
      <c r="B37" s="176" t="s">
        <v>59</v>
      </c>
      <c r="C37" s="192" t="s">
        <v>149</v>
      </c>
      <c r="D37" s="75"/>
      <c r="E37" s="128"/>
      <c r="F37" s="129"/>
      <c r="G37" s="129"/>
      <c r="H37" s="129"/>
      <c r="I37" s="153"/>
      <c r="J37" s="128"/>
      <c r="K37" s="128"/>
      <c r="L37" s="128"/>
      <c r="M37" s="120"/>
      <c r="N37" s="126"/>
      <c r="O37" s="127"/>
      <c r="P37" s="159"/>
      <c r="Q37" s="159"/>
    </row>
    <row r="38" spans="1:17" s="72" customFormat="1" ht="14.25" x14ac:dyDescent="0.2">
      <c r="A38" s="63"/>
      <c r="B38" s="143"/>
      <c r="C38" s="75"/>
      <c r="D38" s="75"/>
      <c r="E38" s="134"/>
      <c r="F38" s="134"/>
      <c r="G38" s="134"/>
      <c r="H38" s="135"/>
      <c r="I38" s="152"/>
      <c r="J38" s="135"/>
      <c r="K38" s="136"/>
      <c r="L38" s="135"/>
      <c r="M38" s="137"/>
      <c r="N38" s="144"/>
      <c r="O38" s="130"/>
      <c r="P38" s="159"/>
      <c r="Q38" s="159"/>
    </row>
    <row r="39" spans="1:17" s="72" customFormat="1" ht="14.25" x14ac:dyDescent="0.2">
      <c r="A39" s="63"/>
      <c r="B39" s="143"/>
      <c r="C39" s="64"/>
      <c r="D39" s="75"/>
      <c r="E39" s="134"/>
      <c r="F39" s="134"/>
      <c r="G39" s="134"/>
      <c r="H39" s="135"/>
      <c r="I39" s="152"/>
      <c r="J39" s="135"/>
      <c r="K39" s="136"/>
      <c r="L39" s="135"/>
      <c r="M39" s="137"/>
      <c r="N39" s="144"/>
      <c r="O39" s="130"/>
      <c r="P39" s="159"/>
      <c r="Q39" s="159"/>
    </row>
    <row r="40" spans="1:17" s="72" customFormat="1" ht="15" x14ac:dyDescent="0.2">
      <c r="A40" s="63"/>
      <c r="B40" s="176" t="s">
        <v>60</v>
      </c>
      <c r="C40" s="192" t="s">
        <v>149</v>
      </c>
      <c r="D40" s="75"/>
      <c r="E40" s="128"/>
      <c r="F40" s="129"/>
      <c r="G40" s="129"/>
      <c r="H40" s="129"/>
      <c r="I40" s="153"/>
      <c r="J40" s="128"/>
      <c r="K40" s="128"/>
      <c r="L40" s="128"/>
      <c r="M40" s="120"/>
      <c r="N40" s="126"/>
      <c r="O40" s="127"/>
      <c r="P40" s="159"/>
      <c r="Q40" s="159"/>
    </row>
    <row r="41" spans="1:17" s="72" customFormat="1" ht="15" x14ac:dyDescent="0.2">
      <c r="A41" s="63"/>
      <c r="B41" s="176"/>
      <c r="C41" s="64"/>
      <c r="D41" s="75"/>
      <c r="E41" s="128"/>
      <c r="F41" s="129"/>
      <c r="G41" s="129"/>
      <c r="H41" s="129"/>
      <c r="I41" s="153"/>
      <c r="J41" s="128"/>
      <c r="K41" s="128"/>
      <c r="L41" s="128"/>
      <c r="M41" s="120"/>
      <c r="N41" s="126"/>
      <c r="O41" s="127"/>
      <c r="P41" s="159"/>
      <c r="Q41" s="159"/>
    </row>
    <row r="42" spans="1:17" ht="23.25" customHeight="1" x14ac:dyDescent="0.2">
      <c r="A42" s="63"/>
      <c r="B42" s="132"/>
      <c r="C42" s="138"/>
      <c r="D42" s="142"/>
      <c r="E42" s="133"/>
      <c r="F42" s="134"/>
      <c r="G42" s="134"/>
      <c r="H42" s="135"/>
      <c r="I42" s="135"/>
      <c r="J42" s="135"/>
      <c r="K42" s="136"/>
      <c r="L42" s="135"/>
      <c r="M42" s="137"/>
      <c r="N42" s="131"/>
      <c r="O42" s="130"/>
      <c r="P42" s="60"/>
      <c r="Q42" s="59"/>
    </row>
    <row r="43" spans="1:17" ht="24" customHeight="1" x14ac:dyDescent="0.2">
      <c r="A43" s="30"/>
      <c r="B43" s="31"/>
      <c r="C43" s="32"/>
      <c r="D43" s="33"/>
      <c r="E43" s="33"/>
      <c r="F43" s="33">
        <f>SUM(F13:F42)</f>
        <v>431.25</v>
      </c>
      <c r="G43" s="33"/>
      <c r="H43" s="86">
        <f>SUM(H13:H42)</f>
        <v>21562.5</v>
      </c>
      <c r="I43" s="33"/>
      <c r="J43" s="78">
        <f>SUM(J13:J42)</f>
        <v>22429.200000000001</v>
      </c>
      <c r="K43" s="33"/>
      <c r="L43" s="33"/>
      <c r="M43" s="68"/>
      <c r="N43" s="94"/>
      <c r="O43" s="104"/>
      <c r="P43" s="60"/>
      <c r="Q43" s="59"/>
    </row>
    <row r="44" spans="1:17" ht="15" customHeight="1" x14ac:dyDescent="0.2">
      <c r="A44" s="15"/>
      <c r="B44" s="28" t="s">
        <v>16</v>
      </c>
      <c r="C44" s="24"/>
      <c r="D44" s="25"/>
      <c r="E44" s="25"/>
      <c r="F44" s="25"/>
      <c r="G44" s="25"/>
      <c r="H44" s="25"/>
      <c r="I44" s="25"/>
      <c r="J44" s="25"/>
      <c r="K44" s="25"/>
      <c r="L44" s="25"/>
      <c r="M44" s="26">
        <f>SUM(M13:M42)</f>
        <v>43991.700000000004</v>
      </c>
      <c r="N44" s="100"/>
      <c r="O44" s="103">
        <f>SUM(O13:O42)</f>
        <v>0</v>
      </c>
      <c r="P44" s="60"/>
      <c r="Q44" s="65"/>
    </row>
    <row r="45" spans="1:17" x14ac:dyDescent="0.2">
      <c r="A45" s="13"/>
      <c r="B45" s="35" t="s">
        <v>12</v>
      </c>
      <c r="C45" s="24"/>
      <c r="D45" s="36"/>
      <c r="E45" s="36"/>
      <c r="F45" s="36"/>
      <c r="G45" s="36"/>
      <c r="H45" s="36"/>
      <c r="I45" s="36"/>
      <c r="J45" s="36"/>
      <c r="K45" s="36"/>
      <c r="L45" s="36"/>
      <c r="M45" s="26"/>
      <c r="N45" s="100"/>
      <c r="O45" s="103"/>
      <c r="P45" s="60"/>
      <c r="Q45" s="65"/>
    </row>
    <row r="46" spans="1:17" ht="24" customHeight="1" x14ac:dyDescent="0.2">
      <c r="A46" s="13"/>
      <c r="B46" s="37"/>
      <c r="C46" s="24"/>
      <c r="D46" s="36"/>
      <c r="E46" s="36"/>
      <c r="F46" s="36"/>
      <c r="G46" s="36"/>
      <c r="H46" s="36"/>
      <c r="I46" s="36"/>
      <c r="J46" s="36"/>
      <c r="K46" s="36"/>
      <c r="L46" s="36"/>
      <c r="M46" s="26"/>
      <c r="N46" s="100"/>
      <c r="O46" s="103"/>
      <c r="P46" s="60"/>
      <c r="Q46" s="59"/>
    </row>
    <row r="47" spans="1:17" ht="18.75" customHeight="1" x14ac:dyDescent="0.2">
      <c r="A47" s="15"/>
      <c r="B47" s="13" t="s">
        <v>8</v>
      </c>
      <c r="C47" s="24"/>
      <c r="D47" s="36" t="s">
        <v>5</v>
      </c>
      <c r="E47" s="36"/>
      <c r="F47" s="36"/>
      <c r="G47" s="36"/>
      <c r="H47" s="36"/>
      <c r="I47" s="36"/>
      <c r="J47" s="36"/>
      <c r="K47" s="36"/>
      <c r="L47" s="609">
        <v>2.0500000000000001E-2</v>
      </c>
      <c r="M47" s="84">
        <f>M44*L47</f>
        <v>901.82985000000008</v>
      </c>
      <c r="N47" s="100"/>
      <c r="O47" s="103">
        <f>(O44/M44)*M47</f>
        <v>0</v>
      </c>
    </row>
    <row r="48" spans="1:17" ht="18.75" customHeight="1" x14ac:dyDescent="0.2">
      <c r="A48" s="38"/>
      <c r="B48" s="13"/>
      <c r="C48" s="24"/>
      <c r="D48" s="36"/>
      <c r="E48" s="36"/>
      <c r="F48" s="36"/>
      <c r="G48" s="36"/>
      <c r="H48" s="36"/>
      <c r="I48" s="36"/>
      <c r="J48" s="36"/>
      <c r="K48" s="36"/>
      <c r="L48" s="36"/>
      <c r="M48" s="26"/>
      <c r="N48" s="100"/>
      <c r="O48" s="103"/>
    </row>
    <row r="49" spans="1:17" s="42" customFormat="1" x14ac:dyDescent="0.2">
      <c r="A49" s="15"/>
      <c r="B49" s="39" t="s">
        <v>9</v>
      </c>
      <c r="C49" s="40"/>
      <c r="D49" s="41" t="s">
        <v>5</v>
      </c>
      <c r="E49" s="41"/>
      <c r="F49" s="41"/>
      <c r="G49" s="41"/>
      <c r="H49" s="41"/>
      <c r="I49" s="41"/>
      <c r="J49" s="41"/>
      <c r="K49" s="41"/>
      <c r="L49" s="79">
        <v>0.01</v>
      </c>
      <c r="M49" s="34">
        <f>M44*L49</f>
        <v>439.91700000000003</v>
      </c>
      <c r="N49" s="100"/>
      <c r="O49" s="103">
        <f>(O44/M44)*M49</f>
        <v>0</v>
      </c>
    </row>
    <row r="50" spans="1:17" s="42" customFormat="1" x14ac:dyDescent="0.2">
      <c r="A50" s="15"/>
      <c r="B50" s="39"/>
      <c r="C50" s="40"/>
      <c r="D50" s="41"/>
      <c r="E50" s="41"/>
      <c r="F50" s="41"/>
      <c r="G50" s="41"/>
      <c r="H50" s="41"/>
      <c r="I50" s="41"/>
      <c r="J50" s="41"/>
      <c r="K50" s="41"/>
      <c r="L50" s="41"/>
      <c r="M50" s="34"/>
      <c r="N50" s="100"/>
      <c r="O50" s="103"/>
    </row>
    <row r="51" spans="1:17" s="42" customFormat="1" x14ac:dyDescent="0.2">
      <c r="A51" s="15"/>
      <c r="B51" s="39" t="s">
        <v>10</v>
      </c>
      <c r="C51" s="40"/>
      <c r="D51" s="41" t="s">
        <v>5</v>
      </c>
      <c r="E51" s="41"/>
      <c r="F51" s="41"/>
      <c r="G51" s="41"/>
      <c r="H51" s="41"/>
      <c r="I51" s="41"/>
      <c r="J51" s="41"/>
      <c r="K51" s="41"/>
      <c r="L51" s="79">
        <v>2.5000000000000001E-3</v>
      </c>
      <c r="M51" s="34">
        <f>M44*L51</f>
        <v>109.97925000000001</v>
      </c>
      <c r="N51" s="100"/>
      <c r="O51" s="103">
        <f>(O44/M44)*M51</f>
        <v>0</v>
      </c>
    </row>
    <row r="52" spans="1:17" s="42" customFormat="1" ht="20.25" customHeight="1" x14ac:dyDescent="0.2">
      <c r="A52" s="15"/>
      <c r="B52" s="80"/>
      <c r="C52" s="81"/>
      <c r="D52" s="82"/>
      <c r="E52" s="82"/>
      <c r="F52" s="82"/>
      <c r="G52" s="82"/>
      <c r="H52" s="82"/>
      <c r="I52" s="82"/>
      <c r="J52" s="82"/>
      <c r="K52" s="82"/>
      <c r="L52" s="82"/>
      <c r="M52" s="85"/>
      <c r="N52" s="100"/>
      <c r="O52" s="103"/>
    </row>
    <row r="53" spans="1:17" s="42" customFormat="1" ht="21.75" customHeight="1" x14ac:dyDescent="0.2">
      <c r="A53" s="29"/>
      <c r="B53" s="141" t="s">
        <v>42</v>
      </c>
      <c r="C53" s="81"/>
      <c r="D53" s="82" t="s">
        <v>5</v>
      </c>
      <c r="E53" s="82"/>
      <c r="F53" s="82"/>
      <c r="G53" s="82"/>
      <c r="H53" s="82"/>
      <c r="I53" s="82"/>
      <c r="J53" s="82"/>
      <c r="K53" s="82"/>
      <c r="L53" s="83">
        <f>M53/M44</f>
        <v>2.205671751716801E-2</v>
      </c>
      <c r="M53" s="85">
        <f>I66</f>
        <v>970.3125</v>
      </c>
      <c r="N53" s="100"/>
      <c r="O53" s="103"/>
      <c r="P53" s="172"/>
    </row>
    <row r="54" spans="1:17" s="42" customFormat="1" ht="18" customHeight="1" x14ac:dyDescent="0.2">
      <c r="A54" s="29"/>
      <c r="B54" s="80"/>
      <c r="C54" s="81"/>
      <c r="D54" s="82"/>
      <c r="E54" s="82"/>
      <c r="F54" s="82"/>
      <c r="G54" s="82"/>
      <c r="H54" s="82"/>
      <c r="I54" s="82"/>
      <c r="J54" s="82"/>
      <c r="K54" s="82"/>
      <c r="L54" s="82"/>
      <c r="M54" s="85"/>
      <c r="N54" s="100"/>
      <c r="O54" s="103"/>
    </row>
    <row r="55" spans="1:17" s="42" customFormat="1" x14ac:dyDescent="0.2">
      <c r="A55" s="29"/>
      <c r="B55" s="80" t="s">
        <v>44</v>
      </c>
      <c r="C55" s="81"/>
      <c r="D55" s="82" t="s">
        <v>5</v>
      </c>
      <c r="E55" s="82"/>
      <c r="F55" s="82"/>
      <c r="G55" s="82"/>
      <c r="H55" s="82"/>
      <c r="I55" s="82"/>
      <c r="J55" s="82"/>
      <c r="K55" s="82"/>
      <c r="L55" s="83"/>
      <c r="M55" s="85"/>
      <c r="N55" s="100"/>
      <c r="O55" s="103">
        <f>M55*N55</f>
        <v>0</v>
      </c>
    </row>
    <row r="56" spans="1:17" s="42" customFormat="1" x14ac:dyDescent="0.2">
      <c r="A56" s="15"/>
      <c r="B56" s="80"/>
      <c r="C56" s="81"/>
      <c r="D56" s="82"/>
      <c r="E56" s="82"/>
      <c r="F56" s="82"/>
      <c r="G56" s="82"/>
      <c r="H56" s="82"/>
      <c r="I56" s="82"/>
      <c r="J56" s="82"/>
      <c r="K56" s="82"/>
      <c r="L56" s="82"/>
      <c r="M56" s="34"/>
      <c r="N56" s="100"/>
      <c r="O56" s="105"/>
    </row>
    <row r="57" spans="1:17" ht="18.75" customHeight="1" x14ac:dyDescent="0.2">
      <c r="A57" s="43"/>
      <c r="B57" s="44" t="s">
        <v>17</v>
      </c>
      <c r="C57" s="45"/>
      <c r="D57" s="46"/>
      <c r="E57" s="46"/>
      <c r="F57" s="46"/>
      <c r="G57" s="46"/>
      <c r="H57" s="46"/>
      <c r="I57" s="46"/>
      <c r="J57" s="46"/>
      <c r="K57" s="46"/>
      <c r="L57" s="46"/>
      <c r="M57" s="69">
        <f>SUM(M44:M56)</f>
        <v>46413.738600000004</v>
      </c>
      <c r="N57" s="101"/>
      <c r="O57" s="106">
        <f>SUM(O44:O56)</f>
        <v>0</v>
      </c>
      <c r="P57" s="42"/>
      <c r="Q57" s="42"/>
    </row>
    <row r="58" spans="1:17" ht="16.5" customHeight="1" x14ac:dyDescent="0.2">
      <c r="A58" s="15"/>
      <c r="B58" s="19"/>
      <c r="C58" s="24"/>
      <c r="D58" s="36"/>
      <c r="E58" s="36"/>
      <c r="F58" s="36"/>
      <c r="G58" s="36"/>
      <c r="H58" s="36"/>
      <c r="I58" s="36"/>
      <c r="J58" s="36"/>
      <c r="K58" s="36"/>
      <c r="L58" s="36"/>
      <c r="M58" s="26"/>
      <c r="N58" s="95"/>
      <c r="O58" s="107"/>
      <c r="P58" s="42"/>
      <c r="Q58" s="42"/>
    </row>
    <row r="59" spans="1:17" x14ac:dyDescent="0.2">
      <c r="A59" s="15"/>
      <c r="B59" s="19" t="s">
        <v>11</v>
      </c>
      <c r="C59" s="24"/>
      <c r="D59" s="36"/>
      <c r="E59" s="36"/>
      <c r="F59" s="36"/>
      <c r="G59" s="36"/>
      <c r="H59" s="36"/>
      <c r="I59" s="36"/>
      <c r="J59" s="36"/>
      <c r="K59" s="36"/>
      <c r="L59" s="79">
        <v>0.05</v>
      </c>
      <c r="M59" s="26">
        <f>M57*L59</f>
        <v>2320.6869300000003</v>
      </c>
      <c r="N59" s="95"/>
      <c r="O59" s="107">
        <f>O57/M57*M59</f>
        <v>0</v>
      </c>
      <c r="P59" s="42"/>
      <c r="Q59" s="42"/>
    </row>
    <row r="60" spans="1:17" x14ac:dyDescent="0.2">
      <c r="A60" s="47"/>
      <c r="B60" s="48"/>
      <c r="C60" s="49"/>
      <c r="D60" s="49"/>
      <c r="E60" s="49"/>
      <c r="F60" s="49"/>
      <c r="G60" s="49"/>
      <c r="H60" s="49"/>
      <c r="I60" s="49"/>
      <c r="J60" s="49"/>
      <c r="K60" s="49"/>
      <c r="L60" s="174"/>
      <c r="M60" s="70"/>
      <c r="N60" s="95"/>
      <c r="O60" s="107"/>
      <c r="P60" s="42"/>
      <c r="Q60" s="42"/>
    </row>
    <row r="61" spans="1:17" ht="27.75" customHeight="1" x14ac:dyDescent="0.2">
      <c r="A61" s="50"/>
      <c r="B61" s="56" t="s">
        <v>858</v>
      </c>
      <c r="C61" s="51"/>
      <c r="D61" s="52"/>
      <c r="E61" s="52"/>
      <c r="F61" s="52"/>
      <c r="G61" s="52"/>
      <c r="H61" s="52"/>
      <c r="I61" s="52"/>
      <c r="J61" s="52"/>
      <c r="K61" s="52"/>
      <c r="L61" s="173"/>
      <c r="M61" s="71">
        <f>ROUNDUP(SUM(M57:M60),0)</f>
        <v>48735</v>
      </c>
      <c r="N61" s="151">
        <f>O61/M61</f>
        <v>0</v>
      </c>
      <c r="O61" s="109">
        <f>SUM(O57:O60)</f>
        <v>0</v>
      </c>
      <c r="P61" s="42"/>
      <c r="Q61" s="42"/>
    </row>
    <row r="62" spans="1:17" ht="13.5" customHeight="1" x14ac:dyDescent="0.2">
      <c r="A62" s="161"/>
      <c r="B62" s="162"/>
      <c r="C62" s="163"/>
      <c r="D62" s="164"/>
      <c r="E62" s="164"/>
      <c r="F62" s="164"/>
      <c r="G62" s="72"/>
      <c r="H62" s="72"/>
      <c r="I62" s="72"/>
      <c r="J62" s="72"/>
      <c r="K62" s="164"/>
      <c r="L62" s="164"/>
      <c r="M62" s="165"/>
      <c r="N62" s="166">
        <f>SUM(L46:L56)</f>
        <v>5.5056717517168008E-2</v>
      </c>
      <c r="O62" s="240"/>
      <c r="P62" s="166">
        <f>L59</f>
        <v>0.05</v>
      </c>
      <c r="Q62" s="42"/>
    </row>
    <row r="63" spans="1:17" ht="13.5" customHeight="1" x14ac:dyDescent="0.2">
      <c r="A63" s="161"/>
      <c r="B63" s="162"/>
      <c r="C63" s="163"/>
      <c r="D63" s="164"/>
      <c r="E63" s="164"/>
      <c r="F63" s="167"/>
      <c r="G63" s="410" t="s">
        <v>45</v>
      </c>
      <c r="H63" s="411"/>
      <c r="I63" s="411"/>
      <c r="J63" s="412"/>
      <c r="K63" s="164"/>
      <c r="L63" s="169" t="s">
        <v>328</v>
      </c>
      <c r="M63" s="165"/>
      <c r="N63" s="166"/>
      <c r="O63" s="156">
        <f>SUM(M63:N63)</f>
        <v>0</v>
      </c>
      <c r="P63" s="42"/>
      <c r="Q63" s="565">
        <f>SUM(O63:P63)</f>
        <v>0</v>
      </c>
    </row>
    <row r="64" spans="1:17" ht="13.5" customHeight="1" x14ac:dyDescent="0.2">
      <c r="A64" s="161"/>
      <c r="B64" s="162"/>
      <c r="C64" s="163"/>
      <c r="D64" s="164"/>
      <c r="E64" s="164"/>
      <c r="F64" s="164"/>
      <c r="G64" s="413"/>
      <c r="H64" s="414" t="s">
        <v>583</v>
      </c>
      <c r="I64" s="72"/>
      <c r="J64" s="415"/>
      <c r="K64" s="164"/>
      <c r="L64" s="169"/>
      <c r="M64" s="165"/>
      <c r="N64" s="166"/>
      <c r="O64" s="156"/>
      <c r="P64" s="42"/>
      <c r="Q64" s="566"/>
    </row>
    <row r="65" spans="2:17" ht="13.5" customHeight="1" x14ac:dyDescent="0.2">
      <c r="F65" s="168"/>
      <c r="G65" s="413">
        <f>F43/8</f>
        <v>53.90625</v>
      </c>
      <c r="H65" s="416">
        <v>1</v>
      </c>
      <c r="I65" s="72"/>
      <c r="J65" s="415"/>
      <c r="K65" s="164"/>
      <c r="L65" s="169" t="s">
        <v>329</v>
      </c>
      <c r="M65" s="53"/>
      <c r="N65" s="96"/>
      <c r="O65" s="156">
        <f>SUM(M65:N65)</f>
        <v>0</v>
      </c>
      <c r="P65" s="42"/>
      <c r="Q65" s="219">
        <f>SUM(O65:P65)</f>
        <v>0</v>
      </c>
    </row>
    <row r="66" spans="2:17" ht="13.5" customHeight="1" x14ac:dyDescent="0.2">
      <c r="F66" s="168"/>
      <c r="G66" s="413">
        <f>G65/H65</f>
        <v>53.90625</v>
      </c>
      <c r="H66" s="61">
        <v>18</v>
      </c>
      <c r="I66" s="61">
        <f>G66*H66</f>
        <v>970.3125</v>
      </c>
      <c r="J66" s="415"/>
      <c r="K66" s="164"/>
      <c r="L66" s="169"/>
      <c r="M66" s="53"/>
      <c r="N66" s="96"/>
      <c r="O66" s="156"/>
      <c r="P66" s="42"/>
      <c r="Q66" s="566"/>
    </row>
    <row r="67" spans="2:17" x14ac:dyDescent="0.2">
      <c r="F67" s="168"/>
      <c r="G67" s="413"/>
      <c r="H67" s="72"/>
      <c r="I67" s="72"/>
      <c r="J67" s="415"/>
      <c r="K67" s="644">
        <f>F43</f>
        <v>431.25</v>
      </c>
      <c r="L67" s="169" t="s">
        <v>330</v>
      </c>
      <c r="M67" s="53"/>
      <c r="N67" s="96"/>
      <c r="O67" s="156">
        <f>SUM(M67:N67)</f>
        <v>0</v>
      </c>
      <c r="P67" s="42"/>
      <c r="Q67" s="567">
        <f>SUM(O67:P67)</f>
        <v>0</v>
      </c>
    </row>
    <row r="68" spans="2:17" x14ac:dyDescent="0.2">
      <c r="G68" s="417"/>
      <c r="H68" s="418"/>
      <c r="I68" s="418"/>
      <c r="J68" s="419"/>
      <c r="L68" s="556"/>
      <c r="M68" s="557"/>
      <c r="N68" s="558"/>
      <c r="O68" s="559"/>
      <c r="P68" s="546"/>
      <c r="Q68" s="546"/>
    </row>
    <row r="69" spans="2:17" x14ac:dyDescent="0.2">
      <c r="M69" s="53">
        <f>SUM(M63:M68)</f>
        <v>0</v>
      </c>
      <c r="N69" s="96"/>
      <c r="O69" s="108"/>
      <c r="P69" s="42"/>
      <c r="Q69" s="569">
        <f>SUM(Q63:Q68)</f>
        <v>0</v>
      </c>
    </row>
    <row r="70" spans="2:17" ht="15" x14ac:dyDescent="0.25">
      <c r="B70" s="113" t="s">
        <v>30</v>
      </c>
      <c r="C70" s="114"/>
      <c r="D70" s="114"/>
      <c r="E70" s="114"/>
      <c r="F70" s="114"/>
      <c r="I70" s="113" t="s">
        <v>30</v>
      </c>
      <c r="J70" s="114"/>
      <c r="K70" s="114"/>
      <c r="L70" s="114"/>
      <c r="M70" s="114"/>
      <c r="O70" s="108"/>
      <c r="P70" s="42"/>
      <c r="Q70" s="42"/>
    </row>
    <row r="71" spans="2:17" x14ac:dyDescent="0.2">
      <c r="B71" s="115" t="s">
        <v>43</v>
      </c>
      <c r="C71" s="116"/>
      <c r="D71" s="111"/>
      <c r="E71" s="111"/>
      <c r="F71" s="111"/>
      <c r="I71" s="115" t="s">
        <v>31</v>
      </c>
      <c r="J71" s="116"/>
      <c r="K71" s="111"/>
      <c r="L71" s="111"/>
      <c r="M71" s="111"/>
      <c r="O71" s="108"/>
      <c r="P71" s="42"/>
      <c r="Q71" s="42"/>
    </row>
    <row r="72" spans="2:17" ht="15" x14ac:dyDescent="0.25">
      <c r="B72" s="115" t="s">
        <v>32</v>
      </c>
      <c r="C72" s="116" t="s">
        <v>33</v>
      </c>
      <c r="D72" s="111" t="s">
        <v>34</v>
      </c>
      <c r="E72" s="111" t="s">
        <v>35</v>
      </c>
      <c r="F72" s="114"/>
      <c r="I72" s="115" t="s">
        <v>32</v>
      </c>
      <c r="J72" s="116" t="s">
        <v>33</v>
      </c>
      <c r="K72" s="111" t="s">
        <v>34</v>
      </c>
      <c r="L72" s="111" t="s">
        <v>35</v>
      </c>
      <c r="M72" s="114"/>
      <c r="O72" s="108"/>
      <c r="P72" s="42"/>
      <c r="Q72" s="42"/>
    </row>
    <row r="73" spans="2:17" x14ac:dyDescent="0.2">
      <c r="B73" s="117">
        <v>1</v>
      </c>
      <c r="C73" s="116">
        <v>55</v>
      </c>
      <c r="D73" s="111">
        <f>B73*C73</f>
        <v>55</v>
      </c>
      <c r="E73" s="111">
        <f>D73*F73</f>
        <v>110</v>
      </c>
      <c r="F73" s="118">
        <v>2</v>
      </c>
      <c r="I73" s="117">
        <v>4</v>
      </c>
      <c r="J73" s="116">
        <v>55</v>
      </c>
      <c r="K73" s="111">
        <f>I73*J73</f>
        <v>220</v>
      </c>
      <c r="L73" s="111">
        <f>K73*M73</f>
        <v>440</v>
      </c>
      <c r="M73" s="118">
        <v>2</v>
      </c>
      <c r="O73" s="108"/>
      <c r="P73" s="42"/>
      <c r="Q73" s="42"/>
    </row>
    <row r="74" spans="2:17" x14ac:dyDescent="0.2">
      <c r="B74" s="115" t="s">
        <v>36</v>
      </c>
      <c r="C74" s="116"/>
      <c r="D74" s="111"/>
      <c r="E74" s="111" t="s">
        <v>37</v>
      </c>
      <c r="F74" s="111"/>
      <c r="I74" s="115" t="s">
        <v>36</v>
      </c>
      <c r="J74" s="116"/>
      <c r="K74" s="111"/>
      <c r="L74" s="111" t="s">
        <v>37</v>
      </c>
      <c r="M74" s="111"/>
      <c r="O74" s="108"/>
      <c r="P74" s="42"/>
      <c r="Q74" s="42"/>
    </row>
    <row r="75" spans="2:17" ht="15" x14ac:dyDescent="0.25">
      <c r="B75" s="115">
        <v>0.7</v>
      </c>
      <c r="C75" s="119"/>
      <c r="D75" s="114"/>
      <c r="E75" s="111">
        <f>B75*C75</f>
        <v>0</v>
      </c>
      <c r="F75" s="111"/>
      <c r="I75" s="115">
        <v>0.7</v>
      </c>
      <c r="J75" s="119">
        <v>310</v>
      </c>
      <c r="K75" s="114"/>
      <c r="L75" s="111">
        <f>I75*J75</f>
        <v>217</v>
      </c>
      <c r="M75" s="111"/>
      <c r="O75" s="108"/>
      <c r="P75" s="42"/>
      <c r="Q75" s="42"/>
    </row>
    <row r="76" spans="2:17" x14ac:dyDescent="0.2">
      <c r="B76" s="115" t="s">
        <v>38</v>
      </c>
      <c r="C76" s="116"/>
      <c r="D76" s="111"/>
      <c r="E76" s="111">
        <f>SUM(E73:E75)</f>
        <v>110</v>
      </c>
      <c r="F76" s="111"/>
      <c r="I76" s="115" t="s">
        <v>38</v>
      </c>
      <c r="J76" s="116"/>
      <c r="K76" s="111"/>
      <c r="L76" s="111">
        <f>SUM(L73:L75)</f>
        <v>657</v>
      </c>
      <c r="M76" s="111"/>
      <c r="O76" s="108"/>
      <c r="P76" s="42"/>
      <c r="Q76" s="42"/>
    </row>
    <row r="77" spans="2:17" x14ac:dyDescent="0.2">
      <c r="B77" s="117">
        <v>2</v>
      </c>
      <c r="C77" s="116"/>
      <c r="D77" s="111"/>
      <c r="E77" s="111">
        <f>B77*E76</f>
        <v>220</v>
      </c>
      <c r="F77" s="111"/>
      <c r="I77" s="117">
        <v>1</v>
      </c>
      <c r="J77" s="116"/>
      <c r="K77" s="111"/>
      <c r="L77" s="111">
        <f>I77*L76</f>
        <v>657</v>
      </c>
      <c r="M77" s="111"/>
      <c r="O77" s="108"/>
      <c r="P77" s="42"/>
      <c r="Q77" s="42"/>
    </row>
    <row r="78" spans="2:17" x14ac:dyDescent="0.2">
      <c r="B78" s="115" t="s">
        <v>39</v>
      </c>
      <c r="C78" s="116" t="s">
        <v>40</v>
      </c>
      <c r="D78" s="111"/>
      <c r="E78" s="111" t="s">
        <v>41</v>
      </c>
      <c r="F78" s="111"/>
      <c r="I78" s="115" t="s">
        <v>39</v>
      </c>
      <c r="J78" s="116" t="s">
        <v>40</v>
      </c>
      <c r="K78" s="111"/>
      <c r="L78" s="111" t="s">
        <v>41</v>
      </c>
      <c r="M78" s="111"/>
      <c r="Q78" s="54"/>
    </row>
    <row r="79" spans="2:17" x14ac:dyDescent="0.2">
      <c r="B79" s="117"/>
      <c r="C79" s="119"/>
      <c r="D79" s="111">
        <f>B79*C79</f>
        <v>0</v>
      </c>
      <c r="E79" s="111">
        <f>D79*F73</f>
        <v>0</v>
      </c>
      <c r="F79" s="111"/>
      <c r="I79" s="117">
        <v>125</v>
      </c>
      <c r="J79" s="119">
        <v>4</v>
      </c>
      <c r="K79" s="111">
        <f>I79*J79</f>
        <v>500</v>
      </c>
      <c r="L79" s="111">
        <f>K79*M73</f>
        <v>1000</v>
      </c>
      <c r="M79" s="111"/>
    </row>
    <row r="80" spans="2:17" x14ac:dyDescent="0.2">
      <c r="B80" s="115"/>
      <c r="C80" s="116"/>
      <c r="D80" s="111"/>
      <c r="E80" s="112">
        <f>SUM(E77:E79)</f>
        <v>220</v>
      </c>
      <c r="F80" s="111"/>
      <c r="I80" s="115"/>
      <c r="J80" s="116"/>
      <c r="K80" s="111"/>
      <c r="L80" s="112">
        <f>SUM(L77:L79)</f>
        <v>1657</v>
      </c>
      <c r="M80" s="111"/>
    </row>
    <row r="84" spans="4:7" x14ac:dyDescent="0.2">
      <c r="D84" s="72" t="s">
        <v>45</v>
      </c>
      <c r="E84" s="14">
        <f>F43/8.5</f>
        <v>50.735294117647058</v>
      </c>
      <c r="F84" s="60">
        <f>E84*17.5</f>
        <v>887.86764705882354</v>
      </c>
      <c r="G84" s="72" t="s">
        <v>48</v>
      </c>
    </row>
  </sheetData>
  <pageMargins left="0.7" right="0.7" top="0.75" bottom="0.75" header="0.3" footer="0.3"/>
  <pageSetup paperSize="9" scale="9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8B4C-A496-4F07-96EB-AF4830692A7E}">
  <sheetPr>
    <pageSetUpPr fitToPage="1"/>
  </sheetPr>
  <dimension ref="A1:V106"/>
  <sheetViews>
    <sheetView topLeftCell="A40" zoomScale="85" zoomScaleNormal="85" workbookViewId="0">
      <selection activeCell="B54" sqref="B54"/>
    </sheetView>
  </sheetViews>
  <sheetFormatPr defaultRowHeight="12.75" x14ac:dyDescent="0.2"/>
  <cols>
    <col min="1" max="1" width="4.85546875" style="14" customWidth="1"/>
    <col min="2" max="2" width="46.710937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0" width="12.5703125" style="14" bestFit="1" customWidth="1"/>
    <col min="11" max="12" width="11.5703125" style="14" customWidth="1"/>
    <col min="13" max="13" width="14.7109375" style="14" customWidth="1"/>
    <col min="14" max="14" width="11" style="92" customWidth="1"/>
    <col min="15" max="15" width="13.140625" style="14" customWidth="1"/>
    <col min="16" max="16" width="19.85546875" style="14" customWidth="1"/>
    <col min="17" max="18" width="10.42578125" style="14" customWidth="1"/>
    <col min="19" max="19" width="13" style="14" customWidth="1"/>
    <col min="20" max="20" width="12.5703125" style="14" bestFit="1" customWidth="1"/>
    <col min="21" max="21" width="17.7109375" style="14" customWidth="1"/>
    <col min="22" max="22" width="11.28515625" style="14" bestFit="1" customWidth="1"/>
    <col min="23" max="16384" width="9.140625" style="14"/>
  </cols>
  <sheetData>
    <row r="1" spans="1:22" ht="15.75" x14ac:dyDescent="0.2">
      <c r="A1" s="13"/>
      <c r="B1" s="3" t="str">
        <f>Summary!B1</f>
        <v>Ceilings Unlimited</v>
      </c>
      <c r="C1" s="13"/>
      <c r="D1" s="13"/>
      <c r="E1" s="13"/>
      <c r="F1" s="13"/>
      <c r="G1" s="13"/>
      <c r="H1" s="13"/>
      <c r="I1" s="13"/>
      <c r="J1" s="13"/>
      <c r="K1" s="13"/>
      <c r="L1" s="13"/>
      <c r="M1" s="13"/>
    </row>
    <row r="2" spans="1:22" ht="15.75" x14ac:dyDescent="0.2">
      <c r="A2" s="13"/>
      <c r="B2" s="12" t="str">
        <f>Summary!B2</f>
        <v>Craigs Investment Partners - Fitout</v>
      </c>
      <c r="C2" s="13"/>
      <c r="D2" s="13"/>
      <c r="E2" s="13"/>
      <c r="F2" s="13"/>
      <c r="G2" s="13"/>
      <c r="H2" s="13"/>
      <c r="I2" s="13"/>
      <c r="J2" s="13"/>
      <c r="K2" s="13"/>
      <c r="L2" s="13"/>
      <c r="M2" s="13"/>
    </row>
    <row r="3" spans="1:22" ht="15.75" x14ac:dyDescent="0.2">
      <c r="A3" s="13"/>
      <c r="B3" s="12" t="str">
        <f>Summary!B3</f>
        <v>Tauranga</v>
      </c>
      <c r="C3" s="13"/>
      <c r="D3" s="13"/>
      <c r="E3" s="13"/>
      <c r="F3" s="13"/>
      <c r="G3" s="13"/>
      <c r="H3" s="13"/>
      <c r="I3" s="13"/>
      <c r="J3" s="13"/>
      <c r="K3" s="13"/>
      <c r="L3" s="13"/>
      <c r="M3" s="13"/>
    </row>
    <row r="4" spans="1:22" ht="15.75" x14ac:dyDescent="0.2">
      <c r="A4" s="13"/>
      <c r="B4" s="6"/>
      <c r="C4" s="13"/>
      <c r="D4" s="13"/>
      <c r="E4" s="13"/>
      <c r="F4" s="13"/>
      <c r="G4" s="13"/>
      <c r="H4" s="13"/>
      <c r="I4" s="13"/>
      <c r="J4" s="13"/>
      <c r="K4" s="13"/>
      <c r="L4" s="13"/>
      <c r="M4" s="13"/>
    </row>
    <row r="5" spans="1:22" ht="15.75" x14ac:dyDescent="0.2">
      <c r="A5" s="13"/>
      <c r="B5" s="6"/>
      <c r="C5" s="13"/>
      <c r="D5" s="13"/>
      <c r="E5" s="13"/>
      <c r="F5" s="13"/>
      <c r="G5" s="13"/>
      <c r="H5" s="13"/>
      <c r="I5" s="13"/>
      <c r="J5" s="13"/>
      <c r="K5" s="13"/>
      <c r="L5" s="13"/>
      <c r="M5" s="13"/>
    </row>
    <row r="6" spans="1:22" ht="15.75" x14ac:dyDescent="0.2">
      <c r="A6" s="13"/>
      <c r="B6" s="6">
        <f>Summary!B5</f>
        <v>46043</v>
      </c>
      <c r="C6" s="13"/>
      <c r="D6" s="13"/>
      <c r="E6" s="13"/>
      <c r="F6" s="13"/>
      <c r="G6" s="13"/>
      <c r="H6" s="13"/>
      <c r="I6" s="13"/>
      <c r="J6" s="13"/>
      <c r="K6" s="13"/>
      <c r="L6" s="13"/>
      <c r="M6" s="13"/>
    </row>
    <row r="7" spans="1:22" ht="15.75" x14ac:dyDescent="0.2">
      <c r="A7" s="13"/>
      <c r="B7" s="6"/>
      <c r="C7" s="13"/>
      <c r="D7" s="13"/>
      <c r="E7" s="13"/>
      <c r="F7" s="13"/>
      <c r="G7" s="13"/>
      <c r="H7" s="13"/>
      <c r="I7" s="13"/>
      <c r="J7" s="13"/>
      <c r="K7" s="13"/>
      <c r="L7" s="13"/>
      <c r="M7" s="13"/>
    </row>
    <row r="8" spans="1:22" ht="15.75" x14ac:dyDescent="0.2">
      <c r="A8" s="13"/>
      <c r="B8" s="140"/>
      <c r="C8" s="13"/>
      <c r="D8" s="13"/>
      <c r="E8" s="13"/>
      <c r="F8" s="13"/>
      <c r="G8" s="13"/>
      <c r="H8" s="13"/>
      <c r="I8" s="13"/>
      <c r="J8" s="13"/>
      <c r="K8" s="13"/>
      <c r="L8" s="13"/>
      <c r="M8" s="13"/>
    </row>
    <row r="9" spans="1:22" ht="36.75" customHeight="1" x14ac:dyDescent="0.2">
      <c r="A9" s="15"/>
      <c r="B9" s="55" t="str">
        <f>Summary!B129</f>
        <v>Ambitec (PF-01 and PF-02 to Wall and Bulkheads Only)</v>
      </c>
      <c r="C9" s="16"/>
      <c r="D9" s="15"/>
      <c r="E9" s="15"/>
      <c r="F9" s="15"/>
      <c r="G9" s="15"/>
      <c r="H9" s="15"/>
      <c r="I9" s="15"/>
      <c r="J9" s="15"/>
      <c r="K9" s="15"/>
      <c r="L9" s="15"/>
      <c r="M9" s="17"/>
      <c r="N9" s="93"/>
      <c r="O9" s="53"/>
    </row>
    <row r="10" spans="1:22" ht="23.25" customHeight="1" x14ac:dyDescent="0.2">
      <c r="A10" s="15"/>
      <c r="B10" s="55"/>
      <c r="C10" s="16"/>
      <c r="D10" s="15"/>
      <c r="E10" s="15"/>
      <c r="F10" s="15"/>
      <c r="G10" s="15"/>
      <c r="H10" s="15"/>
      <c r="I10" s="15"/>
      <c r="J10" s="15"/>
      <c r="K10" s="15"/>
      <c r="L10" s="15"/>
      <c r="M10" s="17"/>
      <c r="N10" s="93"/>
      <c r="O10" s="53"/>
      <c r="P10" s="27"/>
      <c r="Q10" s="27"/>
      <c r="R10" s="27"/>
    </row>
    <row r="11" spans="1:22" x14ac:dyDescent="0.2">
      <c r="A11" s="19"/>
      <c r="B11" s="20"/>
      <c r="C11" s="15"/>
      <c r="D11" s="15"/>
      <c r="F11" s="18"/>
      <c r="G11" s="18"/>
      <c r="H11" s="66">
        <v>50</v>
      </c>
      <c r="I11" s="58"/>
      <c r="M11" s="17"/>
      <c r="N11" s="93"/>
      <c r="O11" s="53"/>
    </row>
    <row r="12" spans="1:22"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23"/>
      <c r="R12" s="23"/>
      <c r="S12" s="178"/>
    </row>
    <row r="13" spans="1:22" s="72" customFormat="1" ht="29.25" customHeight="1" x14ac:dyDescent="0.2">
      <c r="A13" s="63"/>
      <c r="B13" s="121"/>
      <c r="C13" s="64"/>
      <c r="D13" s="75"/>
      <c r="E13" s="122"/>
      <c r="F13" s="123"/>
      <c r="G13" s="123"/>
      <c r="H13" s="123"/>
      <c r="I13" s="124"/>
      <c r="J13" s="122"/>
      <c r="K13" s="122"/>
      <c r="L13" s="122"/>
      <c r="M13" s="181"/>
      <c r="N13" s="182"/>
      <c r="O13" s="183"/>
      <c r="S13" s="314" t="s">
        <v>235</v>
      </c>
      <c r="T13" s="314" t="s">
        <v>236</v>
      </c>
    </row>
    <row r="14" spans="1:22" s="72" customFormat="1" ht="20.25" customHeight="1" x14ac:dyDescent="0.2">
      <c r="A14" s="63"/>
      <c r="B14" s="180" t="s">
        <v>66</v>
      </c>
      <c r="C14" s="64"/>
      <c r="D14" s="75"/>
      <c r="E14" s="128"/>
      <c r="F14" s="129"/>
      <c r="G14" s="129"/>
      <c r="H14" s="129"/>
      <c r="I14" s="153"/>
      <c r="J14" s="128"/>
      <c r="K14" s="128"/>
      <c r="L14" s="128"/>
      <c r="M14" s="120"/>
      <c r="N14" s="126"/>
      <c r="O14" s="127"/>
    </row>
    <row r="15" spans="1:22" s="72" customFormat="1" ht="14.25" x14ac:dyDescent="0.2">
      <c r="A15" s="63"/>
      <c r="B15" s="121"/>
      <c r="C15" s="64"/>
      <c r="D15" s="75"/>
      <c r="E15" s="128"/>
      <c r="F15" s="129"/>
      <c r="G15" s="129"/>
      <c r="H15" s="129"/>
      <c r="I15" s="153"/>
      <c r="J15" s="128"/>
      <c r="K15" s="128"/>
      <c r="L15" s="128"/>
      <c r="M15" s="120"/>
      <c r="N15" s="126"/>
      <c r="O15" s="127"/>
      <c r="S15" s="54">
        <f>SUM(S16:S65)</f>
        <v>72960</v>
      </c>
      <c r="T15" s="54">
        <f>SUM(T16:T65)</f>
        <v>29460</v>
      </c>
      <c r="V15" s="61">
        <f>SUM(S15:T15)</f>
        <v>102420</v>
      </c>
    </row>
    <row r="16" spans="1:22" s="72" customFormat="1" ht="15" x14ac:dyDescent="0.2">
      <c r="A16" s="63"/>
      <c r="B16" s="176" t="s">
        <v>58</v>
      </c>
      <c r="C16" s="192" t="s">
        <v>149</v>
      </c>
      <c r="D16" s="75"/>
      <c r="E16" s="128"/>
      <c r="F16" s="129"/>
      <c r="G16" s="129"/>
      <c r="H16" s="129"/>
      <c r="I16" s="153"/>
      <c r="J16" s="128"/>
      <c r="K16" s="128"/>
      <c r="L16" s="128"/>
      <c r="M16" s="120"/>
      <c r="N16" s="126"/>
      <c r="O16" s="127"/>
    </row>
    <row r="17" spans="1:20" s="72" customFormat="1" ht="14.25" x14ac:dyDescent="0.2">
      <c r="A17" s="63"/>
      <c r="B17" s="143"/>
      <c r="C17" s="64"/>
      <c r="D17" s="75"/>
      <c r="E17" s="134"/>
      <c r="F17" s="134"/>
      <c r="G17" s="134"/>
      <c r="H17" s="135"/>
      <c r="I17" s="152"/>
      <c r="J17" s="135"/>
      <c r="K17" s="136"/>
      <c r="L17" s="135"/>
      <c r="M17" s="137"/>
      <c r="N17" s="144"/>
      <c r="O17" s="130"/>
      <c r="P17" s="159"/>
      <c r="Q17" s="159"/>
      <c r="R17" s="159"/>
      <c r="S17" s="177"/>
    </row>
    <row r="18" spans="1:20" s="72" customFormat="1" ht="14.25" x14ac:dyDescent="0.2">
      <c r="A18" s="63"/>
      <c r="B18" s="175"/>
      <c r="C18" s="64"/>
      <c r="D18" s="75"/>
      <c r="E18" s="134"/>
      <c r="F18" s="134"/>
      <c r="G18" s="134"/>
      <c r="H18" s="135"/>
      <c r="I18" s="152"/>
      <c r="J18" s="135"/>
      <c r="K18" s="136"/>
      <c r="L18" s="135"/>
      <c r="M18" s="137"/>
      <c r="N18" s="144"/>
      <c r="O18" s="130"/>
      <c r="P18" s="159"/>
      <c r="Q18" s="159"/>
      <c r="R18" s="159"/>
      <c r="S18" s="159"/>
    </row>
    <row r="19" spans="1:20" s="72" customFormat="1" ht="15" x14ac:dyDescent="0.2">
      <c r="A19" s="63"/>
      <c r="B19" s="176" t="s">
        <v>59</v>
      </c>
      <c r="C19" s="192" t="s">
        <v>149</v>
      </c>
      <c r="D19" s="75"/>
      <c r="E19" s="128"/>
      <c r="F19" s="129"/>
      <c r="G19" s="129"/>
      <c r="H19" s="129"/>
      <c r="I19" s="153"/>
      <c r="J19" s="128"/>
      <c r="K19" s="128"/>
      <c r="L19" s="128"/>
      <c r="M19" s="120"/>
      <c r="N19" s="126"/>
      <c r="O19" s="127"/>
      <c r="P19" s="159"/>
      <c r="Q19" s="159"/>
      <c r="R19" s="159"/>
      <c r="S19" s="159"/>
    </row>
    <row r="20" spans="1:20" s="72" customFormat="1" ht="14.25" x14ac:dyDescent="0.2">
      <c r="A20" s="63"/>
      <c r="B20" s="175"/>
      <c r="C20" s="64"/>
      <c r="D20" s="75"/>
      <c r="E20" s="134"/>
      <c r="F20" s="134"/>
      <c r="G20" s="134"/>
      <c r="H20" s="135"/>
      <c r="I20" s="152"/>
      <c r="J20" s="135"/>
      <c r="K20" s="136"/>
      <c r="L20" s="135"/>
      <c r="M20" s="137"/>
      <c r="N20" s="144"/>
      <c r="O20" s="130"/>
      <c r="P20" s="159"/>
      <c r="Q20" s="159"/>
      <c r="R20" s="159"/>
      <c r="S20" s="159"/>
    </row>
    <row r="21" spans="1:20" s="72" customFormat="1" ht="14.25" x14ac:dyDescent="0.2">
      <c r="A21" s="63"/>
      <c r="B21" s="143"/>
      <c r="C21" s="64"/>
      <c r="D21" s="75"/>
      <c r="E21" s="134"/>
      <c r="F21" s="134"/>
      <c r="G21" s="134"/>
      <c r="H21" s="135"/>
      <c r="I21" s="152"/>
      <c r="J21" s="135"/>
      <c r="K21" s="136"/>
      <c r="L21" s="135"/>
      <c r="M21" s="137"/>
      <c r="N21" s="144"/>
      <c r="O21" s="130"/>
      <c r="P21" s="159"/>
      <c r="Q21" s="159"/>
      <c r="R21" s="159"/>
      <c r="S21" s="159"/>
    </row>
    <row r="22" spans="1:20" s="72" customFormat="1" ht="15" x14ac:dyDescent="0.2">
      <c r="A22" s="63"/>
      <c r="B22" s="176" t="s">
        <v>60</v>
      </c>
      <c r="C22" s="192" t="s">
        <v>149</v>
      </c>
      <c r="D22" s="75"/>
      <c r="E22" s="128"/>
      <c r="F22" s="129"/>
      <c r="G22" s="129"/>
      <c r="H22" s="129"/>
      <c r="I22" s="153"/>
      <c r="J22" s="128"/>
      <c r="K22" s="128"/>
      <c r="L22" s="128"/>
      <c r="M22" s="120"/>
      <c r="N22" s="126"/>
      <c r="O22" s="127"/>
      <c r="P22" s="159"/>
      <c r="Q22" s="159"/>
      <c r="R22" s="159"/>
      <c r="S22" s="159"/>
    </row>
    <row r="23" spans="1:20" s="72" customFormat="1" ht="14.25" x14ac:dyDescent="0.2">
      <c r="A23" s="63"/>
      <c r="B23" s="391"/>
      <c r="C23" s="64"/>
      <c r="D23" s="75"/>
      <c r="E23" s="134"/>
      <c r="F23" s="134"/>
      <c r="G23" s="134"/>
      <c r="H23" s="135"/>
      <c r="I23" s="152"/>
      <c r="J23" s="135"/>
      <c r="K23" s="136"/>
      <c r="L23" s="135"/>
      <c r="M23" s="137"/>
      <c r="N23" s="144"/>
      <c r="O23" s="130"/>
      <c r="P23" s="159"/>
      <c r="Q23" s="159"/>
      <c r="R23" s="159"/>
      <c r="S23" s="159"/>
    </row>
    <row r="24" spans="1:20" s="72" customFormat="1" ht="14.25" x14ac:dyDescent="0.2">
      <c r="A24" s="63"/>
      <c r="B24" s="391"/>
      <c r="C24" s="64"/>
      <c r="D24" s="75"/>
      <c r="E24" s="134"/>
      <c r="F24" s="134"/>
      <c r="G24" s="134"/>
      <c r="H24" s="135"/>
      <c r="I24" s="152"/>
      <c r="J24" s="135"/>
      <c r="K24" s="136"/>
      <c r="L24" s="135"/>
      <c r="M24" s="137"/>
      <c r="N24" s="144"/>
      <c r="O24" s="130"/>
      <c r="P24" s="159"/>
      <c r="Q24" s="159"/>
      <c r="R24" s="159"/>
      <c r="S24" s="159"/>
    </row>
    <row r="25" spans="1:20" s="72" customFormat="1" ht="14.25" x14ac:dyDescent="0.2">
      <c r="A25" s="63"/>
      <c r="B25" s="180" t="s">
        <v>579</v>
      </c>
      <c r="C25" s="64"/>
      <c r="D25" s="75"/>
      <c r="E25" s="134"/>
      <c r="F25" s="134"/>
      <c r="G25" s="134"/>
      <c r="H25" s="135"/>
      <c r="I25" s="152"/>
      <c r="J25" s="135"/>
      <c r="K25" s="136"/>
      <c r="L25" s="135"/>
      <c r="M25" s="137"/>
      <c r="N25" s="144"/>
      <c r="O25" s="130"/>
      <c r="P25" s="159"/>
      <c r="Q25" s="159"/>
      <c r="R25" s="159"/>
      <c r="S25" s="159"/>
    </row>
    <row r="26" spans="1:20" s="72" customFormat="1" ht="14.25" x14ac:dyDescent="0.2">
      <c r="A26" s="63"/>
      <c r="B26" s="180"/>
      <c r="C26" s="64"/>
      <c r="D26" s="75"/>
      <c r="E26" s="134"/>
      <c r="F26" s="134"/>
      <c r="G26" s="134"/>
      <c r="H26" s="135"/>
      <c r="I26" s="152"/>
      <c r="J26" s="135"/>
      <c r="K26" s="136"/>
      <c r="L26" s="135"/>
      <c r="M26" s="137"/>
      <c r="N26" s="144"/>
      <c r="O26" s="130"/>
      <c r="P26" s="159"/>
      <c r="Q26" s="159"/>
      <c r="R26" s="159"/>
      <c r="S26" s="159"/>
    </row>
    <row r="27" spans="1:20" s="72" customFormat="1" ht="15" x14ac:dyDescent="0.2">
      <c r="A27" s="63"/>
      <c r="B27" s="176" t="s">
        <v>58</v>
      </c>
      <c r="C27" s="64"/>
      <c r="D27" s="75"/>
      <c r="E27" s="134"/>
      <c r="F27" s="134"/>
      <c r="G27" s="134"/>
      <c r="H27" s="135"/>
      <c r="I27" s="152"/>
      <c r="J27" s="135"/>
      <c r="K27" s="136"/>
      <c r="L27" s="135"/>
      <c r="M27" s="137"/>
      <c r="N27" s="144"/>
      <c r="O27" s="130"/>
      <c r="P27" s="159"/>
      <c r="Q27" s="159"/>
      <c r="R27" s="159"/>
      <c r="S27" s="159"/>
    </row>
    <row r="28" spans="1:20" s="72" customFormat="1" ht="14.25" x14ac:dyDescent="0.2">
      <c r="A28" s="63"/>
      <c r="B28" s="143" t="s">
        <v>235</v>
      </c>
      <c r="C28" s="64">
        <v>45</v>
      </c>
      <c r="D28" s="75" t="s">
        <v>151</v>
      </c>
      <c r="E28" s="134">
        <v>0</v>
      </c>
      <c r="F28" s="134">
        <f>C28*E28</f>
        <v>0</v>
      </c>
      <c r="G28" s="134">
        <f>$H$11*E28</f>
        <v>0</v>
      </c>
      <c r="H28" s="135">
        <f>F28*$H$11</f>
        <v>0</v>
      </c>
      <c r="I28" s="247">
        <v>233</v>
      </c>
      <c r="J28" s="135">
        <f>C28*I28</f>
        <v>10485</v>
      </c>
      <c r="K28" s="136">
        <f>SUM(H28,J28)</f>
        <v>10485</v>
      </c>
      <c r="L28" s="135">
        <f>K28/C28</f>
        <v>233</v>
      </c>
      <c r="M28" s="137">
        <f>C28*L28</f>
        <v>10485</v>
      </c>
      <c r="N28" s="144">
        <v>0</v>
      </c>
      <c r="O28" s="130">
        <f>M28*N28</f>
        <v>0</v>
      </c>
      <c r="P28" s="159"/>
      <c r="Q28" s="389">
        <v>190</v>
      </c>
      <c r="R28" s="389"/>
      <c r="S28" s="389">
        <f>C28*Q28</f>
        <v>8550</v>
      </c>
      <c r="T28" s="61"/>
    </row>
    <row r="29" spans="1:20" s="72" customFormat="1" ht="14.25" x14ac:dyDescent="0.2">
      <c r="A29" s="63"/>
      <c r="B29" s="143"/>
      <c r="C29" s="64"/>
      <c r="D29" s="75"/>
      <c r="E29" s="134"/>
      <c r="F29" s="134"/>
      <c r="G29" s="134"/>
      <c r="H29" s="135"/>
      <c r="I29" s="152"/>
      <c r="J29" s="135"/>
      <c r="K29" s="136"/>
      <c r="L29" s="135"/>
      <c r="M29" s="137"/>
      <c r="N29" s="144"/>
      <c r="O29" s="130"/>
      <c r="P29" s="159"/>
      <c r="Q29" s="159"/>
      <c r="R29" s="159"/>
      <c r="S29" s="159"/>
    </row>
    <row r="30" spans="1:20" s="72" customFormat="1" ht="15" x14ac:dyDescent="0.2">
      <c r="A30" s="63"/>
      <c r="B30" s="176" t="s">
        <v>59</v>
      </c>
      <c r="C30" s="64"/>
      <c r="D30" s="75"/>
      <c r="E30" s="134"/>
      <c r="F30" s="134"/>
      <c r="G30" s="134"/>
      <c r="H30" s="135"/>
      <c r="I30" s="152"/>
      <c r="J30" s="135"/>
      <c r="K30" s="136"/>
      <c r="L30" s="135"/>
      <c r="M30" s="137"/>
      <c r="N30" s="144"/>
      <c r="O30" s="130"/>
      <c r="P30" s="159"/>
      <c r="Q30" s="159"/>
      <c r="R30" s="159"/>
      <c r="S30" s="159"/>
    </row>
    <row r="31" spans="1:20" s="72" customFormat="1" ht="14.25" x14ac:dyDescent="0.2">
      <c r="A31" s="63"/>
      <c r="B31" s="143" t="s">
        <v>235</v>
      </c>
      <c r="C31" s="64">
        <v>59</v>
      </c>
      <c r="D31" s="75" t="s">
        <v>151</v>
      </c>
      <c r="E31" s="134">
        <v>0</v>
      </c>
      <c r="F31" s="134">
        <f>C31*E31</f>
        <v>0</v>
      </c>
      <c r="G31" s="134">
        <f>$H$11*E31</f>
        <v>0</v>
      </c>
      <c r="H31" s="135">
        <f>F31*$H$11</f>
        <v>0</v>
      </c>
      <c r="I31" s="247">
        <v>233</v>
      </c>
      <c r="J31" s="135">
        <f>C31*I31</f>
        <v>13747</v>
      </c>
      <c r="K31" s="136">
        <f>SUM(H31,J31)</f>
        <v>13747</v>
      </c>
      <c r="L31" s="135">
        <f>K31/C31</f>
        <v>233</v>
      </c>
      <c r="M31" s="137">
        <f>C31*L31</f>
        <v>13747</v>
      </c>
      <c r="N31" s="144">
        <v>0</v>
      </c>
      <c r="O31" s="130">
        <f>M31*N31</f>
        <v>0</v>
      </c>
      <c r="P31" s="159"/>
      <c r="Q31" s="389">
        <v>190</v>
      </c>
      <c r="R31" s="389"/>
      <c r="S31" s="389">
        <f>C31*Q31</f>
        <v>11210</v>
      </c>
    </row>
    <row r="32" spans="1:20" s="72" customFormat="1" ht="14.25" x14ac:dyDescent="0.2">
      <c r="A32" s="63"/>
      <c r="B32" s="143"/>
      <c r="C32" s="64"/>
      <c r="D32" s="75"/>
      <c r="E32" s="134"/>
      <c r="F32" s="134"/>
      <c r="G32" s="134"/>
      <c r="H32" s="135"/>
      <c r="I32" s="152"/>
      <c r="J32" s="135"/>
      <c r="K32" s="136"/>
      <c r="L32" s="135"/>
      <c r="M32" s="137"/>
      <c r="N32" s="144"/>
      <c r="O32" s="130"/>
      <c r="P32" s="159"/>
      <c r="Q32" s="159"/>
      <c r="R32" s="159"/>
      <c r="S32" s="159"/>
    </row>
    <row r="33" spans="1:19" s="72" customFormat="1" ht="15" x14ac:dyDescent="0.2">
      <c r="A33" s="63"/>
      <c r="B33" s="176" t="s">
        <v>60</v>
      </c>
      <c r="C33" s="64"/>
      <c r="D33" s="75"/>
      <c r="E33" s="134"/>
      <c r="F33" s="134"/>
      <c r="G33" s="134"/>
      <c r="H33" s="135"/>
      <c r="I33" s="152"/>
      <c r="J33" s="135"/>
      <c r="K33" s="136"/>
      <c r="L33" s="135"/>
      <c r="M33" s="137"/>
      <c r="N33" s="144"/>
      <c r="O33" s="130"/>
      <c r="P33" s="159"/>
      <c r="Q33" s="159"/>
      <c r="R33" s="159"/>
      <c r="S33" s="159"/>
    </row>
    <row r="34" spans="1:19" s="72" customFormat="1" ht="14.25" x14ac:dyDescent="0.2">
      <c r="A34" s="63"/>
      <c r="B34" s="143" t="s">
        <v>235</v>
      </c>
      <c r="C34" s="192" t="s">
        <v>149</v>
      </c>
      <c r="D34" s="75"/>
      <c r="E34" s="134"/>
      <c r="F34" s="134"/>
      <c r="G34" s="134"/>
      <c r="H34" s="135"/>
      <c r="I34" s="152"/>
      <c r="J34" s="135"/>
      <c r="K34" s="136"/>
      <c r="L34" s="135"/>
      <c r="M34" s="137"/>
      <c r="N34" s="144"/>
      <c r="O34" s="130"/>
      <c r="P34" s="159"/>
      <c r="Q34" s="159"/>
      <c r="R34" s="159"/>
      <c r="S34" s="159"/>
    </row>
    <row r="35" spans="1:19" s="72" customFormat="1" ht="14.25" x14ac:dyDescent="0.2">
      <c r="A35" s="63"/>
      <c r="B35" s="196"/>
      <c r="C35" s="64"/>
      <c r="D35" s="75"/>
      <c r="E35" s="134"/>
      <c r="F35" s="134"/>
      <c r="G35" s="134"/>
      <c r="H35" s="135"/>
      <c r="I35" s="152"/>
      <c r="J35" s="135"/>
      <c r="K35" s="136"/>
      <c r="L35" s="135"/>
      <c r="M35" s="137"/>
      <c r="N35" s="144"/>
      <c r="O35" s="130"/>
      <c r="P35" s="159"/>
      <c r="Q35" s="159"/>
      <c r="R35" s="159"/>
      <c r="S35" s="159"/>
    </row>
    <row r="36" spans="1:19" s="72" customFormat="1" ht="14.25" x14ac:dyDescent="0.2">
      <c r="A36" s="63"/>
      <c r="B36" s="143"/>
      <c r="C36" s="64"/>
      <c r="D36" s="75"/>
      <c r="E36" s="134"/>
      <c r="F36" s="134"/>
      <c r="G36" s="134"/>
      <c r="H36" s="135"/>
      <c r="I36" s="152"/>
      <c r="J36" s="135"/>
      <c r="K36" s="136"/>
      <c r="L36" s="135"/>
      <c r="M36" s="137"/>
      <c r="N36" s="144"/>
      <c r="O36" s="130"/>
      <c r="P36" s="159"/>
      <c r="Q36" s="159"/>
      <c r="R36" s="159"/>
      <c r="S36" s="159"/>
    </row>
    <row r="37" spans="1:19" s="72" customFormat="1" ht="14.25" x14ac:dyDescent="0.2">
      <c r="A37" s="63"/>
      <c r="B37" s="180" t="s">
        <v>242</v>
      </c>
      <c r="C37" s="64"/>
      <c r="D37" s="75"/>
      <c r="E37" s="134"/>
      <c r="F37" s="134"/>
      <c r="G37" s="134"/>
      <c r="H37" s="135"/>
      <c r="I37" s="152"/>
      <c r="J37" s="135"/>
      <c r="K37" s="136"/>
      <c r="L37" s="135"/>
      <c r="M37" s="137"/>
      <c r="N37" s="144"/>
      <c r="O37" s="130"/>
      <c r="P37" s="159"/>
      <c r="Q37" s="159"/>
      <c r="R37" s="159"/>
      <c r="S37" s="159"/>
    </row>
    <row r="38" spans="1:19" s="72" customFormat="1" ht="14.25" x14ac:dyDescent="0.2">
      <c r="A38" s="63"/>
      <c r="B38" s="121"/>
      <c r="C38" s="64"/>
      <c r="D38" s="75"/>
      <c r="E38" s="128"/>
      <c r="F38" s="129"/>
      <c r="G38" s="129"/>
      <c r="H38" s="129"/>
      <c r="I38" s="153"/>
      <c r="J38" s="128"/>
      <c r="K38" s="128"/>
      <c r="L38" s="128"/>
      <c r="M38" s="120"/>
      <c r="N38" s="126"/>
      <c r="O38" s="127"/>
      <c r="P38" s="159"/>
      <c r="Q38" s="159"/>
      <c r="R38" s="159"/>
      <c r="S38" s="159"/>
    </row>
    <row r="39" spans="1:19" s="72" customFormat="1" ht="15" x14ac:dyDescent="0.2">
      <c r="A39" s="63"/>
      <c r="B39" s="176" t="s">
        <v>58</v>
      </c>
      <c r="C39" s="64"/>
      <c r="D39" s="75"/>
      <c r="E39" s="128"/>
      <c r="F39" s="129"/>
      <c r="G39" s="129"/>
      <c r="H39" s="129"/>
      <c r="I39" s="153"/>
      <c r="J39" s="128"/>
      <c r="K39" s="128"/>
      <c r="L39" s="128"/>
      <c r="M39" s="120"/>
      <c r="N39" s="126"/>
      <c r="O39" s="127"/>
      <c r="P39" s="159"/>
      <c r="Q39" s="159"/>
      <c r="R39" s="159"/>
      <c r="S39" s="159"/>
    </row>
    <row r="40" spans="1:19" s="72" customFormat="1" ht="14.25" x14ac:dyDescent="0.2">
      <c r="A40" s="63"/>
      <c r="B40" s="143" t="s">
        <v>866</v>
      </c>
      <c r="C40" s="64">
        <v>98</v>
      </c>
      <c r="D40" s="75" t="s">
        <v>151</v>
      </c>
      <c r="E40" s="134">
        <v>0</v>
      </c>
      <c r="F40" s="134">
        <f>C40*E40</f>
        <v>0</v>
      </c>
      <c r="G40" s="134">
        <f>$H$11*E40</f>
        <v>0</v>
      </c>
      <c r="H40" s="135">
        <f>F40*$H$11</f>
        <v>0</v>
      </c>
      <c r="I40" s="247">
        <v>233</v>
      </c>
      <c r="J40" s="135">
        <f>C40*I40</f>
        <v>22834</v>
      </c>
      <c r="K40" s="136">
        <f>SUM(H40,J40)</f>
        <v>22834</v>
      </c>
      <c r="L40" s="135">
        <f>K40/C40</f>
        <v>233</v>
      </c>
      <c r="M40" s="137">
        <f>C40*L40</f>
        <v>22834</v>
      </c>
      <c r="N40" s="144">
        <v>0</v>
      </c>
      <c r="O40" s="130">
        <f>M40*N40</f>
        <v>0</v>
      </c>
      <c r="P40" s="159"/>
      <c r="Q40" s="389">
        <v>190</v>
      </c>
      <c r="R40" s="389"/>
      <c r="S40" s="389">
        <f>C40*Q40</f>
        <v>18620</v>
      </c>
    </row>
    <row r="41" spans="1:19" s="72" customFormat="1" ht="14.25" x14ac:dyDescent="0.2">
      <c r="A41" s="63"/>
      <c r="B41" s="143" t="s">
        <v>867</v>
      </c>
      <c r="C41" s="64">
        <v>10</v>
      </c>
      <c r="D41" s="75" t="s">
        <v>151</v>
      </c>
      <c r="E41" s="134">
        <v>0</v>
      </c>
      <c r="F41" s="134">
        <f>C41*E41</f>
        <v>0</v>
      </c>
      <c r="G41" s="134">
        <f>$H$11*E41</f>
        <v>0</v>
      </c>
      <c r="H41" s="135">
        <f>F41*$H$11</f>
        <v>0</v>
      </c>
      <c r="I41" s="247">
        <v>233</v>
      </c>
      <c r="J41" s="135">
        <f>C41*I41</f>
        <v>2330</v>
      </c>
      <c r="K41" s="136">
        <f>SUM(H41,J41)</f>
        <v>2330</v>
      </c>
      <c r="L41" s="135">
        <f>K41/C41</f>
        <v>233</v>
      </c>
      <c r="M41" s="137">
        <f>C41*L41</f>
        <v>2330</v>
      </c>
      <c r="N41" s="144">
        <v>0</v>
      </c>
      <c r="O41" s="130">
        <f>M41*N41</f>
        <v>0</v>
      </c>
      <c r="P41" s="159"/>
      <c r="Q41" s="389">
        <v>190</v>
      </c>
      <c r="R41" s="389"/>
      <c r="S41" s="389">
        <f>C41*Q41</f>
        <v>1900</v>
      </c>
    </row>
    <row r="42" spans="1:19" s="72" customFormat="1" ht="14.25" x14ac:dyDescent="0.2">
      <c r="A42" s="63"/>
      <c r="B42" s="143"/>
      <c r="C42" s="64"/>
      <c r="D42" s="75"/>
      <c r="E42" s="128"/>
      <c r="F42" s="129"/>
      <c r="G42" s="129"/>
      <c r="H42" s="129"/>
      <c r="I42" s="153"/>
      <c r="J42" s="128"/>
      <c r="K42" s="128"/>
      <c r="L42" s="128"/>
      <c r="M42" s="120"/>
      <c r="N42" s="126"/>
      <c r="O42" s="127"/>
      <c r="P42" s="159"/>
      <c r="Q42" s="159"/>
      <c r="R42" s="159"/>
      <c r="S42" s="159"/>
    </row>
    <row r="43" spans="1:19" s="72" customFormat="1" ht="14.25" x14ac:dyDescent="0.2">
      <c r="A43" s="63"/>
      <c r="B43" s="143" t="s">
        <v>236</v>
      </c>
      <c r="C43" s="192" t="s">
        <v>149</v>
      </c>
      <c r="D43" s="75"/>
      <c r="E43" s="128"/>
      <c r="F43" s="129"/>
      <c r="G43" s="129"/>
      <c r="H43" s="129"/>
      <c r="I43" s="153"/>
      <c r="J43" s="128"/>
      <c r="K43" s="128"/>
      <c r="L43" s="128"/>
      <c r="M43" s="120"/>
      <c r="N43" s="126"/>
      <c r="O43" s="127"/>
      <c r="P43" s="159"/>
      <c r="Q43" s="159"/>
      <c r="R43" s="159"/>
      <c r="S43" s="159"/>
    </row>
    <row r="44" spans="1:19" s="72" customFormat="1" ht="14.25" x14ac:dyDescent="0.2">
      <c r="A44" s="63"/>
      <c r="B44" s="143"/>
      <c r="C44" s="75"/>
      <c r="D44" s="75"/>
      <c r="E44" s="134"/>
      <c r="F44" s="134"/>
      <c r="G44" s="134"/>
      <c r="H44" s="135"/>
      <c r="I44" s="152"/>
      <c r="J44" s="135"/>
      <c r="K44" s="136"/>
      <c r="L44" s="135"/>
      <c r="M44" s="137"/>
      <c r="N44" s="144"/>
      <c r="O44" s="130"/>
      <c r="P44" s="159"/>
      <c r="Q44" s="159"/>
      <c r="R44" s="159"/>
      <c r="S44" s="159"/>
    </row>
    <row r="45" spans="1:19" s="72" customFormat="1" ht="14.25" x14ac:dyDescent="0.2">
      <c r="A45" s="63"/>
      <c r="B45" s="143"/>
      <c r="C45" s="64"/>
      <c r="D45" s="75"/>
      <c r="E45" s="134"/>
      <c r="F45" s="134"/>
      <c r="G45" s="134"/>
      <c r="H45" s="135"/>
      <c r="I45" s="152"/>
      <c r="J45" s="135"/>
      <c r="K45" s="136"/>
      <c r="L45" s="135"/>
      <c r="M45" s="137"/>
      <c r="N45" s="144"/>
      <c r="O45" s="130"/>
      <c r="P45" s="159"/>
      <c r="Q45" s="159"/>
      <c r="R45" s="159"/>
      <c r="S45" s="159"/>
    </row>
    <row r="46" spans="1:19" s="72" customFormat="1" ht="15" x14ac:dyDescent="0.2">
      <c r="A46" s="63"/>
      <c r="B46" s="176" t="s">
        <v>59</v>
      </c>
      <c r="C46" s="64"/>
      <c r="D46" s="75"/>
      <c r="E46" s="128"/>
      <c r="F46" s="129"/>
      <c r="G46" s="129"/>
      <c r="H46" s="129"/>
      <c r="I46" s="153"/>
      <c r="J46" s="128"/>
      <c r="K46" s="128"/>
      <c r="L46" s="128"/>
      <c r="M46" s="120"/>
      <c r="N46" s="126"/>
      <c r="O46" s="127"/>
      <c r="P46" s="159"/>
      <c r="Q46" s="159"/>
      <c r="R46" s="159"/>
      <c r="S46" s="159"/>
    </row>
    <row r="47" spans="1:19" s="72" customFormat="1" ht="14.25" x14ac:dyDescent="0.2">
      <c r="A47" s="63"/>
      <c r="B47" s="143" t="s">
        <v>866</v>
      </c>
      <c r="C47" s="64">
        <v>58</v>
      </c>
      <c r="D47" s="75" t="s">
        <v>151</v>
      </c>
      <c r="E47" s="134">
        <v>0</v>
      </c>
      <c r="F47" s="134">
        <f>C47*E47</f>
        <v>0</v>
      </c>
      <c r="G47" s="134">
        <f>$H$11*E47</f>
        <v>0</v>
      </c>
      <c r="H47" s="135">
        <f>F47*$H$11</f>
        <v>0</v>
      </c>
      <c r="I47" s="247">
        <v>233</v>
      </c>
      <c r="J47" s="135">
        <f>C47*I47</f>
        <v>13514</v>
      </c>
      <c r="K47" s="136">
        <f>SUM(H47,J47)</f>
        <v>13514</v>
      </c>
      <c r="L47" s="135">
        <f>K47/C47</f>
        <v>233</v>
      </c>
      <c r="M47" s="137">
        <f>C47*L47</f>
        <v>13514</v>
      </c>
      <c r="N47" s="144">
        <v>0</v>
      </c>
      <c r="O47" s="130">
        <f>M47*N47</f>
        <v>0</v>
      </c>
      <c r="P47" s="159"/>
      <c r="Q47" s="389">
        <v>190</v>
      </c>
      <c r="R47" s="389"/>
      <c r="S47" s="389">
        <f>C47*Q47</f>
        <v>11020</v>
      </c>
    </row>
    <row r="48" spans="1:19" s="72" customFormat="1" ht="14.25" x14ac:dyDescent="0.2">
      <c r="A48" s="63"/>
      <c r="B48" s="143"/>
      <c r="C48" s="64"/>
      <c r="D48" s="75"/>
      <c r="E48" s="128"/>
      <c r="F48" s="129"/>
      <c r="G48" s="129"/>
      <c r="H48" s="129"/>
      <c r="I48" s="153"/>
      <c r="J48" s="128"/>
      <c r="K48" s="128"/>
      <c r="L48" s="128"/>
      <c r="M48" s="120"/>
      <c r="N48" s="126"/>
      <c r="O48" s="127"/>
      <c r="P48" s="159"/>
      <c r="Q48" s="159"/>
      <c r="R48" s="159"/>
      <c r="S48" s="159"/>
    </row>
    <row r="49" spans="1:20" s="72" customFormat="1" ht="14.25" x14ac:dyDescent="0.2">
      <c r="A49" s="63"/>
      <c r="B49" s="143" t="s">
        <v>236</v>
      </c>
      <c r="C49" s="192" t="s">
        <v>149</v>
      </c>
      <c r="D49" s="75"/>
      <c r="E49" s="128"/>
      <c r="F49" s="129"/>
      <c r="G49" s="129"/>
      <c r="H49" s="129"/>
      <c r="I49" s="153"/>
      <c r="J49" s="128"/>
      <c r="K49" s="128"/>
      <c r="L49" s="128"/>
      <c r="M49" s="120"/>
      <c r="N49" s="126"/>
      <c r="O49" s="127"/>
      <c r="P49" s="159"/>
      <c r="Q49" s="159"/>
      <c r="R49" s="159"/>
      <c r="S49" s="159"/>
    </row>
    <row r="50" spans="1:20" s="72" customFormat="1" ht="14.25" x14ac:dyDescent="0.2">
      <c r="A50" s="63"/>
      <c r="B50" s="143"/>
      <c r="C50" s="75"/>
      <c r="D50" s="75"/>
      <c r="E50" s="134"/>
      <c r="F50" s="134"/>
      <c r="G50" s="134"/>
      <c r="H50" s="135"/>
      <c r="I50" s="152"/>
      <c r="J50" s="135"/>
      <c r="K50" s="136"/>
      <c r="L50" s="135"/>
      <c r="M50" s="137"/>
      <c r="N50" s="144"/>
      <c r="O50" s="130"/>
      <c r="P50" s="159"/>
      <c r="Q50" s="159"/>
      <c r="R50" s="159"/>
      <c r="S50" s="159"/>
    </row>
    <row r="51" spans="1:20" s="72" customFormat="1" ht="14.25" x14ac:dyDescent="0.2">
      <c r="A51" s="63"/>
      <c r="B51" s="143"/>
      <c r="C51" s="64"/>
      <c r="D51" s="75"/>
      <c r="E51" s="134"/>
      <c r="F51" s="134"/>
      <c r="G51" s="134"/>
      <c r="H51" s="135"/>
      <c r="I51" s="152"/>
      <c r="J51" s="135"/>
      <c r="K51" s="136"/>
      <c r="L51" s="135"/>
      <c r="M51" s="137"/>
      <c r="N51" s="144"/>
      <c r="O51" s="130"/>
      <c r="P51" s="159"/>
      <c r="Q51" s="159"/>
      <c r="R51" s="159"/>
      <c r="S51" s="159"/>
    </row>
    <row r="52" spans="1:20" s="72" customFormat="1" ht="15" x14ac:dyDescent="0.2">
      <c r="A52" s="63"/>
      <c r="B52" s="176" t="s">
        <v>60</v>
      </c>
      <c r="C52" s="64"/>
      <c r="D52" s="75"/>
      <c r="E52" s="128"/>
      <c r="F52" s="129"/>
      <c r="G52" s="129"/>
      <c r="H52" s="129"/>
      <c r="I52" s="153"/>
      <c r="J52" s="128"/>
      <c r="K52" s="128"/>
      <c r="L52" s="128"/>
      <c r="M52" s="120"/>
      <c r="N52" s="126"/>
      <c r="O52" s="127"/>
      <c r="P52" s="159"/>
      <c r="Q52" s="159"/>
      <c r="R52" s="159"/>
      <c r="S52" s="159"/>
    </row>
    <row r="53" spans="1:20" s="72" customFormat="1" ht="14.25" x14ac:dyDescent="0.2">
      <c r="A53" s="63"/>
      <c r="B53" s="143" t="s">
        <v>995</v>
      </c>
      <c r="C53" s="64">
        <v>34</v>
      </c>
      <c r="D53" s="75" t="s">
        <v>151</v>
      </c>
      <c r="E53" s="134">
        <v>0</v>
      </c>
      <c r="F53" s="134">
        <f>C53*E53</f>
        <v>0</v>
      </c>
      <c r="G53" s="134">
        <f>$H$11*E53</f>
        <v>0</v>
      </c>
      <c r="H53" s="135">
        <f>F53*$H$11</f>
        <v>0</v>
      </c>
      <c r="I53" s="247">
        <v>233</v>
      </c>
      <c r="J53" s="135">
        <f>C53*I53</f>
        <v>7922</v>
      </c>
      <c r="K53" s="136">
        <f>SUM(H53,J53)</f>
        <v>7922</v>
      </c>
      <c r="L53" s="135">
        <f>K53/C53</f>
        <v>233</v>
      </c>
      <c r="M53" s="137">
        <f>C53*L53</f>
        <v>7922</v>
      </c>
      <c r="N53" s="144">
        <v>0</v>
      </c>
      <c r="O53" s="130">
        <f>M53*N53</f>
        <v>0</v>
      </c>
      <c r="P53" s="159"/>
      <c r="Q53" s="389">
        <v>190</v>
      </c>
      <c r="R53" s="389"/>
      <c r="S53" s="389">
        <f>C53*Q53</f>
        <v>6460</v>
      </c>
    </row>
    <row r="54" spans="1:20" s="72" customFormat="1" ht="14.25" x14ac:dyDescent="0.2">
      <c r="A54" s="63"/>
      <c r="B54" s="143" t="s">
        <v>868</v>
      </c>
      <c r="C54" s="64">
        <v>80</v>
      </c>
      <c r="D54" s="75" t="s">
        <v>151</v>
      </c>
      <c r="E54" s="134">
        <v>0</v>
      </c>
      <c r="F54" s="134">
        <f>C54*E54</f>
        <v>0</v>
      </c>
      <c r="G54" s="134">
        <f>$H$11*E54</f>
        <v>0</v>
      </c>
      <c r="H54" s="135">
        <f>F54*$H$11</f>
        <v>0</v>
      </c>
      <c r="I54" s="247">
        <v>233</v>
      </c>
      <c r="J54" s="135">
        <f>C54*I54</f>
        <v>18640</v>
      </c>
      <c r="K54" s="136">
        <f>SUM(H54,J54)</f>
        <v>18640</v>
      </c>
      <c r="L54" s="135">
        <f>K54/C54</f>
        <v>233</v>
      </c>
      <c r="M54" s="137">
        <f>C54*L54</f>
        <v>18640</v>
      </c>
      <c r="N54" s="144">
        <v>0</v>
      </c>
      <c r="O54" s="130">
        <f>M54*N54</f>
        <v>0</v>
      </c>
      <c r="P54" s="159"/>
      <c r="Q54" s="389">
        <v>190</v>
      </c>
      <c r="R54" s="389"/>
      <c r="S54" s="389">
        <f>C54*Q54</f>
        <v>15200</v>
      </c>
    </row>
    <row r="55" spans="1:20" s="72" customFormat="1" ht="25.5" x14ac:dyDescent="0.2">
      <c r="A55" s="63"/>
      <c r="B55" s="175" t="s">
        <v>890</v>
      </c>
      <c r="C55" s="64">
        <v>2</v>
      </c>
      <c r="D55" s="75" t="s">
        <v>148</v>
      </c>
      <c r="E55" s="134">
        <v>3</v>
      </c>
      <c r="F55" s="134">
        <f>C55*E55</f>
        <v>6</v>
      </c>
      <c r="G55" s="134">
        <f>$H$11*E55</f>
        <v>150</v>
      </c>
      <c r="H55" s="135">
        <f>F55*$H$11</f>
        <v>300</v>
      </c>
      <c r="I55" s="247">
        <v>462</v>
      </c>
      <c r="J55" s="135">
        <f>C55*I55</f>
        <v>924</v>
      </c>
      <c r="K55" s="136">
        <f>SUM(H55,J55)</f>
        <v>1224</v>
      </c>
      <c r="L55" s="135">
        <f>K55/C55</f>
        <v>612</v>
      </c>
      <c r="M55" s="137">
        <f>C55*L55</f>
        <v>1224</v>
      </c>
      <c r="N55" s="144">
        <v>0</v>
      </c>
      <c r="O55" s="130">
        <f>M55*N55</f>
        <v>0</v>
      </c>
      <c r="P55" s="159"/>
      <c r="Q55" s="389"/>
      <c r="R55" s="389"/>
      <c r="S55" s="389"/>
    </row>
    <row r="56" spans="1:20" s="72" customFormat="1" ht="14.25" x14ac:dyDescent="0.2">
      <c r="A56" s="63"/>
      <c r="B56" s="143"/>
      <c r="C56" s="64"/>
      <c r="D56" s="75"/>
      <c r="E56" s="128"/>
      <c r="F56" s="129"/>
      <c r="G56" s="129"/>
      <c r="H56" s="129"/>
      <c r="I56" s="153"/>
      <c r="J56" s="128"/>
      <c r="K56" s="128"/>
      <c r="L56" s="128"/>
      <c r="M56" s="120"/>
      <c r="N56" s="126"/>
      <c r="O56" s="127"/>
      <c r="P56" s="159"/>
      <c r="Q56" s="159"/>
      <c r="R56" s="159"/>
      <c r="S56" s="159"/>
    </row>
    <row r="57" spans="1:20" s="72" customFormat="1" ht="14.25" x14ac:dyDescent="0.2">
      <c r="A57" s="63"/>
      <c r="B57" s="316" t="s">
        <v>236</v>
      </c>
      <c r="C57" s="64">
        <v>92</v>
      </c>
      <c r="D57" s="75" t="s">
        <v>151</v>
      </c>
      <c r="E57" s="134">
        <v>1</v>
      </c>
      <c r="F57" s="134">
        <f>C57*E57</f>
        <v>92</v>
      </c>
      <c r="G57" s="134">
        <f>$H$11*E57</f>
        <v>50</v>
      </c>
      <c r="H57" s="135">
        <f>F57*$H$11</f>
        <v>4600</v>
      </c>
      <c r="I57" s="247">
        <f>D63</f>
        <v>339.53804347826087</v>
      </c>
      <c r="J57" s="135">
        <f>C57*I57</f>
        <v>31237.5</v>
      </c>
      <c r="K57" s="136">
        <f>SUM(H57,J57)</f>
        <v>35837.5</v>
      </c>
      <c r="L57" s="135">
        <f>K57/C57</f>
        <v>389.53804347826087</v>
      </c>
      <c r="M57" s="137">
        <f>C57*L57</f>
        <v>35837.5</v>
      </c>
      <c r="N57" s="144">
        <v>0</v>
      </c>
      <c r="O57" s="130">
        <f>M57*N57</f>
        <v>0</v>
      </c>
      <c r="P57" s="159"/>
      <c r="Q57" s="159"/>
      <c r="R57" s="159"/>
      <c r="S57" s="159"/>
    </row>
    <row r="58" spans="1:20" s="72" customFormat="1" ht="14.25" hidden="1" x14ac:dyDescent="0.2">
      <c r="A58" s="63"/>
      <c r="B58" s="588" t="s">
        <v>872</v>
      </c>
      <c r="C58" s="589">
        <v>24420</v>
      </c>
      <c r="D58" s="590"/>
      <c r="E58" s="591"/>
      <c r="F58" s="129"/>
      <c r="G58" s="129"/>
      <c r="H58" s="129"/>
      <c r="I58" s="153"/>
      <c r="J58" s="128"/>
      <c r="K58" s="128"/>
      <c r="L58" s="128"/>
      <c r="M58" s="120"/>
      <c r="N58" s="126"/>
      <c r="O58" s="127"/>
      <c r="P58" s="159">
        <v>74</v>
      </c>
      <c r="Q58" s="389">
        <v>330</v>
      </c>
      <c r="R58" s="159"/>
      <c r="S58" s="159"/>
      <c r="T58" s="583">
        <f>P58*Q58</f>
        <v>24420</v>
      </c>
    </row>
    <row r="59" spans="1:20" s="72" customFormat="1" ht="14.25" hidden="1" x14ac:dyDescent="0.2">
      <c r="A59" s="63"/>
      <c r="B59" s="588" t="s">
        <v>873</v>
      </c>
      <c r="C59" s="589">
        <v>5400</v>
      </c>
      <c r="D59" s="590"/>
      <c r="E59" s="591"/>
      <c r="F59" s="129"/>
      <c r="G59" s="129"/>
      <c r="H59" s="129"/>
      <c r="I59" s="153"/>
      <c r="J59" s="128"/>
      <c r="K59" s="128"/>
      <c r="L59" s="128"/>
      <c r="M59" s="120"/>
      <c r="N59" s="126"/>
      <c r="O59" s="127"/>
      <c r="P59" s="159">
        <v>14</v>
      </c>
      <c r="Q59" s="389">
        <v>360</v>
      </c>
      <c r="R59" s="159"/>
      <c r="S59" s="159"/>
      <c r="T59" s="583">
        <f>P59*Q59</f>
        <v>5040</v>
      </c>
    </row>
    <row r="60" spans="1:20" s="72" customFormat="1" ht="14.25" hidden="1" x14ac:dyDescent="0.2">
      <c r="A60" s="63"/>
      <c r="B60" s="592" t="s">
        <v>874</v>
      </c>
      <c r="C60" s="589">
        <v>445</v>
      </c>
      <c r="D60" s="590"/>
      <c r="E60" s="591"/>
      <c r="F60" s="129"/>
      <c r="G60" s="129"/>
      <c r="H60" s="129"/>
      <c r="I60" s="153"/>
      <c r="J60" s="128"/>
      <c r="K60" s="128"/>
      <c r="L60" s="128"/>
      <c r="M60" s="120"/>
      <c r="N60" s="126"/>
      <c r="O60" s="127"/>
      <c r="P60" s="159"/>
      <c r="Q60" s="159"/>
      <c r="R60" s="159"/>
      <c r="S60" s="159"/>
      <c r="T60" s="583"/>
    </row>
    <row r="61" spans="1:20" s="72" customFormat="1" ht="14.25" hidden="1" x14ac:dyDescent="0.2">
      <c r="A61" s="63"/>
      <c r="B61" s="592" t="s">
        <v>875</v>
      </c>
      <c r="C61" s="589">
        <v>222.5</v>
      </c>
      <c r="D61" s="590"/>
      <c r="E61" s="591"/>
      <c r="F61" s="134"/>
      <c r="G61" s="134"/>
      <c r="H61" s="135"/>
      <c r="I61" s="152"/>
      <c r="J61" s="135"/>
      <c r="K61" s="136"/>
      <c r="L61" s="135"/>
      <c r="M61" s="137"/>
      <c r="N61" s="144"/>
      <c r="O61" s="130"/>
      <c r="P61" s="159"/>
      <c r="Q61" s="159"/>
      <c r="R61" s="159"/>
      <c r="S61" s="159"/>
    </row>
    <row r="62" spans="1:20" s="72" customFormat="1" ht="14.25" hidden="1" x14ac:dyDescent="0.2">
      <c r="A62" s="63"/>
      <c r="B62" s="593" t="s">
        <v>876</v>
      </c>
      <c r="C62" s="594">
        <v>750</v>
      </c>
      <c r="D62" s="595"/>
      <c r="E62" s="591"/>
      <c r="F62" s="134"/>
      <c r="G62" s="134"/>
      <c r="H62" s="135"/>
      <c r="I62" s="152"/>
      <c r="J62" s="135"/>
      <c r="K62" s="136"/>
      <c r="L62" s="135"/>
      <c r="M62" s="137"/>
      <c r="N62" s="144"/>
      <c r="O62" s="130"/>
      <c r="P62" s="159"/>
      <c r="Q62" s="159"/>
      <c r="R62" s="159"/>
      <c r="S62" s="159"/>
    </row>
    <row r="63" spans="1:20" ht="23.25" hidden="1" customHeight="1" x14ac:dyDescent="0.2">
      <c r="A63" s="63"/>
      <c r="B63" s="592"/>
      <c r="C63" s="589">
        <f>SUM(C58:C62)</f>
        <v>31237.5</v>
      </c>
      <c r="D63" s="596">
        <f>C63/C57</f>
        <v>339.53804347826087</v>
      </c>
      <c r="E63" s="591" t="s">
        <v>151</v>
      </c>
      <c r="F63" s="134"/>
      <c r="G63" s="134"/>
      <c r="H63" s="135"/>
      <c r="I63" s="135"/>
      <c r="J63" s="135"/>
      <c r="K63" s="136"/>
      <c r="L63" s="135"/>
      <c r="M63" s="137"/>
      <c r="N63" s="131"/>
      <c r="O63" s="130"/>
      <c r="P63" s="60"/>
      <c r="Q63" s="60"/>
      <c r="R63" s="60"/>
      <c r="S63" s="59"/>
    </row>
    <row r="64" spans="1:20" ht="23.25" customHeight="1" x14ac:dyDescent="0.2">
      <c r="A64" s="241"/>
      <c r="B64" s="597"/>
      <c r="C64" s="598"/>
      <c r="D64" s="598"/>
      <c r="E64" s="599"/>
      <c r="F64" s="245"/>
      <c r="G64" s="245"/>
      <c r="H64" s="246"/>
      <c r="I64" s="246"/>
      <c r="J64" s="246"/>
      <c r="K64" s="136"/>
      <c r="L64" s="135"/>
      <c r="M64" s="137"/>
      <c r="N64" s="131"/>
      <c r="O64" s="130"/>
      <c r="P64" s="60"/>
      <c r="Q64" s="60"/>
      <c r="R64" s="60"/>
      <c r="S64" s="59"/>
    </row>
    <row r="65" spans="1:21" ht="24" customHeight="1" x14ac:dyDescent="0.2">
      <c r="A65" s="30"/>
      <c r="B65" s="31"/>
      <c r="C65" s="32"/>
      <c r="D65" s="33"/>
      <c r="E65" s="33"/>
      <c r="F65" s="33">
        <f>SUM(F13:F63)</f>
        <v>98</v>
      </c>
      <c r="G65" s="33"/>
      <c r="H65" s="86">
        <f>SUM(H13:H63)</f>
        <v>4900</v>
      </c>
      <c r="I65" s="33"/>
      <c r="J65" s="78">
        <f>SUM(J13:J63)</f>
        <v>121633.5</v>
      </c>
      <c r="K65" s="33"/>
      <c r="L65" s="33"/>
      <c r="M65" s="68"/>
      <c r="N65" s="94"/>
      <c r="O65" s="104"/>
      <c r="P65" s="60"/>
      <c r="Q65" s="60"/>
      <c r="R65" s="60"/>
      <c r="S65" s="59"/>
    </row>
    <row r="66" spans="1:21" ht="15" customHeight="1" x14ac:dyDescent="0.2">
      <c r="A66" s="15"/>
      <c r="B66" s="28" t="s">
        <v>16</v>
      </c>
      <c r="C66" s="24"/>
      <c r="D66" s="25"/>
      <c r="E66" s="25"/>
      <c r="F66" s="25"/>
      <c r="G66" s="25"/>
      <c r="H66" s="25"/>
      <c r="I66" s="25"/>
      <c r="J66" s="25"/>
      <c r="K66" s="25"/>
      <c r="L66" s="25"/>
      <c r="M66" s="26">
        <f>SUM(M13:M63)</f>
        <v>126533.5</v>
      </c>
      <c r="N66" s="100"/>
      <c r="O66" s="103">
        <f>SUM(O13:O63)</f>
        <v>0</v>
      </c>
      <c r="P66" s="60"/>
      <c r="Q66" s="60"/>
      <c r="R66" s="60"/>
      <c r="S66" s="65"/>
    </row>
    <row r="67" spans="1:21" x14ac:dyDescent="0.2">
      <c r="A67" s="13"/>
      <c r="B67" s="35" t="s">
        <v>12</v>
      </c>
      <c r="C67" s="24"/>
      <c r="D67" s="36"/>
      <c r="E67" s="36"/>
      <c r="F67" s="36"/>
      <c r="G67" s="36"/>
      <c r="H67" s="36"/>
      <c r="I67" s="36"/>
      <c r="J67" s="36"/>
      <c r="K67" s="36"/>
      <c r="L67" s="36"/>
      <c r="M67" s="26"/>
      <c r="N67" s="100"/>
      <c r="O67" s="103"/>
      <c r="P67" s="60"/>
      <c r="Q67" s="60">
        <f>M55</f>
        <v>1224</v>
      </c>
      <c r="R67" s="60">
        <f>Q67*N84</f>
        <v>42.52496873950377</v>
      </c>
      <c r="S67" s="65">
        <f>SUM(Q67:R67)</f>
        <v>1266.5249687395037</v>
      </c>
      <c r="T67" s="14">
        <f>S67*P84</f>
        <v>44.328373905882636</v>
      </c>
      <c r="U67" s="673">
        <f>SUM(S67:T67)</f>
        <v>1310.8533426453864</v>
      </c>
    </row>
    <row r="68" spans="1:21" ht="24" customHeight="1" x14ac:dyDescent="0.2">
      <c r="A68" s="13"/>
      <c r="B68" s="37"/>
      <c r="C68" s="24"/>
      <c r="D68" s="36"/>
      <c r="E68" s="36"/>
      <c r="F68" s="36"/>
      <c r="G68" s="36"/>
      <c r="H68" s="36"/>
      <c r="I68" s="36"/>
      <c r="J68" s="36"/>
      <c r="K68" s="36"/>
      <c r="L68" s="36"/>
      <c r="M68" s="26"/>
      <c r="N68" s="100"/>
      <c r="O68" s="103"/>
      <c r="P68" s="60"/>
      <c r="Q68" s="60">
        <f>M57</f>
        <v>35837.5</v>
      </c>
      <c r="R68" s="60">
        <f>M57*N84</f>
        <v>1245.088698694417</v>
      </c>
      <c r="S68" s="203">
        <f>SUM(Q68:R68)</f>
        <v>37082.588698694417</v>
      </c>
      <c r="T68" s="60">
        <f>S68*L81</f>
        <v>1297.8906044543048</v>
      </c>
      <c r="U68" s="60">
        <f>SUM(S68:T68)</f>
        <v>38380.479303148721</v>
      </c>
    </row>
    <row r="69" spans="1:21" ht="18.75" customHeight="1" x14ac:dyDescent="0.2">
      <c r="A69" s="15"/>
      <c r="B69" s="13" t="s">
        <v>8</v>
      </c>
      <c r="C69" s="24"/>
      <c r="D69" s="36" t="s">
        <v>5</v>
      </c>
      <c r="E69" s="36"/>
      <c r="F69" s="36"/>
      <c r="G69" s="36"/>
      <c r="H69" s="36"/>
      <c r="I69" s="36"/>
      <c r="J69" s="36"/>
      <c r="K69" s="36"/>
      <c r="L69" s="609">
        <v>2.0500000000000001E-2</v>
      </c>
      <c r="M69" s="84">
        <f>M66*L69</f>
        <v>2593.9367500000003</v>
      </c>
      <c r="N69" s="100"/>
      <c r="O69" s="103">
        <f>(O66/M66)*M69</f>
        <v>0</v>
      </c>
    </row>
    <row r="70" spans="1:21" ht="18.75" customHeight="1" x14ac:dyDescent="0.2">
      <c r="A70" s="38"/>
      <c r="B70" s="13"/>
      <c r="C70" s="24"/>
      <c r="D70" s="36"/>
      <c r="E70" s="36"/>
      <c r="F70" s="36"/>
      <c r="G70" s="36"/>
      <c r="H70" s="36"/>
      <c r="I70" s="36"/>
      <c r="J70" s="36"/>
      <c r="K70" s="36"/>
      <c r="L70" s="36"/>
      <c r="M70" s="26"/>
      <c r="N70" s="100"/>
      <c r="O70" s="103"/>
    </row>
    <row r="71" spans="1:21" s="42" customFormat="1" x14ac:dyDescent="0.2">
      <c r="A71" s="15"/>
      <c r="B71" s="39" t="s">
        <v>9</v>
      </c>
      <c r="C71" s="40"/>
      <c r="D71" s="41" t="s">
        <v>5</v>
      </c>
      <c r="E71" s="41"/>
      <c r="F71" s="41"/>
      <c r="G71" s="41"/>
      <c r="H71" s="41"/>
      <c r="I71" s="41"/>
      <c r="J71" s="41"/>
      <c r="K71" s="41"/>
      <c r="L71" s="79">
        <v>0.01</v>
      </c>
      <c r="M71" s="34">
        <f>M66*L71</f>
        <v>1265.335</v>
      </c>
      <c r="N71" s="100"/>
      <c r="O71" s="103">
        <f>(O66/M66)*M71</f>
        <v>0</v>
      </c>
    </row>
    <row r="72" spans="1:21" s="42" customFormat="1" x14ac:dyDescent="0.2">
      <c r="A72" s="15"/>
      <c r="B72" s="39"/>
      <c r="C72" s="40"/>
      <c r="D72" s="41"/>
      <c r="E72" s="41"/>
      <c r="F72" s="41"/>
      <c r="G72" s="41"/>
      <c r="H72" s="41"/>
      <c r="I72" s="41"/>
      <c r="J72" s="41"/>
      <c r="K72" s="41"/>
      <c r="L72" s="41"/>
      <c r="M72" s="34"/>
      <c r="N72" s="100"/>
      <c r="O72" s="103"/>
      <c r="S72" s="672"/>
    </row>
    <row r="73" spans="1:21" s="42" customFormat="1" x14ac:dyDescent="0.2">
      <c r="A73" s="15"/>
      <c r="B73" s="39" t="s">
        <v>10</v>
      </c>
      <c r="C73" s="40"/>
      <c r="D73" s="41" t="s">
        <v>5</v>
      </c>
      <c r="E73" s="41"/>
      <c r="F73" s="41"/>
      <c r="G73" s="41"/>
      <c r="H73" s="41"/>
      <c r="I73" s="41"/>
      <c r="J73" s="41"/>
      <c r="K73" s="41"/>
      <c r="L73" s="79">
        <v>2.5000000000000001E-3</v>
      </c>
      <c r="M73" s="34">
        <f>M66*L73</f>
        <v>316.33375000000001</v>
      </c>
      <c r="N73" s="100"/>
      <c r="O73" s="103">
        <f>(O66/M66)*M73</f>
        <v>0</v>
      </c>
    </row>
    <row r="74" spans="1:21" s="42" customFormat="1" ht="20.25" customHeight="1" x14ac:dyDescent="0.2">
      <c r="A74" s="15"/>
      <c r="B74" s="80"/>
      <c r="C74" s="81"/>
      <c r="D74" s="82"/>
      <c r="E74" s="82"/>
      <c r="F74" s="82"/>
      <c r="G74" s="82"/>
      <c r="H74" s="82"/>
      <c r="I74" s="82"/>
      <c r="J74" s="82"/>
      <c r="K74" s="82"/>
      <c r="L74" s="82"/>
      <c r="M74" s="85"/>
      <c r="N74" s="100"/>
      <c r="O74" s="103"/>
    </row>
    <row r="75" spans="1:21" s="42" customFormat="1" ht="21.75" customHeight="1" x14ac:dyDescent="0.2">
      <c r="A75" s="29"/>
      <c r="B75" s="141" t="s">
        <v>42</v>
      </c>
      <c r="C75" s="81"/>
      <c r="D75" s="82" t="s">
        <v>5</v>
      </c>
      <c r="E75" s="82"/>
      <c r="F75" s="82"/>
      <c r="G75" s="82"/>
      <c r="H75" s="82"/>
      <c r="I75" s="82"/>
      <c r="J75" s="82"/>
      <c r="K75" s="82"/>
      <c r="L75" s="83">
        <f>M75/M66</f>
        <v>1.7426215192024247E-3</v>
      </c>
      <c r="M75" s="85">
        <f>I88</f>
        <v>220.5</v>
      </c>
      <c r="N75" s="100"/>
      <c r="O75" s="103"/>
      <c r="P75" s="172"/>
      <c r="Q75" s="172"/>
      <c r="R75" s="172"/>
    </row>
    <row r="76" spans="1:21" s="42" customFormat="1" ht="18" customHeight="1" x14ac:dyDescent="0.2">
      <c r="A76" s="29"/>
      <c r="B76" s="80"/>
      <c r="C76" s="81"/>
      <c r="D76" s="82"/>
      <c r="E76" s="82"/>
      <c r="F76" s="82"/>
      <c r="G76" s="82"/>
      <c r="H76" s="82"/>
      <c r="I76" s="82"/>
      <c r="J76" s="82"/>
      <c r="K76" s="82"/>
      <c r="L76" s="82"/>
      <c r="M76" s="85"/>
      <c r="N76" s="100"/>
      <c r="O76" s="103"/>
    </row>
    <row r="77" spans="1:21" s="42" customFormat="1" x14ac:dyDescent="0.2">
      <c r="A77" s="29"/>
      <c r="B77" s="80" t="s">
        <v>44</v>
      </c>
      <c r="C77" s="81"/>
      <c r="D77" s="82" t="s">
        <v>5</v>
      </c>
      <c r="E77" s="82"/>
      <c r="F77" s="82"/>
      <c r="G77" s="82"/>
      <c r="H77" s="82"/>
      <c r="I77" s="82"/>
      <c r="J77" s="82"/>
      <c r="K77" s="82"/>
      <c r="L77" s="83"/>
      <c r="M77" s="85"/>
      <c r="N77" s="100"/>
      <c r="O77" s="103">
        <f>M77*N77</f>
        <v>0</v>
      </c>
    </row>
    <row r="78" spans="1:21" s="42" customFormat="1" x14ac:dyDescent="0.2">
      <c r="A78" s="15"/>
      <c r="B78" s="80"/>
      <c r="C78" s="81"/>
      <c r="D78" s="82"/>
      <c r="E78" s="82"/>
      <c r="F78" s="82"/>
      <c r="G78" s="82"/>
      <c r="H78" s="82"/>
      <c r="I78" s="82"/>
      <c r="J78" s="82"/>
      <c r="K78" s="82"/>
      <c r="L78" s="82"/>
      <c r="M78" s="34"/>
      <c r="N78" s="100"/>
      <c r="O78" s="105"/>
      <c r="S78" s="569">
        <v>135362</v>
      </c>
    </row>
    <row r="79" spans="1:21" ht="18.75" customHeight="1" x14ac:dyDescent="0.2">
      <c r="A79" s="43"/>
      <c r="B79" s="44" t="s">
        <v>17</v>
      </c>
      <c r="C79" s="45"/>
      <c r="D79" s="46"/>
      <c r="E79" s="46"/>
      <c r="F79" s="46"/>
      <c r="G79" s="46"/>
      <c r="H79" s="46"/>
      <c r="I79" s="46"/>
      <c r="J79" s="46"/>
      <c r="K79" s="46"/>
      <c r="L79" s="46"/>
      <c r="M79" s="69">
        <f>SUM(M66:M78)</f>
        <v>130929.60550000001</v>
      </c>
      <c r="N79" s="101"/>
      <c r="O79" s="106">
        <f>SUM(O66:O78)</f>
        <v>0</v>
      </c>
      <c r="P79" s="42"/>
      <c r="Q79" s="42"/>
      <c r="R79" s="543" t="s">
        <v>235</v>
      </c>
      <c r="S79" s="569">
        <v>96804</v>
      </c>
    </row>
    <row r="80" spans="1:21" ht="16.5" customHeight="1" x14ac:dyDescent="0.2">
      <c r="A80" s="15"/>
      <c r="B80" s="19"/>
      <c r="C80" s="24"/>
      <c r="D80" s="36"/>
      <c r="E80" s="36"/>
      <c r="F80" s="36"/>
      <c r="G80" s="36"/>
      <c r="H80" s="36"/>
      <c r="I80" s="36"/>
      <c r="J80" s="36"/>
      <c r="K80" s="36"/>
      <c r="L80" s="36"/>
      <c r="M80" s="26"/>
      <c r="N80" s="95"/>
      <c r="O80" s="107"/>
      <c r="P80" s="42"/>
      <c r="Q80" s="42"/>
      <c r="R80" s="543" t="s">
        <v>236</v>
      </c>
      <c r="S80" s="569">
        <f>S78-S79</f>
        <v>38558</v>
      </c>
    </row>
    <row r="81" spans="1:20" x14ac:dyDescent="0.2">
      <c r="A81" s="15"/>
      <c r="B81" s="19" t="s">
        <v>11</v>
      </c>
      <c r="C81" s="24"/>
      <c r="D81" s="36"/>
      <c r="E81" s="36"/>
      <c r="F81" s="36"/>
      <c r="G81" s="36"/>
      <c r="H81" s="36"/>
      <c r="I81" s="36"/>
      <c r="J81" s="36"/>
      <c r="K81" s="36"/>
      <c r="L81" s="606">
        <v>3.5000000000000003E-2</v>
      </c>
      <c r="M81" s="26">
        <f>M79*L81</f>
        <v>4582.5361925000007</v>
      </c>
      <c r="N81" s="95"/>
      <c r="O81" s="107">
        <f>O79/M79*M81</f>
        <v>0</v>
      </c>
      <c r="P81" s="42"/>
      <c r="Q81" s="42"/>
      <c r="R81" s="42"/>
      <c r="S81" s="42"/>
      <c r="T81" s="18">
        <f>SUM(S79:S80)</f>
        <v>135362</v>
      </c>
    </row>
    <row r="82" spans="1:20" x14ac:dyDescent="0.2">
      <c r="A82" s="47"/>
      <c r="B82" s="48"/>
      <c r="C82" s="49"/>
      <c r="D82" s="49"/>
      <c r="E82" s="49"/>
      <c r="F82" s="49"/>
      <c r="G82" s="49"/>
      <c r="H82" s="49"/>
      <c r="I82" s="49"/>
      <c r="J82" s="49"/>
      <c r="K82" s="49"/>
      <c r="L82" s="174"/>
      <c r="M82" s="70"/>
      <c r="N82" s="95"/>
      <c r="O82" s="107"/>
      <c r="P82" s="42"/>
      <c r="Q82" s="42"/>
      <c r="R82" s="42"/>
      <c r="S82" s="42"/>
    </row>
    <row r="83" spans="1:20" ht="27.75" customHeight="1" x14ac:dyDescent="0.2">
      <c r="A83" s="50"/>
      <c r="B83" s="56" t="s">
        <v>237</v>
      </c>
      <c r="C83" s="51"/>
      <c r="D83" s="52"/>
      <c r="E83" s="52"/>
      <c r="F83" s="52"/>
      <c r="G83" s="52"/>
      <c r="H83" s="52"/>
      <c r="I83" s="52"/>
      <c r="J83" s="52"/>
      <c r="K83" s="52"/>
      <c r="L83" s="173"/>
      <c r="M83" s="71">
        <f>ROUNDUP(SUM(M79:M82),0)</f>
        <v>135513</v>
      </c>
      <c r="N83" s="151">
        <f>O83/M83</f>
        <v>0</v>
      </c>
      <c r="O83" s="109">
        <f>SUM(O79:O82)</f>
        <v>0</v>
      </c>
      <c r="P83" s="42"/>
      <c r="Q83" s="42"/>
      <c r="R83" s="42"/>
      <c r="S83" s="42"/>
    </row>
    <row r="84" spans="1:20" ht="13.5" customHeight="1" x14ac:dyDescent="0.2">
      <c r="A84" s="161"/>
      <c r="B84" s="162"/>
      <c r="C84" s="163"/>
      <c r="D84" s="164"/>
      <c r="E84" s="164"/>
      <c r="F84" s="164"/>
      <c r="G84" s="72"/>
      <c r="H84" s="72"/>
      <c r="I84" s="72"/>
      <c r="J84" s="72"/>
      <c r="K84" s="164"/>
      <c r="L84" s="164"/>
      <c r="M84" s="165"/>
      <c r="N84" s="166">
        <f>SUM(L68:L78)</f>
        <v>3.4742621519202425E-2</v>
      </c>
      <c r="O84" s="240"/>
      <c r="P84" s="166">
        <f>L81</f>
        <v>3.5000000000000003E-2</v>
      </c>
      <c r="Q84" s="166"/>
      <c r="R84" s="166"/>
      <c r="S84" s="42"/>
    </row>
    <row r="85" spans="1:20" ht="13.5" customHeight="1" x14ac:dyDescent="0.2">
      <c r="A85" s="161"/>
      <c r="B85" s="162"/>
      <c r="C85" s="163"/>
      <c r="D85" s="164"/>
      <c r="E85" s="164"/>
      <c r="F85" s="167"/>
      <c r="G85" s="410" t="s">
        <v>45</v>
      </c>
      <c r="H85" s="411"/>
      <c r="I85" s="411"/>
      <c r="J85" s="412"/>
      <c r="K85" s="633">
        <f>SUM(F28,F40:F43)</f>
        <v>0</v>
      </c>
      <c r="L85" s="169" t="s">
        <v>328</v>
      </c>
      <c r="M85" s="165">
        <f>SUM(M28,M40:M43)</f>
        <v>35649</v>
      </c>
      <c r="N85" s="561">
        <f>M85*$N$84</f>
        <v>1238.5397145380473</v>
      </c>
      <c r="O85" s="156">
        <f>SUM(M85:N85)</f>
        <v>36887.539714538048</v>
      </c>
      <c r="P85" s="172">
        <f>O85*$P$84</f>
        <v>1291.0638900088318</v>
      </c>
      <c r="Q85" s="172"/>
      <c r="R85" s="172"/>
      <c r="S85" s="565">
        <f>SUM(O85:P85)</f>
        <v>38178.603604546879</v>
      </c>
    </row>
    <row r="86" spans="1:20" ht="13.5" customHeight="1" x14ac:dyDescent="0.2">
      <c r="A86" s="161"/>
      <c r="B86" s="162"/>
      <c r="C86" s="163"/>
      <c r="D86" s="164"/>
      <c r="E86" s="164"/>
      <c r="F86" s="164"/>
      <c r="G86" s="413"/>
      <c r="H86" s="414" t="s">
        <v>583</v>
      </c>
      <c r="I86" s="72"/>
      <c r="J86" s="415"/>
      <c r="K86" s="634"/>
      <c r="L86" s="169"/>
      <c r="M86" s="165"/>
      <c r="N86" s="561"/>
      <c r="O86" s="156"/>
      <c r="P86" s="172"/>
      <c r="Q86" s="172"/>
      <c r="R86" s="172"/>
      <c r="S86" s="566"/>
    </row>
    <row r="87" spans="1:20" ht="13.5" customHeight="1" x14ac:dyDescent="0.2">
      <c r="F87" s="168"/>
      <c r="G87" s="413">
        <f>F65/8</f>
        <v>12.25</v>
      </c>
      <c r="H87" s="416">
        <v>1</v>
      </c>
      <c r="I87" s="72"/>
      <c r="J87" s="415"/>
      <c r="K87" s="635">
        <f>SUM(F31,F47:F49)</f>
        <v>0</v>
      </c>
      <c r="L87" s="169" t="s">
        <v>329</v>
      </c>
      <c r="M87" s="53">
        <f>SUM(M31,M47:M49)</f>
        <v>27261</v>
      </c>
      <c r="N87" s="561">
        <f>M87*$N$84</f>
        <v>947.11860523497728</v>
      </c>
      <c r="O87" s="156">
        <f>SUM(M87:N87)</f>
        <v>28208.118605234977</v>
      </c>
      <c r="P87" s="172">
        <f>O87*$P$84</f>
        <v>987.28415118322425</v>
      </c>
      <c r="Q87" s="172"/>
      <c r="R87" s="172"/>
      <c r="S87" s="219">
        <f>SUM(O87:P87)</f>
        <v>29195.4027564182</v>
      </c>
    </row>
    <row r="88" spans="1:20" ht="13.5" customHeight="1" x14ac:dyDescent="0.2">
      <c r="F88" s="168"/>
      <c r="G88" s="413">
        <f>G87/H87</f>
        <v>12.25</v>
      </c>
      <c r="H88" s="61">
        <v>18</v>
      </c>
      <c r="I88" s="61">
        <f>G88*H88</f>
        <v>220.5</v>
      </c>
      <c r="J88" s="415"/>
      <c r="K88" s="634"/>
      <c r="L88" s="169"/>
      <c r="M88" s="53"/>
      <c r="N88" s="561"/>
      <c r="O88" s="156"/>
      <c r="P88" s="172"/>
      <c r="Q88" s="172"/>
      <c r="R88" s="172"/>
      <c r="S88" s="566"/>
    </row>
    <row r="89" spans="1:20" x14ac:dyDescent="0.2">
      <c r="F89" s="168"/>
      <c r="G89" s="413"/>
      <c r="H89" s="72"/>
      <c r="I89" s="72"/>
      <c r="J89" s="415"/>
      <c r="K89" s="635">
        <f>SUM(F33:F34,F53:F57)</f>
        <v>98</v>
      </c>
      <c r="L89" s="169" t="s">
        <v>330</v>
      </c>
      <c r="M89" s="53">
        <f>SUM(M33:M34,M53:M57)</f>
        <v>63623.5</v>
      </c>
      <c r="N89" s="561">
        <f>M89*$N$84</f>
        <v>2210.4471802269754</v>
      </c>
      <c r="O89" s="156">
        <f>SUM(M89:N89)</f>
        <v>65833.947180226969</v>
      </c>
      <c r="P89" s="172">
        <f>O89*$P$84</f>
        <v>2304.1881513079443</v>
      </c>
      <c r="Q89" s="172"/>
      <c r="R89" s="172"/>
      <c r="S89" s="567">
        <f>SUM(O89:P89)</f>
        <v>68138.135331534912</v>
      </c>
    </row>
    <row r="90" spans="1:20" x14ac:dyDescent="0.2">
      <c r="G90" s="417"/>
      <c r="H90" s="418"/>
      <c r="I90" s="418"/>
      <c r="J90" s="419"/>
      <c r="K90" s="637"/>
      <c r="L90" s="556"/>
      <c r="M90" s="557"/>
      <c r="N90" s="558"/>
      <c r="O90" s="559"/>
      <c r="P90" s="546"/>
      <c r="Q90" s="546"/>
      <c r="R90" s="546"/>
      <c r="S90" s="546"/>
    </row>
    <row r="91" spans="1:20" x14ac:dyDescent="0.2">
      <c r="K91" s="635">
        <f>SUM(K85:K90)</f>
        <v>98</v>
      </c>
      <c r="L91" s="53"/>
      <c r="M91" s="53">
        <f>SUM(M85:M90)</f>
        <v>126533.5</v>
      </c>
      <c r="N91" s="96"/>
      <c r="O91" s="108"/>
      <c r="P91" s="42"/>
      <c r="Q91" s="42"/>
      <c r="R91" s="42"/>
      <c r="S91" s="569">
        <f>SUM(S85:S90)</f>
        <v>135512.14169249998</v>
      </c>
    </row>
    <row r="92" spans="1:20" ht="15" x14ac:dyDescent="0.25">
      <c r="B92" s="113" t="s">
        <v>30</v>
      </c>
      <c r="C92" s="114"/>
      <c r="D92" s="114"/>
      <c r="E92" s="114"/>
      <c r="F92" s="114"/>
      <c r="I92" s="113" t="s">
        <v>30</v>
      </c>
      <c r="J92" s="114"/>
      <c r="K92" s="114"/>
      <c r="L92" s="114"/>
      <c r="M92" s="114"/>
      <c r="O92" s="108"/>
      <c r="P92" s="42"/>
      <c r="Q92" s="42"/>
      <c r="R92" s="42"/>
      <c r="S92" s="42"/>
    </row>
    <row r="93" spans="1:20" x14ac:dyDescent="0.2">
      <c r="B93" s="115" t="s">
        <v>43</v>
      </c>
      <c r="C93" s="116"/>
      <c r="D93" s="111"/>
      <c r="E93" s="111"/>
      <c r="F93" s="111"/>
      <c r="I93" s="115" t="s">
        <v>31</v>
      </c>
      <c r="J93" s="116"/>
      <c r="K93" s="111"/>
      <c r="L93" s="111"/>
      <c r="M93" s="111"/>
      <c r="O93" s="108"/>
      <c r="P93" s="42"/>
      <c r="Q93" s="42"/>
      <c r="R93" s="42"/>
      <c r="S93" s="42"/>
    </row>
    <row r="94" spans="1:20" ht="15" x14ac:dyDescent="0.25">
      <c r="B94" s="115" t="s">
        <v>32</v>
      </c>
      <c r="C94" s="116" t="s">
        <v>33</v>
      </c>
      <c r="D94" s="111" t="s">
        <v>34</v>
      </c>
      <c r="E94" s="111" t="s">
        <v>35</v>
      </c>
      <c r="F94" s="114"/>
      <c r="I94" s="115" t="s">
        <v>32</v>
      </c>
      <c r="J94" s="116" t="s">
        <v>33</v>
      </c>
      <c r="K94" s="111" t="s">
        <v>34</v>
      </c>
      <c r="L94" s="111" t="s">
        <v>35</v>
      </c>
      <c r="M94" s="114"/>
      <c r="O94" s="108"/>
      <c r="P94" s="42"/>
      <c r="Q94" s="42"/>
      <c r="R94" s="42"/>
      <c r="S94" s="42"/>
    </row>
    <row r="95" spans="1:20" x14ac:dyDescent="0.2">
      <c r="B95" s="117">
        <v>1</v>
      </c>
      <c r="C95" s="116">
        <v>55</v>
      </c>
      <c r="D95" s="111">
        <f>B95*C95</f>
        <v>55</v>
      </c>
      <c r="E95" s="111">
        <f>D95*F95</f>
        <v>110</v>
      </c>
      <c r="F95" s="118">
        <v>2</v>
      </c>
      <c r="I95" s="117">
        <v>4</v>
      </c>
      <c r="J95" s="116">
        <v>55</v>
      </c>
      <c r="K95" s="111">
        <f>I95*J95</f>
        <v>220</v>
      </c>
      <c r="L95" s="111">
        <f>K95*M95</f>
        <v>440</v>
      </c>
      <c r="M95" s="118">
        <v>2</v>
      </c>
      <c r="O95" s="108"/>
      <c r="P95" s="42"/>
      <c r="Q95" s="42"/>
      <c r="R95" s="42"/>
      <c r="S95" s="42"/>
    </row>
    <row r="96" spans="1:20" x14ac:dyDescent="0.2">
      <c r="B96" s="115" t="s">
        <v>36</v>
      </c>
      <c r="C96" s="116"/>
      <c r="D96" s="111"/>
      <c r="E96" s="111" t="s">
        <v>37</v>
      </c>
      <c r="F96" s="111"/>
      <c r="I96" s="115" t="s">
        <v>36</v>
      </c>
      <c r="J96" s="116"/>
      <c r="K96" s="111"/>
      <c r="L96" s="111" t="s">
        <v>37</v>
      </c>
      <c r="M96" s="111"/>
      <c r="O96" s="108"/>
      <c r="P96" s="42"/>
      <c r="Q96" s="42"/>
      <c r="R96" s="42"/>
      <c r="S96" s="42"/>
    </row>
    <row r="97" spans="2:19" ht="15" x14ac:dyDescent="0.25">
      <c r="B97" s="115">
        <v>0.7</v>
      </c>
      <c r="C97" s="119"/>
      <c r="D97" s="114"/>
      <c r="E97" s="111">
        <f>B97*C97</f>
        <v>0</v>
      </c>
      <c r="F97" s="111"/>
      <c r="I97" s="115">
        <v>0.7</v>
      </c>
      <c r="J97" s="119">
        <v>310</v>
      </c>
      <c r="K97" s="114"/>
      <c r="L97" s="111">
        <f>I97*J97</f>
        <v>217</v>
      </c>
      <c r="M97" s="111"/>
      <c r="O97" s="108"/>
      <c r="P97" s="42"/>
      <c r="Q97" s="42"/>
      <c r="R97" s="42"/>
      <c r="S97" s="42"/>
    </row>
    <row r="98" spans="2:19" x14ac:dyDescent="0.2">
      <c r="B98" s="115" t="s">
        <v>38</v>
      </c>
      <c r="C98" s="116"/>
      <c r="D98" s="111"/>
      <c r="E98" s="111">
        <f>SUM(E95:E97)</f>
        <v>110</v>
      </c>
      <c r="F98" s="111"/>
      <c r="I98" s="115" t="s">
        <v>38</v>
      </c>
      <c r="J98" s="116"/>
      <c r="K98" s="111"/>
      <c r="L98" s="111">
        <f>SUM(L95:L97)</f>
        <v>657</v>
      </c>
      <c r="M98" s="111"/>
      <c r="O98" s="108"/>
      <c r="P98" s="42"/>
      <c r="Q98" s="42"/>
      <c r="R98" s="42"/>
      <c r="S98" s="42"/>
    </row>
    <row r="99" spans="2:19" x14ac:dyDescent="0.2">
      <c r="B99" s="117">
        <v>2</v>
      </c>
      <c r="C99" s="116"/>
      <c r="D99" s="111"/>
      <c r="E99" s="111">
        <f>B99*E98</f>
        <v>220</v>
      </c>
      <c r="F99" s="111"/>
      <c r="I99" s="117">
        <v>1</v>
      </c>
      <c r="J99" s="116"/>
      <c r="K99" s="111"/>
      <c r="L99" s="111">
        <f>I99*L98</f>
        <v>657</v>
      </c>
      <c r="M99" s="111"/>
      <c r="O99" s="108"/>
      <c r="P99" s="42"/>
      <c r="Q99" s="42"/>
      <c r="R99" s="42"/>
      <c r="S99" s="42"/>
    </row>
    <row r="100" spans="2:19" x14ac:dyDescent="0.2">
      <c r="B100" s="115" t="s">
        <v>39</v>
      </c>
      <c r="C100" s="116" t="s">
        <v>40</v>
      </c>
      <c r="D100" s="111"/>
      <c r="E100" s="111" t="s">
        <v>41</v>
      </c>
      <c r="F100" s="111"/>
      <c r="I100" s="115" t="s">
        <v>39</v>
      </c>
      <c r="J100" s="116" t="s">
        <v>40</v>
      </c>
      <c r="K100" s="111"/>
      <c r="L100" s="111" t="s">
        <v>41</v>
      </c>
      <c r="M100" s="111"/>
      <c r="S100" s="54"/>
    </row>
    <row r="101" spans="2:19" x14ac:dyDescent="0.2">
      <c r="B101" s="117"/>
      <c r="C101" s="119"/>
      <c r="D101" s="111">
        <f>B101*C101</f>
        <v>0</v>
      </c>
      <c r="E101" s="111">
        <f>D101*F95</f>
        <v>0</v>
      </c>
      <c r="F101" s="111"/>
      <c r="I101" s="117">
        <v>125</v>
      </c>
      <c r="J101" s="119">
        <v>4</v>
      </c>
      <c r="K101" s="111">
        <f>I101*J101</f>
        <v>500</v>
      </c>
      <c r="L101" s="111">
        <f>K101*M95</f>
        <v>1000</v>
      </c>
      <c r="M101" s="111"/>
    </row>
    <row r="102" spans="2:19" x14ac:dyDescent="0.2">
      <c r="B102" s="115"/>
      <c r="C102" s="116"/>
      <c r="D102" s="111"/>
      <c r="E102" s="112">
        <f>SUM(E99:E101)</f>
        <v>220</v>
      </c>
      <c r="F102" s="111"/>
      <c r="I102" s="115"/>
      <c r="J102" s="116"/>
      <c r="K102" s="111"/>
      <c r="L102" s="112">
        <f>SUM(L99:L101)</f>
        <v>1657</v>
      </c>
      <c r="M102" s="111"/>
    </row>
    <row r="106" spans="2:19" x14ac:dyDescent="0.2">
      <c r="D106" s="72" t="s">
        <v>45</v>
      </c>
      <c r="E106" s="14">
        <f>F65/8.5</f>
        <v>11.529411764705882</v>
      </c>
      <c r="F106" s="60">
        <f>E106*17.5</f>
        <v>201.76470588235293</v>
      </c>
      <c r="G106" s="72" t="s">
        <v>48</v>
      </c>
    </row>
  </sheetData>
  <pageMargins left="0.7" right="0.7" top="0.75" bottom="0.75" header="0.3" footer="0.3"/>
  <pageSetup paperSize="9" scale="9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D969-BCA4-443E-A48C-DFB5AF4C994E}">
  <sheetPr>
    <pageSetUpPr fitToPage="1"/>
  </sheetPr>
  <dimension ref="A1:X119"/>
  <sheetViews>
    <sheetView topLeftCell="A89" zoomScale="85" zoomScaleNormal="85" workbookViewId="0">
      <selection activeCell="B116" sqref="B116:B122"/>
    </sheetView>
  </sheetViews>
  <sheetFormatPr defaultRowHeight="12.75" x14ac:dyDescent="0.2"/>
  <cols>
    <col min="1" max="1" width="4.85546875" style="14" customWidth="1"/>
    <col min="2" max="2" width="49.28515625" style="14" customWidth="1"/>
    <col min="3" max="3" width="23" style="14" customWidth="1"/>
    <col min="4" max="4" width="15.28515625" style="14" customWidth="1"/>
    <col min="5" max="7" width="11.5703125" style="14" customWidth="1"/>
    <col min="8" max="8" width="15" style="14" customWidth="1"/>
    <col min="9" max="9" width="10.42578125" style="14" customWidth="1"/>
    <col min="10" max="11" width="12.5703125" style="14" bestFit="1" customWidth="1"/>
    <col min="12" max="12" width="11.5703125" style="14" customWidth="1"/>
    <col min="13" max="13" width="14.7109375" style="14" customWidth="1"/>
    <col min="14" max="14" width="11" style="92" customWidth="1"/>
    <col min="15" max="15" width="13.140625" style="14" customWidth="1"/>
    <col min="16" max="17" width="23" style="14" customWidth="1"/>
    <col min="18" max="18" width="10.28515625" style="14" bestFit="1" customWidth="1"/>
    <col min="19" max="23" width="9.140625" style="14"/>
    <col min="24" max="24" width="12.5703125" style="14" bestFit="1" customWidth="1"/>
    <col min="25" max="16384" width="9.140625" style="14"/>
  </cols>
  <sheetData>
    <row r="1" spans="1:24" ht="15.75" x14ac:dyDescent="0.2">
      <c r="A1" s="13"/>
      <c r="B1" s="3" t="str">
        <f>Summary!B1</f>
        <v>Ceilings Unlimited</v>
      </c>
      <c r="C1" s="13"/>
      <c r="D1" s="13"/>
      <c r="E1" s="13"/>
      <c r="F1" s="13"/>
      <c r="G1" s="13"/>
      <c r="H1" s="13"/>
      <c r="I1" s="13"/>
      <c r="J1" s="13"/>
      <c r="K1" s="13"/>
      <c r="L1" s="13"/>
      <c r="M1" s="13"/>
    </row>
    <row r="2" spans="1:24" ht="15.75" x14ac:dyDescent="0.2">
      <c r="A2" s="13"/>
      <c r="B2" s="12" t="str">
        <f>Summary!B2</f>
        <v>Craigs Investment Partners - Fitout</v>
      </c>
      <c r="C2" s="13"/>
      <c r="D2" s="13"/>
      <c r="E2" s="13"/>
      <c r="F2" s="13"/>
      <c r="G2" s="13"/>
      <c r="H2" s="13"/>
      <c r="I2" s="13"/>
      <c r="J2" s="13"/>
      <c r="K2" s="13"/>
      <c r="L2" s="13"/>
      <c r="M2" s="13"/>
    </row>
    <row r="3" spans="1:24" ht="15.75" x14ac:dyDescent="0.2">
      <c r="A3" s="13"/>
      <c r="B3" s="12" t="str">
        <f>Summary!B3</f>
        <v>Tauranga</v>
      </c>
      <c r="C3" s="13"/>
      <c r="D3" s="13"/>
      <c r="E3" s="13"/>
      <c r="F3" s="13"/>
      <c r="G3" s="13"/>
      <c r="H3" s="13"/>
      <c r="I3" s="13"/>
      <c r="J3" s="13"/>
      <c r="K3" s="13"/>
      <c r="L3" s="13"/>
      <c r="M3" s="13"/>
      <c r="R3" s="556"/>
      <c r="S3" s="418" t="s">
        <v>879</v>
      </c>
      <c r="T3" s="418" t="s">
        <v>880</v>
      </c>
      <c r="U3" s="418" t="s">
        <v>881</v>
      </c>
      <c r="V3" s="556"/>
      <c r="W3" s="556"/>
    </row>
    <row r="4" spans="1:24" ht="15.75" x14ac:dyDescent="0.2">
      <c r="A4" s="13"/>
      <c r="B4" s="6"/>
      <c r="C4" s="13"/>
      <c r="D4" s="13"/>
      <c r="E4" s="13"/>
      <c r="F4" s="13"/>
      <c r="G4" s="13"/>
      <c r="H4" s="13"/>
      <c r="I4" s="13"/>
      <c r="J4" s="13"/>
      <c r="K4" s="13"/>
      <c r="L4" s="13"/>
      <c r="M4" s="13"/>
      <c r="R4" s="72" t="s">
        <v>877</v>
      </c>
      <c r="S4" s="14">
        <v>95</v>
      </c>
      <c r="T4" s="14">
        <v>66</v>
      </c>
      <c r="U4" s="14">
        <v>93</v>
      </c>
      <c r="V4" s="72" t="s">
        <v>151</v>
      </c>
      <c r="W4" s="308">
        <f>SUM(S4:U4)</f>
        <v>254</v>
      </c>
      <c r="X4" s="27">
        <f>SUM(J18,J38,J60)</f>
        <v>431376</v>
      </c>
    </row>
    <row r="5" spans="1:24" ht="15.75" x14ac:dyDescent="0.2">
      <c r="A5" s="13"/>
      <c r="B5" s="6"/>
      <c r="C5" s="13"/>
      <c r="D5" s="13"/>
      <c r="E5" s="13"/>
      <c r="F5" s="13"/>
      <c r="G5" s="13"/>
      <c r="H5" s="13"/>
      <c r="I5" s="13"/>
      <c r="J5" s="13"/>
      <c r="K5" s="13"/>
      <c r="L5" s="13"/>
      <c r="M5" s="13"/>
      <c r="R5" s="72"/>
      <c r="S5" s="14">
        <v>34</v>
      </c>
      <c r="T5" s="14">
        <v>23</v>
      </c>
      <c r="U5" s="14">
        <v>30</v>
      </c>
      <c r="V5" s="72" t="s">
        <v>507</v>
      </c>
      <c r="W5" s="308"/>
    </row>
    <row r="6" spans="1:24" ht="15.75" x14ac:dyDescent="0.2">
      <c r="A6" s="13"/>
      <c r="B6" s="6">
        <f>Summary!B5</f>
        <v>46043</v>
      </c>
      <c r="C6" s="13"/>
      <c r="D6" s="13"/>
      <c r="E6" s="13"/>
      <c r="F6" s="13"/>
      <c r="G6" s="13"/>
      <c r="H6" s="13"/>
      <c r="I6" s="13"/>
      <c r="J6" s="13"/>
      <c r="K6" s="13"/>
      <c r="L6" s="13"/>
      <c r="M6" s="13"/>
      <c r="R6" s="72" t="s">
        <v>878</v>
      </c>
      <c r="S6" s="14">
        <v>35</v>
      </c>
      <c r="T6" s="14">
        <v>28</v>
      </c>
      <c r="V6" s="72" t="s">
        <v>151</v>
      </c>
      <c r="W6" s="308">
        <f>SUM(S6:U6)</f>
        <v>63</v>
      </c>
      <c r="X6" s="27">
        <f>SUM(J25,J46)</f>
        <v>74008</v>
      </c>
    </row>
    <row r="7" spans="1:24" ht="15.75" x14ac:dyDescent="0.2">
      <c r="A7" s="13"/>
      <c r="B7" s="6"/>
      <c r="C7" s="13"/>
      <c r="D7" s="13"/>
      <c r="E7" s="13"/>
      <c r="F7" s="13"/>
      <c r="G7" s="13"/>
      <c r="H7" s="13"/>
      <c r="I7" s="13"/>
      <c r="J7" s="13"/>
      <c r="K7" s="13"/>
      <c r="L7" s="13"/>
      <c r="M7" s="13"/>
      <c r="R7" s="72"/>
    </row>
    <row r="8" spans="1:24" ht="15.75" x14ac:dyDescent="0.2">
      <c r="A8" s="13"/>
      <c r="B8" s="140"/>
      <c r="C8" s="13"/>
      <c r="D8" s="13"/>
      <c r="E8" s="13"/>
      <c r="F8" s="13"/>
      <c r="G8" s="13"/>
      <c r="H8" s="13"/>
      <c r="I8" s="13"/>
      <c r="J8" s="13"/>
      <c r="K8" s="13"/>
      <c r="L8" s="13"/>
      <c r="M8" s="13"/>
      <c r="R8" s="72"/>
      <c r="S8" s="72"/>
      <c r="T8" s="72"/>
    </row>
    <row r="9" spans="1:24" ht="23.25" customHeight="1" x14ac:dyDescent="0.2">
      <c r="A9" s="15"/>
      <c r="B9" s="55" t="str">
        <f>Summary!B131</f>
        <v>Featurecraft (TB-01 and TB-02)</v>
      </c>
      <c r="C9" s="16"/>
      <c r="D9" s="15"/>
      <c r="E9" s="15"/>
      <c r="F9" s="15"/>
      <c r="G9" s="15"/>
      <c r="H9" s="15"/>
      <c r="I9" s="15"/>
      <c r="J9" s="15"/>
      <c r="K9" s="15"/>
      <c r="L9" s="15"/>
      <c r="M9" s="17"/>
      <c r="N9" s="93"/>
      <c r="O9" s="53"/>
      <c r="R9" s="72" t="s">
        <v>896</v>
      </c>
      <c r="S9" s="14">
        <v>12</v>
      </c>
      <c r="T9" s="14">
        <v>10</v>
      </c>
    </row>
    <row r="10" spans="1:24" ht="23.25" customHeight="1" x14ac:dyDescent="0.2">
      <c r="A10" s="15"/>
      <c r="B10" s="55"/>
      <c r="C10" s="16"/>
      <c r="D10" s="15"/>
      <c r="E10" s="15"/>
      <c r="F10" s="15"/>
      <c r="G10" s="15"/>
      <c r="H10" s="15"/>
      <c r="I10" s="15"/>
      <c r="J10" s="15"/>
      <c r="K10" s="15"/>
      <c r="L10" s="15"/>
      <c r="M10" s="17"/>
      <c r="N10" s="93"/>
      <c r="O10" s="53"/>
      <c r="P10" s="27"/>
      <c r="R10" s="72" t="s">
        <v>897</v>
      </c>
      <c r="S10" s="72">
        <v>2.9</v>
      </c>
      <c r="T10" s="72">
        <v>2.9</v>
      </c>
      <c r="X10" s="27">
        <f>SUM(J29,J31,J50)</f>
        <v>39100</v>
      </c>
    </row>
    <row r="11" spans="1:24" x14ac:dyDescent="0.2">
      <c r="A11" s="19"/>
      <c r="B11" s="20"/>
      <c r="C11" s="15"/>
      <c r="D11" s="15"/>
      <c r="F11" s="18"/>
      <c r="G11" s="18"/>
      <c r="H11" s="66">
        <v>50</v>
      </c>
      <c r="I11" s="58"/>
      <c r="M11" s="17"/>
      <c r="N11" s="93"/>
      <c r="O11" s="53"/>
    </row>
    <row r="12" spans="1:24"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c r="X12" s="27">
        <f>SUM(X4:X10)</f>
        <v>544484</v>
      </c>
    </row>
    <row r="13" spans="1:24" s="72" customFormat="1" ht="29.25" customHeight="1" x14ac:dyDescent="0.2">
      <c r="A13" s="63"/>
      <c r="B13" s="121"/>
      <c r="C13" s="64"/>
      <c r="D13" s="75"/>
      <c r="E13" s="122"/>
      <c r="F13" s="123"/>
      <c r="G13" s="123"/>
      <c r="H13" s="123"/>
      <c r="I13" s="124"/>
      <c r="J13" s="122"/>
      <c r="K13" s="122"/>
      <c r="L13" s="122"/>
      <c r="M13" s="181"/>
      <c r="N13" s="182"/>
      <c r="O13" s="183"/>
    </row>
    <row r="14" spans="1:24" s="72" customFormat="1" ht="14.25" x14ac:dyDescent="0.2">
      <c r="A14" s="63"/>
      <c r="B14" s="121"/>
      <c r="C14" s="64"/>
      <c r="D14" s="75"/>
      <c r="E14" s="128"/>
      <c r="F14" s="129"/>
      <c r="G14" s="129"/>
      <c r="H14" s="129"/>
      <c r="I14" s="153"/>
      <c r="J14" s="128"/>
      <c r="K14" s="128"/>
      <c r="L14" s="128"/>
      <c r="M14" s="120"/>
      <c r="N14" s="126"/>
      <c r="O14" s="127"/>
      <c r="P14" s="159"/>
      <c r="Q14" s="159"/>
    </row>
    <row r="15" spans="1:24" s="72" customFormat="1" ht="15" x14ac:dyDescent="0.2">
      <c r="A15" s="63"/>
      <c r="B15" s="176" t="s">
        <v>58</v>
      </c>
      <c r="C15" s="64"/>
      <c r="D15" s="75"/>
      <c r="E15" s="128"/>
      <c r="F15" s="129"/>
      <c r="G15" s="129"/>
      <c r="H15" s="129"/>
      <c r="I15" s="153"/>
      <c r="J15" s="128"/>
      <c r="K15" s="128"/>
      <c r="L15" s="128"/>
      <c r="M15" s="120"/>
      <c r="N15" s="126"/>
      <c r="O15" s="127"/>
      <c r="P15" s="159"/>
      <c r="Q15" s="159"/>
    </row>
    <row r="16" spans="1:24" s="72" customFormat="1" ht="30.75" customHeight="1" x14ac:dyDescent="0.2">
      <c r="A16" s="63"/>
      <c r="B16" s="175" t="s">
        <v>885</v>
      </c>
      <c r="C16" s="64">
        <v>95</v>
      </c>
      <c r="D16" s="75" t="s">
        <v>151</v>
      </c>
      <c r="E16" s="630" t="s">
        <v>933</v>
      </c>
      <c r="F16" s="129"/>
      <c r="G16" s="129"/>
      <c r="H16" s="129"/>
      <c r="I16" s="153"/>
      <c r="J16" s="128"/>
      <c r="K16" s="128"/>
      <c r="L16" s="128"/>
      <c r="M16" s="120"/>
      <c r="N16" s="126"/>
      <c r="O16" s="127"/>
      <c r="P16" s="159"/>
      <c r="Q16" s="159"/>
    </row>
    <row r="17" spans="1:21" s="72" customFormat="1" ht="14.25" hidden="1" x14ac:dyDescent="0.2">
      <c r="A17" s="63"/>
      <c r="B17" s="143"/>
      <c r="C17" s="64"/>
      <c r="D17" s="75"/>
      <c r="E17" s="128"/>
      <c r="F17" s="129"/>
      <c r="G17" s="129"/>
      <c r="H17" s="129"/>
      <c r="I17" s="153"/>
      <c r="J17" s="128"/>
      <c r="K17" s="128"/>
      <c r="L17" s="128"/>
      <c r="M17" s="120"/>
      <c r="N17" s="126"/>
      <c r="O17" s="127"/>
      <c r="P17" s="159"/>
      <c r="Q17" s="159"/>
    </row>
    <row r="18" spans="1:21" s="72" customFormat="1" ht="14.25" hidden="1" x14ac:dyDescent="0.2">
      <c r="A18" s="63"/>
      <c r="B18" s="602" t="s">
        <v>898</v>
      </c>
      <c r="C18" s="603">
        <f>C16</f>
        <v>95</v>
      </c>
      <c r="D18" s="604" t="s">
        <v>151</v>
      </c>
      <c r="E18" s="134">
        <v>0</v>
      </c>
      <c r="F18" s="134">
        <f t="shared" ref="F18:F23" si="0">C18*E18</f>
        <v>0</v>
      </c>
      <c r="G18" s="134">
        <f t="shared" ref="G18:G23" si="1">$H$11*E18</f>
        <v>0</v>
      </c>
      <c r="H18" s="135">
        <f t="shared" ref="H18:H23" si="2">F18*$H$11</f>
        <v>0</v>
      </c>
      <c r="I18" s="247">
        <v>1672</v>
      </c>
      <c r="J18" s="135">
        <f t="shared" ref="J18:J23" si="3">C18*I18</f>
        <v>158840</v>
      </c>
      <c r="K18" s="136">
        <f t="shared" ref="K18:K23" si="4">SUM(H18,J18)</f>
        <v>158840</v>
      </c>
      <c r="L18" s="135">
        <f t="shared" ref="L18:L23" si="5">K18/C18</f>
        <v>1672</v>
      </c>
      <c r="M18" s="137">
        <f t="shared" ref="M18:M23" si="6">C18*L18</f>
        <v>158840</v>
      </c>
      <c r="N18" s="144">
        <v>0</v>
      </c>
      <c r="O18" s="130">
        <f t="shared" ref="O18:O23" si="7">M18*N18</f>
        <v>0</v>
      </c>
      <c r="P18" s="159"/>
      <c r="Q18" s="159"/>
    </row>
    <row r="19" spans="1:21" s="72" customFormat="1" ht="14.25" hidden="1" x14ac:dyDescent="0.2">
      <c r="A19" s="63"/>
      <c r="B19" s="600" t="s">
        <v>882</v>
      </c>
      <c r="C19" s="64">
        <f>R19</f>
        <v>1577.0000000000002</v>
      </c>
      <c r="D19" s="75" t="s">
        <v>116</v>
      </c>
      <c r="E19" s="134">
        <v>0.12</v>
      </c>
      <c r="F19" s="134">
        <f t="shared" si="0"/>
        <v>189.24</v>
      </c>
      <c r="G19" s="134">
        <f t="shared" si="1"/>
        <v>6</v>
      </c>
      <c r="H19" s="135">
        <f t="shared" si="2"/>
        <v>9462</v>
      </c>
      <c r="I19" s="247">
        <v>0</v>
      </c>
      <c r="J19" s="135">
        <f t="shared" si="3"/>
        <v>0</v>
      </c>
      <c r="K19" s="136">
        <f t="shared" si="4"/>
        <v>9462</v>
      </c>
      <c r="L19" s="135">
        <f t="shared" si="5"/>
        <v>5.9999999999999991</v>
      </c>
      <c r="M19" s="137">
        <f t="shared" si="6"/>
        <v>9462</v>
      </c>
      <c r="N19" s="144">
        <v>0</v>
      </c>
      <c r="O19" s="130">
        <f t="shared" si="7"/>
        <v>0</v>
      </c>
      <c r="P19" s="159">
        <v>16.600000000000001</v>
      </c>
      <c r="Q19" s="159">
        <f>$C$16</f>
        <v>95</v>
      </c>
      <c r="R19" s="72">
        <f>P19*Q19</f>
        <v>1577.0000000000002</v>
      </c>
    </row>
    <row r="20" spans="1:21" s="72" customFormat="1" ht="14.25" hidden="1" x14ac:dyDescent="0.2">
      <c r="A20" s="63"/>
      <c r="B20" s="600" t="s">
        <v>883</v>
      </c>
      <c r="C20" s="64">
        <f>R20</f>
        <v>1577.0000000000002</v>
      </c>
      <c r="D20" s="75" t="s">
        <v>116</v>
      </c>
      <c r="E20" s="134">
        <v>0.12</v>
      </c>
      <c r="F20" s="134">
        <f t="shared" si="0"/>
        <v>189.24</v>
      </c>
      <c r="G20" s="134">
        <f t="shared" si="1"/>
        <v>6</v>
      </c>
      <c r="H20" s="135">
        <f t="shared" si="2"/>
        <v>9462</v>
      </c>
      <c r="I20" s="247">
        <v>0</v>
      </c>
      <c r="J20" s="135">
        <f t="shared" si="3"/>
        <v>0</v>
      </c>
      <c r="K20" s="136">
        <f t="shared" si="4"/>
        <v>9462</v>
      </c>
      <c r="L20" s="135">
        <f t="shared" si="5"/>
        <v>5.9999999999999991</v>
      </c>
      <c r="M20" s="137">
        <f t="shared" si="6"/>
        <v>9462</v>
      </c>
      <c r="N20" s="144">
        <v>0</v>
      </c>
      <c r="O20" s="130">
        <f t="shared" si="7"/>
        <v>0</v>
      </c>
      <c r="P20" s="159">
        <v>16.600000000000001</v>
      </c>
      <c r="Q20" s="159">
        <f>$C$16</f>
        <v>95</v>
      </c>
      <c r="R20" s="72">
        <f>P20*Q20</f>
        <v>1577.0000000000002</v>
      </c>
    </row>
    <row r="21" spans="1:21" s="72" customFormat="1" ht="14.25" hidden="1" x14ac:dyDescent="0.2">
      <c r="A21" s="63"/>
      <c r="B21" s="600" t="s">
        <v>884</v>
      </c>
      <c r="C21" s="64">
        <f>R21</f>
        <v>1577.0000000000002</v>
      </c>
      <c r="D21" s="75" t="s">
        <v>116</v>
      </c>
      <c r="E21" s="134">
        <v>0.15</v>
      </c>
      <c r="F21" s="134">
        <f t="shared" si="0"/>
        <v>236.55</v>
      </c>
      <c r="G21" s="134">
        <f t="shared" si="1"/>
        <v>7.5</v>
      </c>
      <c r="H21" s="135">
        <f t="shared" si="2"/>
        <v>11827.5</v>
      </c>
      <c r="I21" s="247">
        <v>0</v>
      </c>
      <c r="J21" s="135">
        <f t="shared" si="3"/>
        <v>0</v>
      </c>
      <c r="K21" s="136">
        <f t="shared" si="4"/>
        <v>11827.5</v>
      </c>
      <c r="L21" s="135">
        <f t="shared" si="5"/>
        <v>7.4999999999999991</v>
      </c>
      <c r="M21" s="137">
        <f t="shared" si="6"/>
        <v>11827.5</v>
      </c>
      <c r="N21" s="144">
        <v>0</v>
      </c>
      <c r="O21" s="130">
        <f t="shared" si="7"/>
        <v>0</v>
      </c>
      <c r="P21" s="159">
        <v>16.600000000000001</v>
      </c>
      <c r="Q21" s="159">
        <f>$C$16</f>
        <v>95</v>
      </c>
      <c r="R21" s="72">
        <f>P21*Q21</f>
        <v>1577.0000000000002</v>
      </c>
    </row>
    <row r="22" spans="1:21" s="72" customFormat="1" ht="14.25" hidden="1" x14ac:dyDescent="0.2">
      <c r="A22" s="63"/>
      <c r="B22" s="600" t="s">
        <v>886</v>
      </c>
      <c r="C22" s="605">
        <f>P22</f>
        <v>2718.9655172413795</v>
      </c>
      <c r="D22" s="75" t="s">
        <v>148</v>
      </c>
      <c r="E22" s="134">
        <v>0</v>
      </c>
      <c r="F22" s="134">
        <f t="shared" si="0"/>
        <v>0</v>
      </c>
      <c r="G22" s="134">
        <f t="shared" si="1"/>
        <v>0</v>
      </c>
      <c r="H22" s="135">
        <f t="shared" si="2"/>
        <v>0</v>
      </c>
      <c r="I22" s="247">
        <v>0.05</v>
      </c>
      <c r="J22" s="135">
        <f t="shared" si="3"/>
        <v>135.94827586206898</v>
      </c>
      <c r="K22" s="136">
        <f t="shared" si="4"/>
        <v>135.94827586206898</v>
      </c>
      <c r="L22" s="135">
        <f t="shared" si="5"/>
        <v>0.05</v>
      </c>
      <c r="M22" s="137">
        <f t="shared" si="6"/>
        <v>135.94827586206898</v>
      </c>
      <c r="N22" s="144">
        <v>0</v>
      </c>
      <c r="O22" s="130">
        <f t="shared" si="7"/>
        <v>0</v>
      </c>
      <c r="P22" s="159">
        <f>(R21/2.9)*5</f>
        <v>2718.9655172413795</v>
      </c>
      <c r="Q22" s="159"/>
      <c r="R22" s="72">
        <f>P22*Q22</f>
        <v>0</v>
      </c>
    </row>
    <row r="23" spans="1:21" s="72" customFormat="1" ht="14.25" hidden="1" x14ac:dyDescent="0.2">
      <c r="A23" s="63"/>
      <c r="B23" s="600" t="s">
        <v>899</v>
      </c>
      <c r="C23" s="64">
        <f>R23</f>
        <v>1577.0000000000002</v>
      </c>
      <c r="D23" s="75" t="s">
        <v>116</v>
      </c>
      <c r="E23" s="134">
        <v>0.01</v>
      </c>
      <c r="F23" s="134">
        <f t="shared" si="0"/>
        <v>15.770000000000003</v>
      </c>
      <c r="G23" s="134">
        <f t="shared" si="1"/>
        <v>0.5</v>
      </c>
      <c r="H23" s="135">
        <f t="shared" si="2"/>
        <v>788.50000000000011</v>
      </c>
      <c r="I23" s="247">
        <v>0</v>
      </c>
      <c r="J23" s="135">
        <f t="shared" si="3"/>
        <v>0</v>
      </c>
      <c r="K23" s="136">
        <f t="shared" si="4"/>
        <v>788.50000000000011</v>
      </c>
      <c r="L23" s="135">
        <f t="shared" si="5"/>
        <v>0.5</v>
      </c>
      <c r="M23" s="137">
        <f t="shared" si="6"/>
        <v>788.50000000000011</v>
      </c>
      <c r="N23" s="144">
        <v>0</v>
      </c>
      <c r="O23" s="130">
        <f t="shared" si="7"/>
        <v>0</v>
      </c>
      <c r="P23" s="159">
        <v>16.600000000000001</v>
      </c>
      <c r="Q23" s="159">
        <f>$C$16</f>
        <v>95</v>
      </c>
      <c r="R23" s="72">
        <f>P23*Q23</f>
        <v>1577.0000000000002</v>
      </c>
    </row>
    <row r="24" spans="1:21" s="72" customFormat="1" ht="14.25" x14ac:dyDescent="0.2">
      <c r="A24" s="63"/>
      <c r="B24" s="143"/>
      <c r="C24" s="64"/>
      <c r="D24" s="75"/>
      <c r="E24" s="128"/>
      <c r="F24" s="129"/>
      <c r="G24" s="129"/>
      <c r="H24" s="129"/>
      <c r="I24" s="153"/>
      <c r="J24" s="128"/>
      <c r="K24" s="128"/>
      <c r="L24" s="128"/>
      <c r="M24" s="120"/>
      <c r="N24" s="126"/>
      <c r="O24" s="127"/>
      <c r="P24" s="159"/>
      <c r="Q24" s="159"/>
    </row>
    <row r="25" spans="1:21" s="72" customFormat="1" ht="45.75" customHeight="1" x14ac:dyDescent="0.2">
      <c r="A25" s="63"/>
      <c r="B25" s="242" t="s">
        <v>948</v>
      </c>
      <c r="C25" s="243">
        <v>35</v>
      </c>
      <c r="D25" s="244" t="s">
        <v>151</v>
      </c>
      <c r="E25" s="227">
        <v>0.65</v>
      </c>
      <c r="F25" s="227">
        <f>C25*E25</f>
        <v>22.75</v>
      </c>
      <c r="G25" s="227">
        <f>$H$11*E25</f>
        <v>32.5</v>
      </c>
      <c r="H25" s="228">
        <f>F25*$H$11</f>
        <v>1137.5</v>
      </c>
      <c r="I25" s="229">
        <f>S25</f>
        <v>1153.3714285714286</v>
      </c>
      <c r="J25" s="228">
        <f>C25*I25</f>
        <v>40368</v>
      </c>
      <c r="K25" s="230">
        <f>SUM(H25,J25)</f>
        <v>41505.5</v>
      </c>
      <c r="L25" s="228">
        <f>K25/C25</f>
        <v>1185.8714285714286</v>
      </c>
      <c r="M25" s="231">
        <f>C25*L25</f>
        <v>41505.5</v>
      </c>
      <c r="N25" s="232">
        <v>0</v>
      </c>
      <c r="O25" s="233">
        <f>M25*N25</f>
        <v>0</v>
      </c>
      <c r="P25" s="159" t="s">
        <v>946</v>
      </c>
      <c r="Q25" s="159" t="s">
        <v>947</v>
      </c>
      <c r="R25" s="389">
        <v>40368</v>
      </c>
      <c r="S25" s="389">
        <f>R25/C25</f>
        <v>1153.3714285714286</v>
      </c>
      <c r="U25" s="306">
        <f>SUM(F19:F22)</f>
        <v>615.03</v>
      </c>
    </row>
    <row r="26" spans="1:21" s="72" customFormat="1" ht="14.25" x14ac:dyDescent="0.2">
      <c r="A26" s="63"/>
      <c r="B26" s="143"/>
      <c r="C26" s="64"/>
      <c r="D26" s="75"/>
      <c r="E26" s="128"/>
      <c r="F26" s="129"/>
      <c r="G26" s="129"/>
      <c r="H26" s="129"/>
      <c r="I26" s="153"/>
      <c r="J26" s="128"/>
      <c r="K26" s="128"/>
      <c r="L26" s="128"/>
      <c r="M26" s="120"/>
      <c r="N26" s="126"/>
      <c r="O26" s="127"/>
      <c r="P26" s="159"/>
      <c r="Q26" s="159"/>
    </row>
    <row r="27" spans="1:21" s="72" customFormat="1" ht="14.25" x14ac:dyDescent="0.2">
      <c r="A27" s="63"/>
      <c r="B27" s="143" t="s">
        <v>935</v>
      </c>
      <c r="C27" s="64">
        <v>24</v>
      </c>
      <c r="D27" s="75" t="s">
        <v>148</v>
      </c>
      <c r="E27" s="134">
        <v>0.75</v>
      </c>
      <c r="F27" s="134">
        <f>C27*E27</f>
        <v>18</v>
      </c>
      <c r="G27" s="134">
        <f>$H$11*E27</f>
        <v>37.5</v>
      </c>
      <c r="H27" s="135">
        <f>F27*$H$11</f>
        <v>900</v>
      </c>
      <c r="I27" s="152">
        <v>95.15</v>
      </c>
      <c r="J27" s="135">
        <f>C27*I27</f>
        <v>2283.6000000000004</v>
      </c>
      <c r="K27" s="136">
        <f>SUM(H27,J27)</f>
        <v>3183.6000000000004</v>
      </c>
      <c r="L27" s="135">
        <f>K27/C27</f>
        <v>132.65</v>
      </c>
      <c r="M27" s="137">
        <f>C27*L27</f>
        <v>3183.6000000000004</v>
      </c>
      <c r="N27" s="144">
        <v>0</v>
      </c>
      <c r="O27" s="130">
        <f>M27*N27</f>
        <v>0</v>
      </c>
      <c r="P27" s="159"/>
      <c r="Q27" s="159"/>
    </row>
    <row r="28" spans="1:21" s="72" customFormat="1" ht="14.25" x14ac:dyDescent="0.2">
      <c r="A28" s="63"/>
      <c r="B28" s="143"/>
      <c r="C28" s="64"/>
      <c r="D28" s="75"/>
      <c r="E28" s="128"/>
      <c r="F28" s="129"/>
      <c r="G28" s="129"/>
      <c r="H28" s="129"/>
      <c r="I28" s="153"/>
      <c r="J28" s="128"/>
      <c r="K28" s="128"/>
      <c r="L28" s="128"/>
      <c r="M28" s="120"/>
      <c r="N28" s="126"/>
      <c r="O28" s="127"/>
      <c r="P28" s="159"/>
      <c r="Q28" s="159"/>
    </row>
    <row r="29" spans="1:21" s="72" customFormat="1" ht="14.25" x14ac:dyDescent="0.2">
      <c r="A29" s="63"/>
      <c r="B29" s="143" t="s">
        <v>887</v>
      </c>
      <c r="C29" s="64">
        <v>18</v>
      </c>
      <c r="D29" s="75" t="s">
        <v>116</v>
      </c>
      <c r="E29" s="134">
        <v>0.2</v>
      </c>
      <c r="F29" s="134">
        <f>C29*E29</f>
        <v>3.6</v>
      </c>
      <c r="G29" s="134">
        <f>$H$11*E29</f>
        <v>10</v>
      </c>
      <c r="H29" s="135">
        <f>F29*$H$11</f>
        <v>180</v>
      </c>
      <c r="I29" s="247">
        <v>875</v>
      </c>
      <c r="J29" s="135">
        <f>C29*I29</f>
        <v>15750</v>
      </c>
      <c r="K29" s="136">
        <f>SUM(H29,J29)</f>
        <v>15930</v>
      </c>
      <c r="L29" s="135">
        <f>K29/C29</f>
        <v>885</v>
      </c>
      <c r="M29" s="137">
        <f>C29*L29</f>
        <v>15930</v>
      </c>
      <c r="N29" s="144">
        <v>0</v>
      </c>
      <c r="O29" s="130">
        <f>M29*N29</f>
        <v>0</v>
      </c>
      <c r="P29" s="159"/>
      <c r="Q29" s="159"/>
    </row>
    <row r="30" spans="1:21" s="72" customFormat="1" ht="14.25" x14ac:dyDescent="0.2">
      <c r="A30" s="63"/>
      <c r="B30" s="143" t="s">
        <v>404</v>
      </c>
      <c r="C30" s="64">
        <v>1</v>
      </c>
      <c r="D30" s="75" t="s">
        <v>75</v>
      </c>
      <c r="E30" s="134">
        <v>0</v>
      </c>
      <c r="F30" s="134">
        <f>C30*E30</f>
        <v>0</v>
      </c>
      <c r="G30" s="134">
        <f>$H$11*E30</f>
        <v>0</v>
      </c>
      <c r="H30" s="135">
        <f>F30*$H$11</f>
        <v>0</v>
      </c>
      <c r="I30" s="247">
        <v>75</v>
      </c>
      <c r="J30" s="135">
        <f>C30*I30</f>
        <v>75</v>
      </c>
      <c r="K30" s="136">
        <f>SUM(H30,J30)</f>
        <v>75</v>
      </c>
      <c r="L30" s="135">
        <f>K30/C30</f>
        <v>75</v>
      </c>
      <c r="M30" s="137">
        <f>C30*L30</f>
        <v>75</v>
      </c>
      <c r="N30" s="144">
        <v>0</v>
      </c>
      <c r="O30" s="130">
        <f>M30*N30</f>
        <v>0</v>
      </c>
      <c r="P30" s="159"/>
      <c r="Q30" s="159"/>
    </row>
    <row r="31" spans="1:21" s="72" customFormat="1" ht="14.25" x14ac:dyDescent="0.2">
      <c r="A31" s="63"/>
      <c r="B31" s="143" t="s">
        <v>932</v>
      </c>
      <c r="C31" s="64">
        <v>6</v>
      </c>
      <c r="D31" s="75" t="s">
        <v>116</v>
      </c>
      <c r="E31" s="134">
        <v>0.2</v>
      </c>
      <c r="F31" s="134">
        <f>C31*E31</f>
        <v>1.2000000000000002</v>
      </c>
      <c r="G31" s="134">
        <f>$H$11*E31</f>
        <v>10</v>
      </c>
      <c r="H31" s="135">
        <f>F31*$H$11</f>
        <v>60.000000000000007</v>
      </c>
      <c r="I31" s="247">
        <v>975</v>
      </c>
      <c r="J31" s="135">
        <f>C31*I31</f>
        <v>5850</v>
      </c>
      <c r="K31" s="136">
        <f>SUM(H31,J31)</f>
        <v>5910</v>
      </c>
      <c r="L31" s="135">
        <f>K31/C31</f>
        <v>985</v>
      </c>
      <c r="M31" s="137">
        <f>C31*L31</f>
        <v>5910</v>
      </c>
      <c r="N31" s="144">
        <v>0</v>
      </c>
      <c r="O31" s="130">
        <f>M31*N31</f>
        <v>0</v>
      </c>
      <c r="P31" s="159"/>
      <c r="Q31" s="159"/>
    </row>
    <row r="32" spans="1:21" s="72" customFormat="1" ht="14.25" x14ac:dyDescent="0.2">
      <c r="A32" s="63"/>
      <c r="B32" s="143" t="s">
        <v>404</v>
      </c>
      <c r="C32" s="64">
        <v>1</v>
      </c>
      <c r="D32" s="75" t="s">
        <v>75</v>
      </c>
      <c r="E32" s="134">
        <v>0</v>
      </c>
      <c r="F32" s="134">
        <f>C32*E32</f>
        <v>0</v>
      </c>
      <c r="G32" s="134">
        <f>$H$11*E32</f>
        <v>0</v>
      </c>
      <c r="H32" s="135">
        <f>F32*$H$11</f>
        <v>0</v>
      </c>
      <c r="I32" s="247">
        <v>25</v>
      </c>
      <c r="J32" s="135">
        <f>C32*I32</f>
        <v>25</v>
      </c>
      <c r="K32" s="136">
        <f>SUM(H32,J32)</f>
        <v>25</v>
      </c>
      <c r="L32" s="135">
        <f>K32/C32</f>
        <v>25</v>
      </c>
      <c r="M32" s="137">
        <f>C32*L32</f>
        <v>25</v>
      </c>
      <c r="N32" s="144">
        <v>0</v>
      </c>
      <c r="O32" s="130">
        <f>M32*N32</f>
        <v>0</v>
      </c>
      <c r="P32" s="159"/>
      <c r="Q32" s="159"/>
    </row>
    <row r="33" spans="1:19" s="72" customFormat="1" ht="14.25" x14ac:dyDescent="0.2">
      <c r="A33" s="63"/>
      <c r="B33" s="143"/>
      <c r="C33" s="64"/>
      <c r="D33" s="75"/>
      <c r="E33" s="134"/>
      <c r="F33" s="134"/>
      <c r="G33" s="134"/>
      <c r="H33" s="135"/>
      <c r="I33" s="247"/>
      <c r="J33" s="135"/>
      <c r="K33" s="136"/>
      <c r="L33" s="135"/>
      <c r="M33" s="137"/>
      <c r="N33" s="144"/>
      <c r="O33" s="130"/>
      <c r="P33" s="159"/>
      <c r="Q33" s="159"/>
    </row>
    <row r="34" spans="1:19" s="72" customFormat="1" ht="14.25" x14ac:dyDescent="0.2">
      <c r="A34" s="63"/>
      <c r="B34" s="143"/>
      <c r="C34" s="64"/>
      <c r="D34" s="75"/>
      <c r="E34" s="134"/>
      <c r="F34" s="134"/>
      <c r="G34" s="134"/>
      <c r="H34" s="135"/>
      <c r="I34" s="152"/>
      <c r="J34" s="135"/>
      <c r="K34" s="136"/>
      <c r="L34" s="135"/>
      <c r="M34" s="137"/>
      <c r="N34" s="144"/>
      <c r="O34" s="130"/>
      <c r="P34" s="159"/>
      <c r="Q34" s="159"/>
    </row>
    <row r="35" spans="1:19" s="72" customFormat="1" ht="15" x14ac:dyDescent="0.2">
      <c r="A35" s="63"/>
      <c r="B35" s="176" t="s">
        <v>59</v>
      </c>
      <c r="C35" s="64"/>
      <c r="D35" s="75"/>
      <c r="E35" s="128"/>
      <c r="F35" s="129"/>
      <c r="G35" s="129"/>
      <c r="H35" s="129"/>
      <c r="I35" s="153"/>
      <c r="J35" s="128"/>
      <c r="K35" s="128"/>
      <c r="L35" s="128"/>
      <c r="M35" s="120"/>
      <c r="N35" s="126"/>
      <c r="O35" s="127"/>
      <c r="P35" s="159"/>
      <c r="Q35" s="159"/>
    </row>
    <row r="36" spans="1:19" s="72" customFormat="1" ht="25.5" x14ac:dyDescent="0.2">
      <c r="A36" s="63"/>
      <c r="B36" s="175" t="s">
        <v>885</v>
      </c>
      <c r="C36" s="64">
        <v>66</v>
      </c>
      <c r="D36" s="75" t="s">
        <v>151</v>
      </c>
      <c r="E36" s="630" t="s">
        <v>933</v>
      </c>
      <c r="F36" s="129"/>
      <c r="G36" s="129"/>
      <c r="H36" s="129"/>
      <c r="I36" s="153"/>
      <c r="J36" s="128"/>
      <c r="K36" s="128"/>
      <c r="L36" s="128"/>
      <c r="M36" s="120"/>
      <c r="N36" s="126"/>
      <c r="O36" s="127"/>
      <c r="P36" s="159"/>
      <c r="Q36" s="159"/>
    </row>
    <row r="37" spans="1:19" s="72" customFormat="1" ht="15" x14ac:dyDescent="0.2">
      <c r="A37" s="63"/>
      <c r="B37" s="176"/>
      <c r="C37" s="64"/>
      <c r="D37" s="75"/>
      <c r="E37" s="128"/>
      <c r="F37" s="129"/>
      <c r="G37" s="129"/>
      <c r="H37" s="129"/>
      <c r="I37" s="153"/>
      <c r="J37" s="128"/>
      <c r="K37" s="128"/>
      <c r="L37" s="128"/>
      <c r="M37" s="120"/>
      <c r="N37" s="126"/>
      <c r="O37" s="127"/>
      <c r="P37" s="159"/>
      <c r="Q37" s="159"/>
    </row>
    <row r="38" spans="1:19" s="72" customFormat="1" ht="14.25" hidden="1" x14ac:dyDescent="0.2">
      <c r="A38" s="63"/>
      <c r="B38" s="602" t="s">
        <v>898</v>
      </c>
      <c r="C38" s="603">
        <f>C36</f>
        <v>66</v>
      </c>
      <c r="D38" s="604" t="s">
        <v>75</v>
      </c>
      <c r="E38" s="134">
        <v>0</v>
      </c>
      <c r="F38" s="134">
        <f t="shared" ref="F38:F43" si="8">C38*E38</f>
        <v>0</v>
      </c>
      <c r="G38" s="134">
        <f t="shared" ref="G38:G43" si="9">$H$11*E38</f>
        <v>0</v>
      </c>
      <c r="H38" s="135">
        <f t="shared" ref="H38:H43" si="10">F38*$H$11</f>
        <v>0</v>
      </c>
      <c r="I38" s="247">
        <v>1672</v>
      </c>
      <c r="J38" s="135">
        <f t="shared" ref="J38:J43" si="11">C38*I38</f>
        <v>110352</v>
      </c>
      <c r="K38" s="136">
        <f t="shared" ref="K38:K43" si="12">SUM(H38,J38)</f>
        <v>110352</v>
      </c>
      <c r="L38" s="135">
        <f t="shared" ref="L38:L43" si="13">K38/C38</f>
        <v>1672</v>
      </c>
      <c r="M38" s="137">
        <f t="shared" ref="M38:M43" si="14">C38*L38</f>
        <v>110352</v>
      </c>
      <c r="N38" s="144">
        <v>0</v>
      </c>
      <c r="O38" s="130">
        <f t="shared" ref="O38:O43" si="15">M38*N38</f>
        <v>0</v>
      </c>
      <c r="P38" s="159"/>
      <c r="Q38" s="159"/>
    </row>
    <row r="39" spans="1:19" s="72" customFormat="1" ht="14.25" hidden="1" x14ac:dyDescent="0.2">
      <c r="A39" s="63"/>
      <c r="B39" s="600" t="s">
        <v>882</v>
      </c>
      <c r="C39" s="64">
        <f>R39</f>
        <v>1095.6000000000001</v>
      </c>
      <c r="D39" s="75" t="s">
        <v>116</v>
      </c>
      <c r="E39" s="134">
        <v>0.12</v>
      </c>
      <c r="F39" s="134">
        <f t="shared" si="8"/>
        <v>131.47200000000001</v>
      </c>
      <c r="G39" s="134">
        <f t="shared" si="9"/>
        <v>6</v>
      </c>
      <c r="H39" s="135">
        <f t="shared" si="10"/>
        <v>6573.6</v>
      </c>
      <c r="I39" s="247">
        <v>0</v>
      </c>
      <c r="J39" s="135">
        <f t="shared" si="11"/>
        <v>0</v>
      </c>
      <c r="K39" s="136">
        <f t="shared" si="12"/>
        <v>6573.6</v>
      </c>
      <c r="L39" s="135">
        <f t="shared" si="13"/>
        <v>6</v>
      </c>
      <c r="M39" s="137">
        <f t="shared" si="14"/>
        <v>6573.6</v>
      </c>
      <c r="N39" s="144">
        <v>0</v>
      </c>
      <c r="O39" s="130">
        <f t="shared" si="15"/>
        <v>0</v>
      </c>
      <c r="P39" s="159">
        <v>16.600000000000001</v>
      </c>
      <c r="Q39" s="159">
        <f>$C$36</f>
        <v>66</v>
      </c>
      <c r="R39" s="72">
        <f>P39*Q39</f>
        <v>1095.6000000000001</v>
      </c>
    </row>
    <row r="40" spans="1:19" s="72" customFormat="1" ht="14.25" hidden="1" x14ac:dyDescent="0.2">
      <c r="A40" s="63"/>
      <c r="B40" s="600" t="s">
        <v>883</v>
      </c>
      <c r="C40" s="64">
        <f>R40</f>
        <v>1095.6000000000001</v>
      </c>
      <c r="D40" s="75" t="s">
        <v>116</v>
      </c>
      <c r="E40" s="134">
        <v>0.12</v>
      </c>
      <c r="F40" s="134">
        <f t="shared" si="8"/>
        <v>131.47200000000001</v>
      </c>
      <c r="G40" s="134">
        <f t="shared" si="9"/>
        <v>6</v>
      </c>
      <c r="H40" s="135">
        <f t="shared" si="10"/>
        <v>6573.6</v>
      </c>
      <c r="I40" s="247">
        <v>0</v>
      </c>
      <c r="J40" s="135">
        <f t="shared" si="11"/>
        <v>0</v>
      </c>
      <c r="K40" s="136">
        <f t="shared" si="12"/>
        <v>6573.6</v>
      </c>
      <c r="L40" s="135">
        <f t="shared" si="13"/>
        <v>6</v>
      </c>
      <c r="M40" s="137">
        <f t="shared" si="14"/>
        <v>6573.6</v>
      </c>
      <c r="N40" s="144">
        <v>0</v>
      </c>
      <c r="O40" s="130">
        <f t="shared" si="15"/>
        <v>0</v>
      </c>
      <c r="P40" s="159">
        <v>16.600000000000001</v>
      </c>
      <c r="Q40" s="159">
        <f>$C$36</f>
        <v>66</v>
      </c>
      <c r="R40" s="72">
        <f>P40*Q40</f>
        <v>1095.6000000000001</v>
      </c>
    </row>
    <row r="41" spans="1:19" s="72" customFormat="1" ht="14.25" hidden="1" x14ac:dyDescent="0.2">
      <c r="A41" s="63"/>
      <c r="B41" s="600" t="s">
        <v>884</v>
      </c>
      <c r="C41" s="64">
        <f>R41</f>
        <v>1095.6000000000001</v>
      </c>
      <c r="D41" s="75" t="s">
        <v>116</v>
      </c>
      <c r="E41" s="134">
        <v>0.15</v>
      </c>
      <c r="F41" s="134">
        <f t="shared" si="8"/>
        <v>164.34</v>
      </c>
      <c r="G41" s="134">
        <f t="shared" si="9"/>
        <v>7.5</v>
      </c>
      <c r="H41" s="135">
        <f t="shared" si="10"/>
        <v>8217</v>
      </c>
      <c r="I41" s="247">
        <v>0</v>
      </c>
      <c r="J41" s="135">
        <f t="shared" si="11"/>
        <v>0</v>
      </c>
      <c r="K41" s="136">
        <f t="shared" si="12"/>
        <v>8217</v>
      </c>
      <c r="L41" s="135">
        <f t="shared" si="13"/>
        <v>7.4999999999999991</v>
      </c>
      <c r="M41" s="137">
        <f t="shared" si="14"/>
        <v>8217</v>
      </c>
      <c r="N41" s="144">
        <v>0</v>
      </c>
      <c r="O41" s="130">
        <f t="shared" si="15"/>
        <v>0</v>
      </c>
      <c r="P41" s="159">
        <v>16.600000000000001</v>
      </c>
      <c r="Q41" s="159">
        <f>$C$36</f>
        <v>66</v>
      </c>
      <c r="R41" s="72">
        <f>P41*Q41</f>
        <v>1095.6000000000001</v>
      </c>
    </row>
    <row r="42" spans="1:19" s="72" customFormat="1" ht="14.25" hidden="1" x14ac:dyDescent="0.2">
      <c r="A42" s="63"/>
      <c r="B42" s="600" t="s">
        <v>886</v>
      </c>
      <c r="C42" s="605">
        <f>P42</f>
        <v>1888.9655172413795</v>
      </c>
      <c r="D42" s="75" t="s">
        <v>148</v>
      </c>
      <c r="E42" s="134">
        <v>0</v>
      </c>
      <c r="F42" s="134">
        <f t="shared" si="8"/>
        <v>0</v>
      </c>
      <c r="G42" s="134">
        <f t="shared" si="9"/>
        <v>0</v>
      </c>
      <c r="H42" s="135">
        <f t="shared" si="10"/>
        <v>0</v>
      </c>
      <c r="I42" s="247">
        <v>0.05</v>
      </c>
      <c r="J42" s="135">
        <f t="shared" si="11"/>
        <v>94.448275862068982</v>
      </c>
      <c r="K42" s="136">
        <f t="shared" si="12"/>
        <v>94.448275862068982</v>
      </c>
      <c r="L42" s="135">
        <f t="shared" si="13"/>
        <v>0.05</v>
      </c>
      <c r="M42" s="137">
        <f t="shared" si="14"/>
        <v>94.448275862068982</v>
      </c>
      <c r="N42" s="144">
        <v>0</v>
      </c>
      <c r="O42" s="130">
        <f t="shared" si="15"/>
        <v>0</v>
      </c>
      <c r="P42" s="159">
        <f>(R41/2.9)*5</f>
        <v>1888.9655172413795</v>
      </c>
      <c r="Q42" s="159"/>
      <c r="R42" s="72">
        <f>P42*Q42</f>
        <v>0</v>
      </c>
    </row>
    <row r="43" spans="1:19" s="72" customFormat="1" ht="14.25" hidden="1" x14ac:dyDescent="0.2">
      <c r="A43" s="63"/>
      <c r="B43" s="600" t="s">
        <v>284</v>
      </c>
      <c r="C43" s="64">
        <f>R43</f>
        <v>1095.6000000000001</v>
      </c>
      <c r="D43" s="75" t="s">
        <v>116</v>
      </c>
      <c r="E43" s="134">
        <v>0.01</v>
      </c>
      <c r="F43" s="134">
        <f t="shared" si="8"/>
        <v>10.956000000000001</v>
      </c>
      <c r="G43" s="134">
        <f t="shared" si="9"/>
        <v>0.5</v>
      </c>
      <c r="H43" s="135">
        <f t="shared" si="10"/>
        <v>547.80000000000007</v>
      </c>
      <c r="I43" s="247">
        <v>0</v>
      </c>
      <c r="J43" s="135">
        <f t="shared" si="11"/>
        <v>0</v>
      </c>
      <c r="K43" s="136">
        <f t="shared" si="12"/>
        <v>547.80000000000007</v>
      </c>
      <c r="L43" s="135">
        <f t="shared" si="13"/>
        <v>0.5</v>
      </c>
      <c r="M43" s="137">
        <f t="shared" si="14"/>
        <v>547.80000000000007</v>
      </c>
      <c r="N43" s="144">
        <v>0</v>
      </c>
      <c r="O43" s="130">
        <f t="shared" si="15"/>
        <v>0</v>
      </c>
      <c r="P43" s="159">
        <v>16.600000000000001</v>
      </c>
      <c r="Q43" s="159">
        <f>$C$36</f>
        <v>66</v>
      </c>
      <c r="R43" s="72">
        <f>P43*Q43</f>
        <v>1095.6000000000001</v>
      </c>
    </row>
    <row r="44" spans="1:19" s="72" customFormat="1" ht="14.25" x14ac:dyDescent="0.2">
      <c r="A44" s="63"/>
      <c r="B44" s="601"/>
      <c r="C44" s="64"/>
      <c r="D44" s="75"/>
      <c r="E44" s="128"/>
      <c r="F44" s="129"/>
      <c r="G44" s="129"/>
      <c r="H44" s="129"/>
      <c r="I44" s="153"/>
      <c r="J44" s="128"/>
      <c r="K44" s="128"/>
      <c r="L44" s="128"/>
      <c r="M44" s="120"/>
      <c r="N44" s="126"/>
      <c r="O44" s="127"/>
      <c r="P44" s="159"/>
      <c r="Q44" s="159"/>
    </row>
    <row r="45" spans="1:19" s="72" customFormat="1" ht="14.25" x14ac:dyDescent="0.2">
      <c r="A45" s="63"/>
      <c r="B45" s="601"/>
      <c r="C45" s="64"/>
      <c r="D45" s="75"/>
      <c r="E45" s="128"/>
      <c r="F45" s="129"/>
      <c r="G45" s="129"/>
      <c r="H45" s="129"/>
      <c r="I45" s="153"/>
      <c r="J45" s="128"/>
      <c r="K45" s="128"/>
      <c r="L45" s="128"/>
      <c r="M45" s="120"/>
      <c r="N45" s="126"/>
      <c r="O45" s="127"/>
      <c r="P45" s="159"/>
      <c r="Q45" s="159"/>
    </row>
    <row r="46" spans="1:19" s="72" customFormat="1" ht="37.5" customHeight="1" x14ac:dyDescent="0.2">
      <c r="A46" s="63"/>
      <c r="B46" s="242" t="s">
        <v>948</v>
      </c>
      <c r="C46" s="243">
        <v>28</v>
      </c>
      <c r="D46" s="244" t="s">
        <v>151</v>
      </c>
      <c r="E46" s="227">
        <v>0.65</v>
      </c>
      <c r="F46" s="227">
        <f>C46*E46</f>
        <v>18.2</v>
      </c>
      <c r="G46" s="227">
        <f>$H$11*E46</f>
        <v>32.5</v>
      </c>
      <c r="H46" s="228">
        <f>F46*$H$11</f>
        <v>910</v>
      </c>
      <c r="I46" s="229">
        <f>S46</f>
        <v>1201.4285714285713</v>
      </c>
      <c r="J46" s="228">
        <f>C46*I46</f>
        <v>33640</v>
      </c>
      <c r="K46" s="230">
        <f>SUM(H46,J46)</f>
        <v>34550</v>
      </c>
      <c r="L46" s="228">
        <f>K46/C46</f>
        <v>1233.9285714285713</v>
      </c>
      <c r="M46" s="231">
        <f>C46*L46</f>
        <v>34550</v>
      </c>
      <c r="N46" s="232">
        <v>0</v>
      </c>
      <c r="O46" s="233">
        <f>M46*N46</f>
        <v>0</v>
      </c>
      <c r="P46" s="159" t="s">
        <v>944</v>
      </c>
      <c r="Q46" s="159" t="s">
        <v>945</v>
      </c>
      <c r="R46" s="389">
        <v>33640</v>
      </c>
      <c r="S46" s="389">
        <f>R46/C46</f>
        <v>1201.4285714285713</v>
      </c>
    </row>
    <row r="47" spans="1:19" s="72" customFormat="1" ht="14.25" x14ac:dyDescent="0.2">
      <c r="A47" s="63"/>
      <c r="B47" s="143"/>
      <c r="C47" s="64"/>
      <c r="D47" s="75"/>
      <c r="E47" s="128"/>
      <c r="F47" s="129"/>
      <c r="G47" s="129"/>
      <c r="H47" s="129"/>
      <c r="I47" s="153"/>
      <c r="J47" s="128"/>
      <c r="K47" s="128"/>
      <c r="L47" s="128"/>
      <c r="M47" s="120"/>
      <c r="N47" s="126"/>
      <c r="O47" s="127"/>
      <c r="P47" s="159"/>
      <c r="Q47" s="159"/>
    </row>
    <row r="48" spans="1:19" s="72" customFormat="1" ht="14.25" x14ac:dyDescent="0.2">
      <c r="A48" s="63"/>
      <c r="B48" s="143" t="s">
        <v>935</v>
      </c>
      <c r="C48" s="64">
        <v>18</v>
      </c>
      <c r="D48" s="75" t="s">
        <v>148</v>
      </c>
      <c r="E48" s="134">
        <v>0.75</v>
      </c>
      <c r="F48" s="134">
        <f>C48*E48</f>
        <v>13.5</v>
      </c>
      <c r="G48" s="134">
        <f>$H$11*E48</f>
        <v>37.5</v>
      </c>
      <c r="H48" s="135">
        <f>F48*$H$11</f>
        <v>675</v>
      </c>
      <c r="I48" s="152">
        <v>95.17</v>
      </c>
      <c r="J48" s="135">
        <f>C48*I48</f>
        <v>1713.06</v>
      </c>
      <c r="K48" s="136">
        <f>SUM(H48,J48)</f>
        <v>2388.06</v>
      </c>
      <c r="L48" s="135">
        <f>K48/C48</f>
        <v>132.66999999999999</v>
      </c>
      <c r="M48" s="137">
        <f>C48*L48</f>
        <v>2388.06</v>
      </c>
      <c r="N48" s="144">
        <v>0</v>
      </c>
      <c r="O48" s="130">
        <f>M48*N48</f>
        <v>0</v>
      </c>
      <c r="P48" s="159"/>
      <c r="Q48" s="467"/>
    </row>
    <row r="49" spans="1:18" s="72" customFormat="1" ht="14.25" x14ac:dyDescent="0.2">
      <c r="A49" s="63"/>
      <c r="B49" s="143"/>
      <c r="C49" s="64"/>
      <c r="D49" s="75"/>
      <c r="E49" s="128"/>
      <c r="F49" s="129"/>
      <c r="G49" s="129"/>
      <c r="H49" s="129"/>
      <c r="I49" s="153"/>
      <c r="J49" s="128"/>
      <c r="K49" s="128"/>
      <c r="L49" s="128"/>
      <c r="M49" s="120"/>
      <c r="N49" s="126"/>
      <c r="O49" s="127"/>
      <c r="P49" s="159"/>
      <c r="Q49" s="159"/>
    </row>
    <row r="50" spans="1:18" s="72" customFormat="1" ht="14.25" x14ac:dyDescent="0.2">
      <c r="A50" s="63"/>
      <c r="B50" s="143" t="s">
        <v>887</v>
      </c>
      <c r="C50" s="64">
        <v>20</v>
      </c>
      <c r="D50" s="75" t="s">
        <v>116</v>
      </c>
      <c r="E50" s="134">
        <v>0.2</v>
      </c>
      <c r="F50" s="134">
        <f>C50*E50</f>
        <v>4</v>
      </c>
      <c r="G50" s="134">
        <f>$H$11*E50</f>
        <v>10</v>
      </c>
      <c r="H50" s="135">
        <f>F50*$H$11</f>
        <v>200</v>
      </c>
      <c r="I50" s="247">
        <v>875</v>
      </c>
      <c r="J50" s="135">
        <f>C50*I50</f>
        <v>17500</v>
      </c>
      <c r="K50" s="136">
        <f>SUM(H50,J50)</f>
        <v>17700</v>
      </c>
      <c r="L50" s="135">
        <f>K50/C50</f>
        <v>885</v>
      </c>
      <c r="M50" s="137">
        <f>C50*L50</f>
        <v>17700</v>
      </c>
      <c r="N50" s="144">
        <v>0</v>
      </c>
      <c r="O50" s="130">
        <f>M50*N50</f>
        <v>0</v>
      </c>
      <c r="P50" s="159"/>
      <c r="Q50" s="159"/>
    </row>
    <row r="51" spans="1:18" s="72" customFormat="1" ht="14.25" x14ac:dyDescent="0.2">
      <c r="A51" s="63"/>
      <c r="B51" s="143" t="s">
        <v>404</v>
      </c>
      <c r="C51" s="64">
        <v>1</v>
      </c>
      <c r="D51" s="75" t="s">
        <v>75</v>
      </c>
      <c r="E51" s="134">
        <v>0</v>
      </c>
      <c r="F51" s="134">
        <f>C51*E51</f>
        <v>0</v>
      </c>
      <c r="G51" s="134">
        <f>$H$11*E51</f>
        <v>0</v>
      </c>
      <c r="H51" s="135">
        <f>F51*$H$11</f>
        <v>0</v>
      </c>
      <c r="I51" s="247">
        <v>85</v>
      </c>
      <c r="J51" s="135">
        <f>C51*I51</f>
        <v>85</v>
      </c>
      <c r="K51" s="136">
        <f>SUM(H51,J51)</f>
        <v>85</v>
      </c>
      <c r="L51" s="135">
        <f>K51/C51</f>
        <v>85</v>
      </c>
      <c r="M51" s="137">
        <f>C51*L51</f>
        <v>85</v>
      </c>
      <c r="N51" s="144">
        <v>0</v>
      </c>
      <c r="O51" s="130">
        <f>M51*N51</f>
        <v>0</v>
      </c>
      <c r="P51" s="159"/>
      <c r="Q51" s="159"/>
    </row>
    <row r="52" spans="1:18" s="72" customFormat="1" ht="14.25" x14ac:dyDescent="0.2">
      <c r="A52" s="63"/>
      <c r="B52" s="143"/>
      <c r="C52" s="64"/>
      <c r="D52" s="75"/>
      <c r="E52" s="128"/>
      <c r="F52" s="129"/>
      <c r="G52" s="129"/>
      <c r="H52" s="129"/>
      <c r="I52" s="153"/>
      <c r="J52" s="128"/>
      <c r="K52" s="128"/>
      <c r="L52" s="128"/>
      <c r="M52" s="120"/>
      <c r="N52" s="126"/>
      <c r="O52" s="127"/>
      <c r="P52" s="159"/>
      <c r="Q52" s="159"/>
    </row>
    <row r="53" spans="1:18" s="72" customFormat="1" ht="14.25" x14ac:dyDescent="0.2">
      <c r="A53" s="63"/>
      <c r="B53" s="143"/>
      <c r="C53" s="64"/>
      <c r="D53" s="75"/>
      <c r="E53" s="134"/>
      <c r="F53" s="134"/>
      <c r="G53" s="134"/>
      <c r="H53" s="135"/>
      <c r="I53" s="152"/>
      <c r="J53" s="135"/>
      <c r="K53" s="136"/>
      <c r="L53" s="135"/>
      <c r="M53" s="137"/>
      <c r="N53" s="144"/>
      <c r="O53" s="130"/>
      <c r="P53" s="159"/>
      <c r="Q53" s="159"/>
    </row>
    <row r="54" spans="1:18" s="72" customFormat="1" ht="15" x14ac:dyDescent="0.2">
      <c r="A54" s="63"/>
      <c r="B54" s="176" t="s">
        <v>60</v>
      </c>
      <c r="C54" s="64"/>
      <c r="D54" s="75"/>
      <c r="E54" s="128"/>
      <c r="F54" s="129"/>
      <c r="G54" s="129"/>
      <c r="H54" s="129"/>
      <c r="I54" s="153"/>
      <c r="J54" s="128"/>
      <c r="K54" s="128"/>
      <c r="L54" s="128"/>
      <c r="M54" s="120"/>
      <c r="N54" s="126"/>
      <c r="O54" s="127"/>
      <c r="P54" s="159"/>
      <c r="Q54" s="159"/>
    </row>
    <row r="55" spans="1:18" s="72" customFormat="1" ht="25.5" x14ac:dyDescent="0.2">
      <c r="A55" s="63"/>
      <c r="B55" s="175" t="s">
        <v>885</v>
      </c>
      <c r="C55" s="64">
        <v>97</v>
      </c>
      <c r="D55" s="75" t="s">
        <v>151</v>
      </c>
      <c r="E55" s="630" t="s">
        <v>933</v>
      </c>
      <c r="F55" s="129"/>
      <c r="G55" s="129"/>
      <c r="H55" s="129"/>
      <c r="I55" s="153"/>
      <c r="J55" s="128"/>
      <c r="K55" s="128"/>
      <c r="L55" s="128"/>
      <c r="M55" s="120"/>
      <c r="N55" s="126"/>
      <c r="O55" s="127"/>
      <c r="P55" s="159"/>
      <c r="Q55" s="159"/>
    </row>
    <row r="56" spans="1:18" s="72" customFormat="1" ht="14.25" x14ac:dyDescent="0.2">
      <c r="A56" s="63"/>
      <c r="B56" s="175" t="s">
        <v>951</v>
      </c>
      <c r="C56" s="64">
        <v>1</v>
      </c>
      <c r="D56" s="75" t="s">
        <v>75</v>
      </c>
      <c r="E56" s="630"/>
      <c r="F56" s="129"/>
      <c r="G56" s="129"/>
      <c r="H56" s="129"/>
      <c r="I56" s="153"/>
      <c r="J56" s="128"/>
      <c r="K56" s="128"/>
      <c r="L56" s="128"/>
      <c r="M56" s="120"/>
      <c r="N56" s="126"/>
      <c r="O56" s="127"/>
      <c r="P56" s="159"/>
      <c r="Q56" s="159"/>
    </row>
    <row r="57" spans="1:18" s="72" customFormat="1" ht="14.25" x14ac:dyDescent="0.2">
      <c r="A57" s="63"/>
      <c r="B57" s="175" t="s">
        <v>950</v>
      </c>
      <c r="C57" s="64">
        <v>1</v>
      </c>
      <c r="D57" s="75" t="s">
        <v>75</v>
      </c>
      <c r="E57" s="630"/>
      <c r="F57" s="129"/>
      <c r="G57" s="129"/>
      <c r="H57" s="129"/>
      <c r="I57" s="153"/>
      <c r="J57" s="128"/>
      <c r="K57" s="128"/>
      <c r="L57" s="128"/>
      <c r="M57" s="120"/>
      <c r="N57" s="126"/>
      <c r="O57" s="127"/>
      <c r="P57" s="159"/>
      <c r="Q57" s="159"/>
    </row>
    <row r="58" spans="1:18" s="72" customFormat="1" ht="14.25" x14ac:dyDescent="0.2">
      <c r="A58" s="63"/>
      <c r="B58" s="175" t="s">
        <v>949</v>
      </c>
      <c r="C58" s="64">
        <v>1</v>
      </c>
      <c r="D58" s="75" t="s">
        <v>75</v>
      </c>
      <c r="E58" s="630"/>
      <c r="F58" s="129"/>
      <c r="G58" s="129"/>
      <c r="H58" s="129"/>
      <c r="I58" s="153"/>
      <c r="J58" s="128"/>
      <c r="K58" s="128"/>
      <c r="L58" s="128"/>
      <c r="M58" s="120"/>
      <c r="N58" s="126"/>
      <c r="O58" s="127"/>
      <c r="P58" s="159"/>
      <c r="Q58" s="159"/>
    </row>
    <row r="59" spans="1:18" s="72" customFormat="1" ht="14.25" x14ac:dyDescent="0.2">
      <c r="A59" s="63"/>
      <c r="B59" s="175"/>
      <c r="C59" s="64"/>
      <c r="D59" s="75"/>
      <c r="E59" s="128"/>
      <c r="F59" s="129"/>
      <c r="G59" s="129"/>
      <c r="H59" s="129"/>
      <c r="I59" s="153"/>
      <c r="J59" s="128"/>
      <c r="K59" s="128"/>
      <c r="L59" s="128"/>
      <c r="M59" s="120"/>
      <c r="N59" s="126"/>
      <c r="O59" s="127"/>
      <c r="P59" s="159"/>
      <c r="Q59" s="159"/>
    </row>
    <row r="60" spans="1:18" s="72" customFormat="1" ht="14.25" hidden="1" x14ac:dyDescent="0.2">
      <c r="A60" s="63"/>
      <c r="B60" s="602" t="s">
        <v>898</v>
      </c>
      <c r="C60" s="603">
        <f>C55</f>
        <v>97</v>
      </c>
      <c r="D60" s="604" t="s">
        <v>75</v>
      </c>
      <c r="E60" s="134">
        <v>0</v>
      </c>
      <c r="F60" s="134">
        <f t="shared" ref="F60:F65" si="16">C60*E60</f>
        <v>0</v>
      </c>
      <c r="G60" s="134">
        <f t="shared" ref="G60:G65" si="17">$H$11*E60</f>
        <v>0</v>
      </c>
      <c r="H60" s="135">
        <f t="shared" ref="H60:H65" si="18">F60*$H$11</f>
        <v>0</v>
      </c>
      <c r="I60" s="247">
        <v>1672</v>
      </c>
      <c r="J60" s="135">
        <f t="shared" ref="J60:J65" si="19">C60*I60</f>
        <v>162184</v>
      </c>
      <c r="K60" s="136">
        <f t="shared" ref="K60:K65" si="20">SUM(H60,J60)</f>
        <v>162184</v>
      </c>
      <c r="L60" s="135">
        <f t="shared" ref="L60:L65" si="21">K60/C60</f>
        <v>1672</v>
      </c>
      <c r="M60" s="137">
        <f t="shared" ref="M60:M65" si="22">C60*L60</f>
        <v>162184</v>
      </c>
      <c r="N60" s="144">
        <v>0</v>
      </c>
      <c r="O60" s="130">
        <f t="shared" ref="O60:O65" si="23">M60*N60</f>
        <v>0</v>
      </c>
      <c r="P60" s="159"/>
      <c r="Q60" s="159"/>
    </row>
    <row r="61" spans="1:18" s="72" customFormat="1" ht="14.25" hidden="1" x14ac:dyDescent="0.2">
      <c r="A61" s="63"/>
      <c r="B61" s="600" t="s">
        <v>882</v>
      </c>
      <c r="C61" s="64">
        <f>R61</f>
        <v>1610.2</v>
      </c>
      <c r="D61" s="75" t="s">
        <v>116</v>
      </c>
      <c r="E61" s="134">
        <v>0.12</v>
      </c>
      <c r="F61" s="134">
        <f t="shared" si="16"/>
        <v>193.22399999999999</v>
      </c>
      <c r="G61" s="134">
        <f t="shared" si="17"/>
        <v>6</v>
      </c>
      <c r="H61" s="135">
        <f t="shared" si="18"/>
        <v>9661.1999999999989</v>
      </c>
      <c r="I61" s="247">
        <v>0</v>
      </c>
      <c r="J61" s="135">
        <f t="shared" si="19"/>
        <v>0</v>
      </c>
      <c r="K61" s="136">
        <f t="shared" si="20"/>
        <v>9661.1999999999989</v>
      </c>
      <c r="L61" s="135">
        <f t="shared" si="21"/>
        <v>5.9999999999999991</v>
      </c>
      <c r="M61" s="137">
        <f t="shared" si="22"/>
        <v>9661.1999999999989</v>
      </c>
      <c r="N61" s="144">
        <v>0</v>
      </c>
      <c r="O61" s="130">
        <f t="shared" si="23"/>
        <v>0</v>
      </c>
      <c r="P61" s="159">
        <v>16.600000000000001</v>
      </c>
      <c r="Q61" s="159">
        <f>$C$55</f>
        <v>97</v>
      </c>
      <c r="R61" s="72">
        <f>P61*Q61</f>
        <v>1610.2</v>
      </c>
    </row>
    <row r="62" spans="1:18" s="72" customFormat="1" ht="14.25" hidden="1" x14ac:dyDescent="0.2">
      <c r="A62" s="63"/>
      <c r="B62" s="600" t="s">
        <v>883</v>
      </c>
      <c r="C62" s="64">
        <f>R62</f>
        <v>1610.2</v>
      </c>
      <c r="D62" s="75" t="s">
        <v>116</v>
      </c>
      <c r="E62" s="134">
        <v>0.12</v>
      </c>
      <c r="F62" s="134">
        <f t="shared" si="16"/>
        <v>193.22399999999999</v>
      </c>
      <c r="G62" s="134">
        <f t="shared" si="17"/>
        <v>6</v>
      </c>
      <c r="H62" s="135">
        <f t="shared" si="18"/>
        <v>9661.1999999999989</v>
      </c>
      <c r="I62" s="247">
        <v>0</v>
      </c>
      <c r="J62" s="135">
        <f t="shared" si="19"/>
        <v>0</v>
      </c>
      <c r="K62" s="136">
        <f t="shared" si="20"/>
        <v>9661.1999999999989</v>
      </c>
      <c r="L62" s="135">
        <f t="shared" si="21"/>
        <v>5.9999999999999991</v>
      </c>
      <c r="M62" s="137">
        <f t="shared" si="22"/>
        <v>9661.1999999999989</v>
      </c>
      <c r="N62" s="144">
        <v>0</v>
      </c>
      <c r="O62" s="130">
        <f t="shared" si="23"/>
        <v>0</v>
      </c>
      <c r="P62" s="159">
        <v>16.600000000000001</v>
      </c>
      <c r="Q62" s="159">
        <f>$C$55</f>
        <v>97</v>
      </c>
      <c r="R62" s="72">
        <f>P62*Q62</f>
        <v>1610.2</v>
      </c>
    </row>
    <row r="63" spans="1:18" s="72" customFormat="1" ht="14.25" hidden="1" x14ac:dyDescent="0.2">
      <c r="A63" s="63"/>
      <c r="B63" s="600" t="s">
        <v>884</v>
      </c>
      <c r="C63" s="64">
        <f>R63</f>
        <v>1610.2</v>
      </c>
      <c r="D63" s="75" t="s">
        <v>116</v>
      </c>
      <c r="E63" s="134">
        <v>0.15</v>
      </c>
      <c r="F63" s="134">
        <f t="shared" si="16"/>
        <v>241.53</v>
      </c>
      <c r="G63" s="134">
        <f t="shared" si="17"/>
        <v>7.5</v>
      </c>
      <c r="H63" s="135">
        <f t="shared" si="18"/>
        <v>12076.5</v>
      </c>
      <c r="I63" s="247">
        <v>0</v>
      </c>
      <c r="J63" s="135">
        <f t="shared" si="19"/>
        <v>0</v>
      </c>
      <c r="K63" s="136">
        <f t="shared" si="20"/>
        <v>12076.5</v>
      </c>
      <c r="L63" s="135">
        <f t="shared" si="21"/>
        <v>7.5</v>
      </c>
      <c r="M63" s="137">
        <f t="shared" si="22"/>
        <v>12076.5</v>
      </c>
      <c r="N63" s="144">
        <v>0</v>
      </c>
      <c r="O63" s="130">
        <f t="shared" si="23"/>
        <v>0</v>
      </c>
      <c r="P63" s="159">
        <v>16.600000000000001</v>
      </c>
      <c r="Q63" s="159">
        <f>$C$55</f>
        <v>97</v>
      </c>
      <c r="R63" s="72">
        <f>P63*Q63</f>
        <v>1610.2</v>
      </c>
    </row>
    <row r="64" spans="1:18" s="72" customFormat="1" ht="14.25" hidden="1" x14ac:dyDescent="0.2">
      <c r="A64" s="63"/>
      <c r="B64" s="600" t="s">
        <v>886</v>
      </c>
      <c r="C64" s="605">
        <f>P64</f>
        <v>2776.2068965517246</v>
      </c>
      <c r="D64" s="75" t="s">
        <v>148</v>
      </c>
      <c r="E64" s="134">
        <v>0</v>
      </c>
      <c r="F64" s="134">
        <f t="shared" si="16"/>
        <v>0</v>
      </c>
      <c r="G64" s="134">
        <f t="shared" si="17"/>
        <v>0</v>
      </c>
      <c r="H64" s="135">
        <f t="shared" si="18"/>
        <v>0</v>
      </c>
      <c r="I64" s="247">
        <v>0.05</v>
      </c>
      <c r="J64" s="135">
        <f t="shared" si="19"/>
        <v>138.81034482758625</v>
      </c>
      <c r="K64" s="136">
        <f t="shared" si="20"/>
        <v>138.81034482758625</v>
      </c>
      <c r="L64" s="135">
        <f t="shared" si="21"/>
        <v>0.05</v>
      </c>
      <c r="M64" s="137">
        <f t="shared" si="22"/>
        <v>138.81034482758625</v>
      </c>
      <c r="N64" s="144">
        <v>0</v>
      </c>
      <c r="O64" s="130">
        <f t="shared" si="23"/>
        <v>0</v>
      </c>
      <c r="P64" s="159">
        <f>(R63/2.9)*5</f>
        <v>2776.2068965517246</v>
      </c>
      <c r="Q64" s="159"/>
    </row>
    <row r="65" spans="1:18" s="72" customFormat="1" ht="14.25" hidden="1" x14ac:dyDescent="0.2">
      <c r="A65" s="63"/>
      <c r="B65" s="600" t="s">
        <v>284</v>
      </c>
      <c r="C65" s="64">
        <f>R65</f>
        <v>1610.2</v>
      </c>
      <c r="D65" s="75" t="s">
        <v>116</v>
      </c>
      <c r="E65" s="134">
        <v>0.01</v>
      </c>
      <c r="F65" s="134">
        <f t="shared" si="16"/>
        <v>16.102</v>
      </c>
      <c r="G65" s="134">
        <f t="shared" si="17"/>
        <v>0.5</v>
      </c>
      <c r="H65" s="135">
        <f t="shared" si="18"/>
        <v>805.1</v>
      </c>
      <c r="I65" s="247">
        <v>0</v>
      </c>
      <c r="J65" s="135">
        <f t="shared" si="19"/>
        <v>0</v>
      </c>
      <c r="K65" s="136">
        <f t="shared" si="20"/>
        <v>805.1</v>
      </c>
      <c r="L65" s="135">
        <f t="shared" si="21"/>
        <v>0.5</v>
      </c>
      <c r="M65" s="137">
        <f t="shared" si="22"/>
        <v>805.1</v>
      </c>
      <c r="N65" s="144">
        <v>0</v>
      </c>
      <c r="O65" s="130">
        <f t="shared" si="23"/>
        <v>0</v>
      </c>
      <c r="P65" s="159">
        <v>16.600000000000001</v>
      </c>
      <c r="Q65" s="159">
        <f>$C$55</f>
        <v>97</v>
      </c>
      <c r="R65" s="72">
        <f>P65*Q65</f>
        <v>1610.2</v>
      </c>
    </row>
    <row r="66" spans="1:18" s="72" customFormat="1" ht="14.25" x14ac:dyDescent="0.2">
      <c r="A66" s="63"/>
      <c r="B66" s="143"/>
      <c r="C66" s="64"/>
      <c r="D66" s="75"/>
      <c r="E66" s="128"/>
      <c r="F66" s="129"/>
      <c r="G66" s="129"/>
      <c r="H66" s="129"/>
      <c r="I66" s="153"/>
      <c r="J66" s="128"/>
      <c r="K66" s="128"/>
      <c r="L66" s="128"/>
      <c r="M66" s="120"/>
      <c r="N66" s="126"/>
      <c r="O66" s="127"/>
      <c r="P66" s="159"/>
      <c r="Q66" s="159"/>
    </row>
    <row r="67" spans="1:18" ht="23.25" customHeight="1" x14ac:dyDescent="0.2">
      <c r="A67" s="63"/>
      <c r="B67" s="132"/>
      <c r="C67" s="138"/>
      <c r="D67" s="142"/>
      <c r="E67" s="133"/>
      <c r="F67" s="134"/>
      <c r="G67" s="134"/>
      <c r="H67" s="135"/>
      <c r="I67" s="135"/>
      <c r="J67" s="135"/>
      <c r="K67" s="136"/>
      <c r="L67" s="135"/>
      <c r="M67" s="137"/>
      <c r="N67" s="131"/>
      <c r="O67" s="130"/>
      <c r="P67" s="60"/>
      <c r="Q67" s="59"/>
    </row>
    <row r="68" spans="1:18" ht="24" customHeight="1" x14ac:dyDescent="0.2">
      <c r="A68" s="30"/>
      <c r="B68" s="31"/>
      <c r="C68" s="32"/>
      <c r="D68" s="33"/>
      <c r="E68" s="33"/>
      <c r="F68" s="33">
        <f>SUM(F13:F67)</f>
        <v>1794.37</v>
      </c>
      <c r="G68" s="33"/>
      <c r="H68" s="86">
        <f>SUM(H13:H67)</f>
        <v>89718.5</v>
      </c>
      <c r="I68" s="33"/>
      <c r="J68" s="78">
        <f>SUM(J13:J67)</f>
        <v>549034.8668965518</v>
      </c>
      <c r="K68" s="33"/>
      <c r="L68" s="33"/>
      <c r="M68" s="68"/>
      <c r="N68" s="94"/>
      <c r="O68" s="104"/>
      <c r="P68" s="60"/>
      <c r="Q68" s="59"/>
    </row>
    <row r="69" spans="1:18" ht="15" customHeight="1" x14ac:dyDescent="0.2">
      <c r="A69" s="15"/>
      <c r="B69" s="28" t="s">
        <v>16</v>
      </c>
      <c r="C69" s="24"/>
      <c r="D69" s="25"/>
      <c r="E69" s="25"/>
      <c r="F69" s="25"/>
      <c r="G69" s="25"/>
      <c r="H69" s="25"/>
      <c r="I69" s="25"/>
      <c r="J69" s="25"/>
      <c r="K69" s="25"/>
      <c r="L69" s="25"/>
      <c r="M69" s="26">
        <f>SUM(M13:M67)</f>
        <v>638753.36689655157</v>
      </c>
      <c r="N69" s="100"/>
      <c r="O69" s="103">
        <f>SUM(O13:O67)</f>
        <v>0</v>
      </c>
      <c r="P69" s="60"/>
      <c r="Q69" s="65"/>
    </row>
    <row r="70" spans="1:18" x14ac:dyDescent="0.2">
      <c r="A70" s="13"/>
      <c r="B70" s="35" t="s">
        <v>12</v>
      </c>
      <c r="C70" s="24"/>
      <c r="D70" s="36"/>
      <c r="E70" s="36"/>
      <c r="F70" s="36"/>
      <c r="G70" s="36"/>
      <c r="H70" s="36"/>
      <c r="I70" s="36"/>
      <c r="J70" s="36"/>
      <c r="K70" s="36"/>
      <c r="L70" s="36"/>
      <c r="M70" s="26"/>
      <c r="N70" s="100"/>
      <c r="O70" s="103"/>
      <c r="P70" s="60"/>
      <c r="Q70" s="65"/>
    </row>
    <row r="71" spans="1:18" ht="24" customHeight="1" x14ac:dyDescent="0.2">
      <c r="A71" s="13"/>
      <c r="B71" s="37"/>
      <c r="C71" s="24"/>
      <c r="D71" s="36"/>
      <c r="E71" s="36"/>
      <c r="F71" s="36"/>
      <c r="G71" s="36"/>
      <c r="H71" s="36"/>
      <c r="I71" s="36"/>
      <c r="J71" s="36"/>
      <c r="K71" s="36"/>
      <c r="L71" s="36"/>
      <c r="M71" s="26"/>
      <c r="N71" s="100"/>
      <c r="O71" s="103"/>
      <c r="P71" s="60"/>
      <c r="Q71" s="59"/>
    </row>
    <row r="72" spans="1:18" ht="18.75" customHeight="1" x14ac:dyDescent="0.2">
      <c r="A72" s="15"/>
      <c r="B72" s="13" t="s">
        <v>8</v>
      </c>
      <c r="C72" s="24"/>
      <c r="D72" s="36" t="s">
        <v>5</v>
      </c>
      <c r="E72" s="36"/>
      <c r="F72" s="36"/>
      <c r="G72" s="36"/>
      <c r="H72" s="36"/>
      <c r="I72" s="36"/>
      <c r="J72" s="36"/>
      <c r="K72" s="36"/>
      <c r="L72" s="609">
        <v>2.0500000000000001E-2</v>
      </c>
      <c r="M72" s="84">
        <f>M69*L72</f>
        <v>13094.444021379308</v>
      </c>
      <c r="N72" s="100"/>
      <c r="O72" s="103">
        <f>(O69/M69)*M72</f>
        <v>0</v>
      </c>
    </row>
    <row r="73" spans="1:18" ht="18.75" customHeight="1" x14ac:dyDescent="0.2">
      <c r="A73" s="38"/>
      <c r="B73" s="13"/>
      <c r="C73" s="24"/>
      <c r="D73" s="36"/>
      <c r="E73" s="36"/>
      <c r="F73" s="36"/>
      <c r="G73" s="36"/>
      <c r="H73" s="36"/>
      <c r="I73" s="36"/>
      <c r="J73" s="36"/>
      <c r="K73" s="36"/>
      <c r="L73" s="36"/>
      <c r="M73" s="26"/>
      <c r="N73" s="100"/>
      <c r="O73" s="103"/>
    </row>
    <row r="74" spans="1:18" s="42" customFormat="1" x14ac:dyDescent="0.2">
      <c r="A74" s="15"/>
      <c r="B74" s="39" t="s">
        <v>9</v>
      </c>
      <c r="C74" s="40"/>
      <c r="D74" s="41" t="s">
        <v>5</v>
      </c>
      <c r="E74" s="41"/>
      <c r="F74" s="41"/>
      <c r="G74" s="41"/>
      <c r="H74" s="41"/>
      <c r="I74" s="41"/>
      <c r="J74" s="41"/>
      <c r="K74" s="41"/>
      <c r="L74" s="79">
        <v>0.01</v>
      </c>
      <c r="M74" s="34">
        <f>M69*L74</f>
        <v>6387.533668965516</v>
      </c>
      <c r="N74" s="100"/>
      <c r="O74" s="103">
        <f>(O69/M69)*M74</f>
        <v>0</v>
      </c>
    </row>
    <row r="75" spans="1:18" s="42" customFormat="1" x14ac:dyDescent="0.2">
      <c r="A75" s="15"/>
      <c r="B75" s="39"/>
      <c r="C75" s="40"/>
      <c r="D75" s="41"/>
      <c r="E75" s="41"/>
      <c r="F75" s="41"/>
      <c r="G75" s="41"/>
      <c r="H75" s="41"/>
      <c r="I75" s="41"/>
      <c r="J75" s="41"/>
      <c r="K75" s="41"/>
      <c r="L75" s="41"/>
      <c r="M75" s="34"/>
      <c r="N75" s="100"/>
      <c r="O75" s="103"/>
    </row>
    <row r="76" spans="1:18" s="42" customFormat="1" x14ac:dyDescent="0.2">
      <c r="A76" s="15"/>
      <c r="B76" s="39" t="s">
        <v>10</v>
      </c>
      <c r="C76" s="40"/>
      <c r="D76" s="41" t="s">
        <v>5</v>
      </c>
      <c r="E76" s="41"/>
      <c r="F76" s="41"/>
      <c r="G76" s="41"/>
      <c r="H76" s="41"/>
      <c r="I76" s="41"/>
      <c r="J76" s="41"/>
      <c r="K76" s="41"/>
      <c r="L76" s="79">
        <v>2.5000000000000001E-3</v>
      </c>
      <c r="M76" s="34">
        <f>M69*L76</f>
        <v>1596.883417241379</v>
      </c>
      <c r="N76" s="100"/>
      <c r="O76" s="103">
        <f>(O69/M69)*M76</f>
        <v>0</v>
      </c>
    </row>
    <row r="77" spans="1:18" s="42" customFormat="1" ht="20.25" customHeight="1" x14ac:dyDescent="0.2">
      <c r="A77" s="15"/>
      <c r="B77" s="80"/>
      <c r="C77" s="81"/>
      <c r="D77" s="82"/>
      <c r="E77" s="82"/>
      <c r="F77" s="82"/>
      <c r="G77" s="82"/>
      <c r="H77" s="82"/>
      <c r="I77" s="82"/>
      <c r="J77" s="82"/>
      <c r="K77" s="82"/>
      <c r="L77" s="82"/>
      <c r="M77" s="85"/>
      <c r="N77" s="100"/>
      <c r="O77" s="103"/>
    </row>
    <row r="78" spans="1:18" s="42" customFormat="1" ht="21.75" customHeight="1" x14ac:dyDescent="0.2">
      <c r="A78" s="29"/>
      <c r="B78" s="141" t="s">
        <v>42</v>
      </c>
      <c r="C78" s="81"/>
      <c r="D78" s="82" t="s">
        <v>5</v>
      </c>
      <c r="E78" s="82"/>
      <c r="F78" s="82"/>
      <c r="G78" s="82"/>
      <c r="H78" s="82"/>
      <c r="I78" s="82"/>
      <c r="J78" s="82"/>
      <c r="K78" s="82"/>
      <c r="L78" s="83">
        <f>M78/M69</f>
        <v>6.320643787156523E-3</v>
      </c>
      <c r="M78" s="85">
        <f>I91</f>
        <v>4037.3324999999995</v>
      </c>
      <c r="N78" s="100"/>
      <c r="O78" s="103"/>
      <c r="P78" s="172"/>
    </row>
    <row r="79" spans="1:18" s="42" customFormat="1" ht="18" customHeight="1" x14ac:dyDescent="0.2">
      <c r="A79" s="29"/>
      <c r="B79" s="80"/>
      <c r="C79" s="81"/>
      <c r="D79" s="82"/>
      <c r="E79" s="82"/>
      <c r="F79" s="82"/>
      <c r="G79" s="82"/>
      <c r="H79" s="82"/>
      <c r="I79" s="82"/>
      <c r="J79" s="82"/>
      <c r="K79" s="82"/>
      <c r="L79" s="82"/>
      <c r="M79" s="85"/>
      <c r="N79" s="100"/>
      <c r="O79" s="103"/>
    </row>
    <row r="80" spans="1:18" s="42" customFormat="1" x14ac:dyDescent="0.2">
      <c r="A80" s="29"/>
      <c r="B80" s="80" t="s">
        <v>44</v>
      </c>
      <c r="C80" s="81"/>
      <c r="D80" s="82" t="s">
        <v>5</v>
      </c>
      <c r="E80" s="82"/>
      <c r="F80" s="82"/>
      <c r="G80" s="82"/>
      <c r="H80" s="82"/>
      <c r="I80" s="82"/>
      <c r="J80" s="82"/>
      <c r="K80" s="82"/>
      <c r="L80" s="83"/>
      <c r="M80" s="85"/>
      <c r="N80" s="100"/>
      <c r="O80" s="103">
        <f>M80*N80</f>
        <v>0</v>
      </c>
    </row>
    <row r="81" spans="1:17" s="42" customFormat="1" x14ac:dyDescent="0.2">
      <c r="A81" s="15"/>
      <c r="B81" s="80"/>
      <c r="C81" s="81"/>
      <c r="D81" s="82"/>
      <c r="E81" s="82"/>
      <c r="F81" s="82"/>
      <c r="G81" s="82"/>
      <c r="H81" s="82"/>
      <c r="I81" s="82"/>
      <c r="J81" s="82"/>
      <c r="K81" s="82"/>
      <c r="L81" s="82"/>
      <c r="M81" s="34"/>
      <c r="N81" s="100"/>
      <c r="O81" s="105"/>
    </row>
    <row r="82" spans="1:17" ht="18.75" customHeight="1" x14ac:dyDescent="0.2">
      <c r="A82" s="43"/>
      <c r="B82" s="44" t="s">
        <v>17</v>
      </c>
      <c r="C82" s="45"/>
      <c r="D82" s="46"/>
      <c r="E82" s="46"/>
      <c r="F82" s="46"/>
      <c r="G82" s="46"/>
      <c r="H82" s="46"/>
      <c r="I82" s="46"/>
      <c r="J82" s="46"/>
      <c r="K82" s="46"/>
      <c r="L82" s="46"/>
      <c r="M82" s="69">
        <f>SUM(M69:M81)</f>
        <v>663869.56050413789</v>
      </c>
      <c r="N82" s="101"/>
      <c r="O82" s="106">
        <f>SUM(O69:O81)</f>
        <v>0</v>
      </c>
      <c r="P82" s="42"/>
      <c r="Q82" s="42"/>
    </row>
    <row r="83" spans="1:17" ht="16.5" customHeight="1" x14ac:dyDescent="0.2">
      <c r="A83" s="15"/>
      <c r="B83" s="19"/>
      <c r="C83" s="24"/>
      <c r="D83" s="36"/>
      <c r="E83" s="36"/>
      <c r="F83" s="36"/>
      <c r="G83" s="36"/>
      <c r="H83" s="36"/>
      <c r="I83" s="36"/>
      <c r="J83" s="36"/>
      <c r="K83" s="36"/>
      <c r="L83" s="36"/>
      <c r="M83" s="26"/>
      <c r="N83" s="95"/>
      <c r="O83" s="107"/>
      <c r="P83" s="42"/>
      <c r="Q83" s="42"/>
    </row>
    <row r="84" spans="1:17" x14ac:dyDescent="0.2">
      <c r="A84" s="15"/>
      <c r="B84" s="19" t="s">
        <v>11</v>
      </c>
      <c r="C84" s="24"/>
      <c r="D84" s="36"/>
      <c r="E84" s="36"/>
      <c r="F84" s="36"/>
      <c r="G84" s="36"/>
      <c r="H84" s="36"/>
      <c r="I84" s="36"/>
      <c r="J84" s="36"/>
      <c r="K84" s="36"/>
      <c r="L84" s="606">
        <v>3.5000000000000003E-2</v>
      </c>
      <c r="M84" s="26">
        <f>M82*L84</f>
        <v>23235.434617644827</v>
      </c>
      <c r="N84" s="95"/>
      <c r="O84" s="107">
        <f>O82/M82*M84</f>
        <v>0</v>
      </c>
      <c r="P84" s="42"/>
      <c r="Q84" s="42"/>
    </row>
    <row r="85" spans="1:17" x14ac:dyDescent="0.2">
      <c r="A85" s="47"/>
      <c r="B85" s="48"/>
      <c r="C85" s="49"/>
      <c r="D85" s="49"/>
      <c r="E85" s="49"/>
      <c r="F85" s="49"/>
      <c r="G85" s="49"/>
      <c r="H85" s="49"/>
      <c r="I85" s="49"/>
      <c r="J85" s="49"/>
      <c r="K85" s="49"/>
      <c r="L85" s="174"/>
      <c r="M85" s="70"/>
      <c r="N85" s="95"/>
      <c r="O85" s="107"/>
      <c r="P85" s="42"/>
      <c r="Q85" s="42"/>
    </row>
    <row r="86" spans="1:17" ht="18" customHeight="1" x14ac:dyDescent="0.2">
      <c r="A86" s="50"/>
      <c r="B86" s="56" t="s">
        <v>859</v>
      </c>
      <c r="C86" s="51"/>
      <c r="D86" s="52"/>
      <c r="E86" s="52"/>
      <c r="F86" s="52"/>
      <c r="G86" s="52"/>
      <c r="H86" s="52"/>
      <c r="I86" s="52"/>
      <c r="J86" s="52"/>
      <c r="K86" s="52"/>
      <c r="L86" s="173"/>
      <c r="M86" s="71">
        <f>ROUNDUP(SUM(M82:M85),0)</f>
        <v>687105</v>
      </c>
      <c r="N86" s="151">
        <f>O86/M86</f>
        <v>0</v>
      </c>
      <c r="O86" s="109">
        <f>SUM(O82:O85)</f>
        <v>0</v>
      </c>
      <c r="P86" s="42"/>
      <c r="Q86" s="42"/>
    </row>
    <row r="87" spans="1:17" ht="13.5" customHeight="1" x14ac:dyDescent="0.2">
      <c r="A87" s="161"/>
      <c r="B87" s="162"/>
      <c r="C87" s="163"/>
      <c r="D87" s="164"/>
      <c r="E87" s="164"/>
      <c r="F87" s="164"/>
      <c r="G87" s="72"/>
      <c r="H87" s="72"/>
      <c r="I87" s="72"/>
      <c r="J87" s="72"/>
      <c r="K87" s="164"/>
      <c r="L87" s="164"/>
      <c r="M87" s="165"/>
      <c r="N87" s="166">
        <f>SUM(L71:L81)</f>
        <v>3.9320643787156523E-2</v>
      </c>
      <c r="O87" s="240"/>
      <c r="P87" s="166">
        <f>L84</f>
        <v>3.5000000000000003E-2</v>
      </c>
      <c r="Q87" s="42"/>
    </row>
    <row r="88" spans="1:17" ht="13.5" customHeight="1" x14ac:dyDescent="0.2">
      <c r="A88" s="161"/>
      <c r="B88" s="162"/>
      <c r="C88" s="163"/>
      <c r="D88" s="164"/>
      <c r="E88" s="164"/>
      <c r="F88" s="167"/>
      <c r="G88" s="410" t="s">
        <v>45</v>
      </c>
      <c r="H88" s="411"/>
      <c r="I88" s="411"/>
      <c r="J88" s="412"/>
      <c r="K88" s="633">
        <f>SUM(F16:F32)</f>
        <v>676.35</v>
      </c>
      <c r="L88" s="169" t="s">
        <v>328</v>
      </c>
      <c r="M88" s="165">
        <f>SUM(M16:M32)</f>
        <v>257145.04827586206</v>
      </c>
      <c r="N88" s="561">
        <f>M88*$N$87</f>
        <v>10111.108844886339</v>
      </c>
      <c r="O88" s="156">
        <f>SUM(M88:N88)</f>
        <v>267256.15712074842</v>
      </c>
      <c r="P88" s="172">
        <f>O88*$P$87</f>
        <v>9353.9654992261949</v>
      </c>
      <c r="Q88" s="565">
        <f>SUM(O88:P88)</f>
        <v>276610.1226199746</v>
      </c>
    </row>
    <row r="89" spans="1:17" ht="13.5" customHeight="1" x14ac:dyDescent="0.2">
      <c r="A89" s="161"/>
      <c r="B89" s="162"/>
      <c r="C89" s="163"/>
      <c r="D89" s="164"/>
      <c r="E89" s="164"/>
      <c r="F89" s="164"/>
      <c r="G89" s="413"/>
      <c r="H89" s="414" t="s">
        <v>583</v>
      </c>
      <c r="I89" s="72"/>
      <c r="J89" s="415"/>
      <c r="K89" s="634"/>
      <c r="L89" s="169"/>
      <c r="M89" s="165"/>
      <c r="N89" s="561"/>
      <c r="O89" s="156"/>
      <c r="P89" s="172"/>
      <c r="Q89" s="566"/>
    </row>
    <row r="90" spans="1:17" ht="13.5" customHeight="1" x14ac:dyDescent="0.2">
      <c r="F90" s="168"/>
      <c r="G90" s="413">
        <f>F68/8</f>
        <v>224.29624999999999</v>
      </c>
      <c r="H90" s="416">
        <v>1</v>
      </c>
      <c r="I90" s="72"/>
      <c r="J90" s="415"/>
      <c r="K90" s="635">
        <f>SUM(F36:F51)</f>
        <v>473.94</v>
      </c>
      <c r="L90" s="169" t="s">
        <v>329</v>
      </c>
      <c r="M90" s="53">
        <f>SUM(M36:M51)</f>
        <v>187081.50827586206</v>
      </c>
      <c r="N90" s="561">
        <f>M90*$N$87</f>
        <v>7356.1653460791467</v>
      </c>
      <c r="O90" s="156">
        <f>SUM(M90:N90)</f>
        <v>194437.67362194121</v>
      </c>
      <c r="P90" s="172">
        <f>O90*$P$87</f>
        <v>6805.3185767679433</v>
      </c>
      <c r="Q90" s="219">
        <f>SUM(O90:P90)</f>
        <v>201242.99219870917</v>
      </c>
    </row>
    <row r="91" spans="1:17" ht="13.5" customHeight="1" x14ac:dyDescent="0.2">
      <c r="F91" s="168"/>
      <c r="G91" s="413">
        <f>G90/H90</f>
        <v>224.29624999999999</v>
      </c>
      <c r="H91" s="61">
        <v>18</v>
      </c>
      <c r="I91" s="61">
        <f>G91*H91</f>
        <v>4037.3324999999995</v>
      </c>
      <c r="J91" s="415"/>
      <c r="K91" s="634"/>
      <c r="L91" s="169"/>
      <c r="M91" s="53"/>
      <c r="N91" s="561"/>
      <c r="O91" s="156"/>
      <c r="P91" s="172"/>
      <c r="Q91" s="566"/>
    </row>
    <row r="92" spans="1:17" x14ac:dyDescent="0.2">
      <c r="F92" s="168"/>
      <c r="G92" s="413"/>
      <c r="H92" s="72"/>
      <c r="I92" s="72"/>
      <c r="J92" s="415"/>
      <c r="K92" s="635">
        <f>SUM(F55:F65)</f>
        <v>644.07999999999993</v>
      </c>
      <c r="L92" s="169" t="s">
        <v>330</v>
      </c>
      <c r="M92" s="53">
        <f>SUM(M55:M65)</f>
        <v>194526.81034482762</v>
      </c>
      <c r="N92" s="561">
        <f>M92*$N$87</f>
        <v>7648.9194166207217</v>
      </c>
      <c r="O92" s="156">
        <f>SUM(M92:N92)</f>
        <v>202175.72976144834</v>
      </c>
      <c r="P92" s="172">
        <f>O92*$P$87</f>
        <v>7076.1505416506925</v>
      </c>
      <c r="Q92" s="567">
        <f>SUM(O92:P92)</f>
        <v>209251.88030309902</v>
      </c>
    </row>
    <row r="93" spans="1:17" x14ac:dyDescent="0.2">
      <c r="G93" s="417"/>
      <c r="H93" s="418"/>
      <c r="I93" s="418"/>
      <c r="J93" s="419"/>
      <c r="K93" s="637"/>
      <c r="L93" s="556"/>
      <c r="M93" s="557"/>
      <c r="N93" s="558"/>
      <c r="O93" s="559"/>
      <c r="P93" s="546"/>
      <c r="Q93" s="546"/>
    </row>
    <row r="94" spans="1:17" x14ac:dyDescent="0.2">
      <c r="K94" s="635">
        <f>SUM(K88:K93)</f>
        <v>1794.37</v>
      </c>
      <c r="L94" s="53"/>
      <c r="M94" s="53">
        <f>SUM(M88:M93)</f>
        <v>638753.36689655168</v>
      </c>
      <c r="N94" s="96"/>
      <c r="O94" s="108"/>
      <c r="P94" s="42"/>
      <c r="Q94" s="569">
        <f>SUM(Q88:Q93)</f>
        <v>687104.99512178276</v>
      </c>
    </row>
    <row r="95" spans="1:17" ht="15" x14ac:dyDescent="0.25">
      <c r="B95" s="113" t="s">
        <v>30</v>
      </c>
      <c r="C95" s="114"/>
      <c r="D95" s="114"/>
      <c r="E95" s="114"/>
      <c r="F95" s="114"/>
      <c r="I95" s="113" t="s">
        <v>30</v>
      </c>
      <c r="J95" s="114"/>
      <c r="K95" s="114"/>
      <c r="L95" s="114"/>
      <c r="M95" s="114"/>
      <c r="O95" s="108"/>
      <c r="P95" s="42"/>
      <c r="Q95" s="42"/>
    </row>
    <row r="96" spans="1:17" x14ac:dyDescent="0.2">
      <c r="B96" s="115" t="s">
        <v>43</v>
      </c>
      <c r="C96" s="116"/>
      <c r="D96" s="111"/>
      <c r="E96" s="111"/>
      <c r="F96" s="111"/>
      <c r="I96" s="115" t="s">
        <v>31</v>
      </c>
      <c r="J96" s="116"/>
      <c r="K96" s="111"/>
      <c r="L96" s="111"/>
      <c r="M96" s="111"/>
      <c r="O96" s="108"/>
      <c r="P96" s="42"/>
      <c r="Q96" s="42"/>
    </row>
    <row r="97" spans="2:17" ht="15" x14ac:dyDescent="0.25">
      <c r="B97" s="115" t="s">
        <v>32</v>
      </c>
      <c r="C97" s="116" t="s">
        <v>33</v>
      </c>
      <c r="D97" s="111" t="s">
        <v>34</v>
      </c>
      <c r="E97" s="111" t="s">
        <v>35</v>
      </c>
      <c r="F97" s="114"/>
      <c r="I97" s="115" t="s">
        <v>32</v>
      </c>
      <c r="J97" s="116" t="s">
        <v>33</v>
      </c>
      <c r="K97" s="111" t="s">
        <v>34</v>
      </c>
      <c r="L97" s="111" t="s">
        <v>35</v>
      </c>
      <c r="M97" s="114"/>
      <c r="O97" s="108"/>
      <c r="P97" s="42"/>
      <c r="Q97" s="42"/>
    </row>
    <row r="98" spans="2:17" x14ac:dyDescent="0.2">
      <c r="B98" s="117">
        <v>1</v>
      </c>
      <c r="C98" s="116">
        <v>55</v>
      </c>
      <c r="D98" s="111">
        <f>B98*C98</f>
        <v>55</v>
      </c>
      <c r="E98" s="111">
        <f>D98*F98</f>
        <v>110</v>
      </c>
      <c r="F98" s="118">
        <v>2</v>
      </c>
      <c r="I98" s="117">
        <v>4</v>
      </c>
      <c r="J98" s="116">
        <v>55</v>
      </c>
      <c r="K98" s="111">
        <f>I98*J98</f>
        <v>220</v>
      </c>
      <c r="L98" s="111">
        <f>K98*M98</f>
        <v>440</v>
      </c>
      <c r="M98" s="118">
        <v>2</v>
      </c>
      <c r="O98" s="108"/>
      <c r="P98" s="42"/>
      <c r="Q98" s="42"/>
    </row>
    <row r="99" spans="2:17" x14ac:dyDescent="0.2">
      <c r="B99" s="115" t="s">
        <v>36</v>
      </c>
      <c r="C99" s="116"/>
      <c r="D99" s="111"/>
      <c r="E99" s="111" t="s">
        <v>37</v>
      </c>
      <c r="F99" s="111"/>
      <c r="I99" s="115" t="s">
        <v>36</v>
      </c>
      <c r="J99" s="116"/>
      <c r="K99" s="111"/>
      <c r="L99" s="111" t="s">
        <v>37</v>
      </c>
      <c r="M99" s="111"/>
      <c r="O99" s="108"/>
      <c r="P99" s="42"/>
      <c r="Q99" s="42"/>
    </row>
    <row r="100" spans="2:17" ht="15" x14ac:dyDescent="0.25">
      <c r="B100" s="115">
        <v>0.7</v>
      </c>
      <c r="C100" s="119"/>
      <c r="D100" s="114"/>
      <c r="E100" s="111">
        <f>B100*C100</f>
        <v>0</v>
      </c>
      <c r="F100" s="111"/>
      <c r="I100" s="115">
        <v>0.7</v>
      </c>
      <c r="J100" s="119">
        <v>310</v>
      </c>
      <c r="K100" s="114"/>
      <c r="L100" s="111">
        <f>I100*J100</f>
        <v>217</v>
      </c>
      <c r="M100" s="111"/>
      <c r="O100" s="108"/>
      <c r="P100" s="42"/>
      <c r="Q100" s="42"/>
    </row>
    <row r="101" spans="2:17" x14ac:dyDescent="0.2">
      <c r="B101" s="115" t="s">
        <v>38</v>
      </c>
      <c r="C101" s="116"/>
      <c r="D101" s="111"/>
      <c r="E101" s="111">
        <f>SUM(E98:E100)</f>
        <v>110</v>
      </c>
      <c r="F101" s="111"/>
      <c r="I101" s="115" t="s">
        <v>38</v>
      </c>
      <c r="J101" s="116"/>
      <c r="K101" s="111"/>
      <c r="L101" s="111">
        <f>SUM(L98:L100)</f>
        <v>657</v>
      </c>
      <c r="M101" s="111"/>
      <c r="O101" s="108"/>
      <c r="P101" s="42"/>
      <c r="Q101" s="42"/>
    </row>
    <row r="102" spans="2:17" x14ac:dyDescent="0.2">
      <c r="B102" s="117">
        <v>2</v>
      </c>
      <c r="C102" s="116"/>
      <c r="D102" s="111"/>
      <c r="E102" s="111">
        <f>B102*E101</f>
        <v>220</v>
      </c>
      <c r="F102" s="111"/>
      <c r="I102" s="117">
        <v>1</v>
      </c>
      <c r="J102" s="116"/>
      <c r="K102" s="111"/>
      <c r="L102" s="111">
        <f>I102*L101</f>
        <v>657</v>
      </c>
      <c r="M102" s="111"/>
      <c r="O102" s="108"/>
      <c r="P102" s="42"/>
      <c r="Q102" s="42"/>
    </row>
    <row r="103" spans="2:17" x14ac:dyDescent="0.2">
      <c r="B103" s="115" t="s">
        <v>39</v>
      </c>
      <c r="C103" s="116" t="s">
        <v>40</v>
      </c>
      <c r="D103" s="111"/>
      <c r="E103" s="111" t="s">
        <v>41</v>
      </c>
      <c r="F103" s="111"/>
      <c r="I103" s="115" t="s">
        <v>39</v>
      </c>
      <c r="J103" s="116" t="s">
        <v>40</v>
      </c>
      <c r="K103" s="111"/>
      <c r="L103" s="111" t="s">
        <v>41</v>
      </c>
      <c r="M103" s="111"/>
      <c r="Q103" s="54"/>
    </row>
    <row r="104" spans="2:17" x14ac:dyDescent="0.2">
      <c r="B104" s="117"/>
      <c r="C104" s="119"/>
      <c r="D104" s="111">
        <f>B104*C104</f>
        <v>0</v>
      </c>
      <c r="E104" s="111">
        <f>D104*F98</f>
        <v>0</v>
      </c>
      <c r="F104" s="111"/>
      <c r="I104" s="117">
        <v>125</v>
      </c>
      <c r="J104" s="119">
        <v>4</v>
      </c>
      <c r="K104" s="111">
        <f>I104*J104</f>
        <v>500</v>
      </c>
      <c r="L104" s="111">
        <f>K104*M98</f>
        <v>1000</v>
      </c>
      <c r="M104" s="111"/>
    </row>
    <row r="105" spans="2:17" x14ac:dyDescent="0.2">
      <c r="B105" s="115"/>
      <c r="C105" s="116"/>
      <c r="D105" s="111"/>
      <c r="E105" s="112">
        <f>SUM(E102:E104)</f>
        <v>220</v>
      </c>
      <c r="F105" s="111"/>
      <c r="I105" s="115"/>
      <c r="J105" s="116"/>
      <c r="K105" s="111"/>
      <c r="L105" s="112">
        <f>SUM(L102:L104)</f>
        <v>1657</v>
      </c>
      <c r="M105" s="111"/>
    </row>
    <row r="109" spans="2:17" x14ac:dyDescent="0.2">
      <c r="D109" s="72" t="s">
        <v>45</v>
      </c>
      <c r="E109" s="14">
        <f>F68/8.5</f>
        <v>211.10235294117646</v>
      </c>
      <c r="F109" s="60">
        <f>E109*17.5</f>
        <v>3694.2911764705882</v>
      </c>
      <c r="G109" s="72" t="s">
        <v>48</v>
      </c>
    </row>
    <row r="119" spans="2:2" x14ac:dyDescent="0.2">
      <c r="B119" s="664"/>
    </row>
  </sheetData>
  <pageMargins left="0.7" right="0.7" top="0.75" bottom="0.75" header="0.3" footer="0.3"/>
  <pageSetup paperSize="9" scale="9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4708-3666-4372-87C1-CC3843AC667D}">
  <dimension ref="B6:M47"/>
  <sheetViews>
    <sheetView topLeftCell="A18" workbookViewId="0">
      <selection activeCell="G49" sqref="G49"/>
    </sheetView>
  </sheetViews>
  <sheetFormatPr defaultRowHeight="12.75" x14ac:dyDescent="0.2"/>
  <cols>
    <col min="2" max="2" width="22.28515625" customWidth="1"/>
    <col min="3" max="3" width="26" customWidth="1"/>
    <col min="6" max="6" width="17.42578125" customWidth="1"/>
    <col min="9" max="9" width="25.7109375" customWidth="1"/>
    <col min="10" max="10" width="16.7109375" customWidth="1"/>
  </cols>
  <sheetData>
    <row r="6" spans="2:13" x14ac:dyDescent="0.2">
      <c r="F6" s="72" t="s">
        <v>788</v>
      </c>
      <c r="G6" s="203">
        <v>121.83</v>
      </c>
    </row>
    <row r="7" spans="2:13" x14ac:dyDescent="0.2">
      <c r="E7" s="216"/>
      <c r="F7" s="216" t="s">
        <v>787</v>
      </c>
      <c r="G7" s="519">
        <f>G6*1.04</f>
        <v>126.70320000000001</v>
      </c>
      <c r="H7" s="216"/>
      <c r="I7" s="216"/>
    </row>
    <row r="8" spans="2:13" x14ac:dyDescent="0.2">
      <c r="E8" s="215"/>
      <c r="F8" s="209" t="s">
        <v>370</v>
      </c>
      <c r="G8" s="541">
        <v>5</v>
      </c>
      <c r="H8" s="215"/>
      <c r="I8" s="215"/>
    </row>
    <row r="9" spans="2:13" x14ac:dyDescent="0.2">
      <c r="G9" s="203">
        <f>SUM(G7:G8)</f>
        <v>131.70320000000001</v>
      </c>
    </row>
    <row r="11" spans="2:13" ht="15" x14ac:dyDescent="0.25">
      <c r="B11" s="520" t="s">
        <v>758</v>
      </c>
    </row>
    <row r="13" spans="2:13" ht="15" x14ac:dyDescent="0.25">
      <c r="C13" s="521" t="s">
        <v>454</v>
      </c>
      <c r="D13" s="522"/>
      <c r="E13" s="285" t="s">
        <v>282</v>
      </c>
    </row>
    <row r="14" spans="2:13" ht="15" x14ac:dyDescent="0.25">
      <c r="C14" s="523" t="s">
        <v>759</v>
      </c>
      <c r="D14" s="524">
        <v>198</v>
      </c>
      <c r="E14" s="113">
        <v>52</v>
      </c>
      <c r="I14" s="285" t="s">
        <v>760</v>
      </c>
    </row>
    <row r="15" spans="2:13" x14ac:dyDescent="0.2">
      <c r="C15" s="525" t="s">
        <v>761</v>
      </c>
      <c r="D15" s="526">
        <f>D14*45%</f>
        <v>89.100000000000009</v>
      </c>
      <c r="M15" t="s">
        <v>762</v>
      </c>
    </row>
    <row r="16" spans="2:13" ht="15" x14ac:dyDescent="0.25">
      <c r="C16" s="523" t="s">
        <v>763</v>
      </c>
      <c r="D16" s="526">
        <f>SUM(D14:D15)</f>
        <v>287.10000000000002</v>
      </c>
      <c r="I16" s="527" t="s">
        <v>437</v>
      </c>
      <c r="L16" s="527" t="s">
        <v>399</v>
      </c>
      <c r="M16" s="259">
        <v>52</v>
      </c>
    </row>
    <row r="17" spans="2:13" x14ac:dyDescent="0.2">
      <c r="C17" s="523" t="s">
        <v>764</v>
      </c>
      <c r="D17" s="526">
        <f>ROUNDUP(D16,0)</f>
        <v>288</v>
      </c>
      <c r="I17" s="72" t="s">
        <v>765</v>
      </c>
    </row>
    <row r="18" spans="2:13" x14ac:dyDescent="0.2">
      <c r="C18" s="523" t="s">
        <v>766</v>
      </c>
      <c r="D18" s="524">
        <v>2.4</v>
      </c>
      <c r="F18">
        <v>127</v>
      </c>
      <c r="I18" s="72"/>
      <c r="L18" s="259">
        <f>K39</f>
        <v>2.6080000000000001</v>
      </c>
    </row>
    <row r="19" spans="2:13" x14ac:dyDescent="0.2">
      <c r="C19" s="523"/>
      <c r="D19" s="528">
        <f>D17/D18</f>
        <v>120</v>
      </c>
      <c r="F19">
        <v>5</v>
      </c>
    </row>
    <row r="20" spans="2:13" x14ac:dyDescent="0.2">
      <c r="B20" t="s">
        <v>767</v>
      </c>
      <c r="C20" s="523" t="s">
        <v>764</v>
      </c>
      <c r="D20" s="526">
        <f>ROUNDUP(D19,0)</f>
        <v>120</v>
      </c>
    </row>
    <row r="21" spans="2:13" x14ac:dyDescent="0.2">
      <c r="C21" s="523"/>
      <c r="D21" s="522"/>
      <c r="I21" s="72" t="s">
        <v>761</v>
      </c>
      <c r="L21" s="529">
        <f>L18*1.15</f>
        <v>2.9992000000000001</v>
      </c>
      <c r="M21" t="s">
        <v>469</v>
      </c>
    </row>
    <row r="22" spans="2:13" ht="15" x14ac:dyDescent="0.2">
      <c r="C22" s="530" t="s">
        <v>768</v>
      </c>
      <c r="D22" s="522"/>
      <c r="L22" s="259">
        <f>SUM(L20:L21)</f>
        <v>2.9992000000000001</v>
      </c>
      <c r="M22" s="259">
        <f>L22+L26</f>
        <v>3.7991600000000001</v>
      </c>
    </row>
    <row r="23" spans="2:13" ht="15" x14ac:dyDescent="0.25">
      <c r="B23" s="72" t="s">
        <v>786</v>
      </c>
      <c r="C23" s="523" t="s">
        <v>769</v>
      </c>
      <c r="D23" s="531">
        <f>G9</f>
        <v>131.70320000000001</v>
      </c>
      <c r="I23" s="527" t="s">
        <v>439</v>
      </c>
      <c r="M23" t="s">
        <v>496</v>
      </c>
    </row>
    <row r="24" spans="2:13" x14ac:dyDescent="0.2">
      <c r="C24" s="523" t="s">
        <v>770</v>
      </c>
      <c r="D24" s="526">
        <f>D20</f>
        <v>120</v>
      </c>
      <c r="I24" t="s">
        <v>612</v>
      </c>
      <c r="J24">
        <v>4</v>
      </c>
      <c r="L24" s="529">
        <f>M16/J24</f>
        <v>13</v>
      </c>
      <c r="M24" s="259">
        <f>L24</f>
        <v>13</v>
      </c>
    </row>
    <row r="25" spans="2:13" x14ac:dyDescent="0.2">
      <c r="C25" s="523"/>
      <c r="D25" s="528">
        <f>D23*D24</f>
        <v>15804.384000000002</v>
      </c>
      <c r="L25" s="259">
        <f>SUM(L22:L24)</f>
        <v>15.9992</v>
      </c>
    </row>
    <row r="26" spans="2:13" ht="15" x14ac:dyDescent="0.25">
      <c r="C26" s="523" t="s">
        <v>771</v>
      </c>
      <c r="D26" s="526">
        <f>D14</f>
        <v>198</v>
      </c>
      <c r="I26" s="527" t="s">
        <v>420</v>
      </c>
      <c r="J26" s="379">
        <v>0.05</v>
      </c>
      <c r="L26" s="532">
        <f>SUM(L25*0.05)</f>
        <v>0.79996</v>
      </c>
    </row>
    <row r="27" spans="2:13" ht="15" x14ac:dyDescent="0.25">
      <c r="C27" s="523" t="s">
        <v>772</v>
      </c>
      <c r="D27" s="528">
        <f>D25/D26</f>
        <v>79.820121212121222</v>
      </c>
      <c r="L27" s="113">
        <f>SUM(L25:L26)</f>
        <v>16.799160000000001</v>
      </c>
      <c r="M27" t="s">
        <v>116</v>
      </c>
    </row>
    <row r="28" spans="2:13" x14ac:dyDescent="0.2">
      <c r="C28" s="523" t="s">
        <v>773</v>
      </c>
      <c r="D28" s="522"/>
      <c r="F28" s="72" t="s">
        <v>774</v>
      </c>
      <c r="J28" s="72" t="s">
        <v>775</v>
      </c>
      <c r="L28" s="533">
        <v>4</v>
      </c>
    </row>
    <row r="29" spans="2:13" x14ac:dyDescent="0.2">
      <c r="C29" s="534" t="s">
        <v>776</v>
      </c>
      <c r="L29" s="259">
        <f>SUM(L27:L28)</f>
        <v>20.799160000000001</v>
      </c>
    </row>
    <row r="30" spans="2:13" x14ac:dyDescent="0.2">
      <c r="C30" s="535"/>
      <c r="D30" s="528">
        <v>1.1499999999999999</v>
      </c>
    </row>
    <row r="31" spans="2:13" x14ac:dyDescent="0.2">
      <c r="C31" s="523" t="s">
        <v>777</v>
      </c>
      <c r="D31" s="522"/>
    </row>
    <row r="32" spans="2:13" x14ac:dyDescent="0.2">
      <c r="C32" s="525" t="s">
        <v>778</v>
      </c>
      <c r="F32" t="s">
        <v>779</v>
      </c>
    </row>
    <row r="33" spans="3:13" x14ac:dyDescent="0.2">
      <c r="C33" s="525" t="s">
        <v>780</v>
      </c>
    </row>
    <row r="34" spans="3:13" x14ac:dyDescent="0.2">
      <c r="C34" s="525" t="s">
        <v>781</v>
      </c>
    </row>
    <row r="35" spans="3:13" x14ac:dyDescent="0.2">
      <c r="C35" s="523"/>
      <c r="D35" s="259">
        <v>4.6900000000000004</v>
      </c>
      <c r="J35" s="72" t="s">
        <v>789</v>
      </c>
      <c r="K35" s="203">
        <v>19.100000000000001</v>
      </c>
    </row>
    <row r="36" spans="3:13" x14ac:dyDescent="0.2">
      <c r="C36" s="523"/>
      <c r="I36" s="216"/>
      <c r="J36" s="216" t="s">
        <v>787</v>
      </c>
      <c r="K36" s="519">
        <f>K35*1.04</f>
        <v>19.864000000000001</v>
      </c>
      <c r="L36" s="216"/>
      <c r="M36" s="216"/>
    </row>
    <row r="37" spans="3:13" x14ac:dyDescent="0.2">
      <c r="C37" s="536" t="s">
        <v>782</v>
      </c>
      <c r="D37" s="522"/>
      <c r="I37" s="215"/>
      <c r="J37" s="209" t="s">
        <v>370</v>
      </c>
      <c r="K37" s="541">
        <v>1</v>
      </c>
      <c r="L37" s="215"/>
      <c r="M37" s="215"/>
    </row>
    <row r="38" spans="3:13" x14ac:dyDescent="0.2">
      <c r="C38" s="537" t="s">
        <v>783</v>
      </c>
      <c r="D38" s="522"/>
      <c r="F38" t="s">
        <v>784</v>
      </c>
      <c r="K38" s="203">
        <f>SUM(K36:K37)</f>
        <v>20.864000000000001</v>
      </c>
    </row>
    <row r="39" spans="3:13" x14ac:dyDescent="0.2">
      <c r="C39" s="523"/>
      <c r="D39" s="526">
        <v>0.28999999999999998</v>
      </c>
      <c r="F39" s="538">
        <f>SUM(D27+D30+D39)</f>
        <v>81.260121212121234</v>
      </c>
      <c r="K39" s="203">
        <f>K38/8</f>
        <v>2.6080000000000001</v>
      </c>
    </row>
    <row r="40" spans="3:13" x14ac:dyDescent="0.2">
      <c r="C40" s="523"/>
      <c r="D40" s="526">
        <f>SUM(D27:D39)</f>
        <v>85.950121212121232</v>
      </c>
    </row>
    <row r="41" spans="3:13" x14ac:dyDescent="0.2">
      <c r="C41" s="521" t="s">
        <v>692</v>
      </c>
      <c r="D41" s="526"/>
    </row>
    <row r="42" spans="3:13" x14ac:dyDescent="0.2">
      <c r="C42" t="s">
        <v>785</v>
      </c>
    </row>
    <row r="43" spans="3:13" x14ac:dyDescent="0.2">
      <c r="C43" s="539">
        <v>1.25</v>
      </c>
      <c r="D43" s="526">
        <f>C43*E14</f>
        <v>65</v>
      </c>
    </row>
    <row r="44" spans="3:13" ht="15.75" thickBot="1" x14ac:dyDescent="0.3">
      <c r="D44" s="540">
        <f>SUM(D40:D43)</f>
        <v>150.95012121212125</v>
      </c>
      <c r="E44" t="s">
        <v>151</v>
      </c>
    </row>
    <row r="45" spans="3:13" ht="13.5" thickTop="1" x14ac:dyDescent="0.2"/>
    <row r="46" spans="3:13" x14ac:dyDescent="0.2">
      <c r="C46" t="s">
        <v>393</v>
      </c>
      <c r="D46" s="538">
        <f>F39</f>
        <v>81.260121212121234</v>
      </c>
      <c r="E46" t="s">
        <v>151</v>
      </c>
    </row>
    <row r="47" spans="3:13" x14ac:dyDescent="0.2">
      <c r="C47" t="s">
        <v>439</v>
      </c>
      <c r="D47" s="445">
        <f>D44-D46</f>
        <v>69.690000000000012</v>
      </c>
      <c r="E47" t="s">
        <v>151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9EDA-8BF5-4AF9-9723-5AA91CDFE969}">
  <sheetPr>
    <pageSetUpPr fitToPage="1"/>
  </sheetPr>
  <dimension ref="A1:V456"/>
  <sheetViews>
    <sheetView tabSelected="1" topLeftCell="A414" zoomScale="85" zoomScaleNormal="85" workbookViewId="0">
      <selection activeCell="I456" sqref="I456"/>
    </sheetView>
  </sheetViews>
  <sheetFormatPr defaultRowHeight="12.75" x14ac:dyDescent="0.2"/>
  <cols>
    <col min="1" max="1" width="4.85546875" style="14" customWidth="1"/>
    <col min="2" max="2" width="53.28515625" style="14" customWidth="1"/>
    <col min="3" max="3" width="23" style="14" customWidth="1"/>
    <col min="4" max="4" width="15.28515625" style="14" customWidth="1"/>
    <col min="5" max="5" width="9.85546875" style="14" customWidth="1"/>
    <col min="6" max="7" width="11.5703125" style="14" customWidth="1"/>
    <col min="8" max="8" width="15" style="14" customWidth="1"/>
    <col min="9" max="9" width="10.42578125" style="14" customWidth="1"/>
    <col min="10" max="11" width="12.5703125" style="14" bestFit="1" customWidth="1"/>
    <col min="12" max="12" width="11.5703125" style="14" customWidth="1"/>
    <col min="13" max="13" width="14.7109375" style="14" customWidth="1"/>
    <col min="14" max="14" width="11" style="92" customWidth="1"/>
    <col min="15" max="16" width="13.140625" style="14" customWidth="1"/>
    <col min="17" max="17" width="19.85546875" style="14" customWidth="1"/>
    <col min="18" max="18" width="16.42578125" style="14" customWidth="1"/>
    <col min="19" max="19" width="12.7109375" style="14" customWidth="1"/>
    <col min="20" max="20" width="10.85546875" style="14" customWidth="1"/>
    <col min="21" max="21" width="8.42578125" style="14" customWidth="1"/>
    <col min="22" max="16384" width="9.140625" style="14"/>
  </cols>
  <sheetData>
    <row r="1" spans="1:22" ht="15.75" x14ac:dyDescent="0.2">
      <c r="A1" s="13"/>
      <c r="B1" s="3" t="str">
        <f>Summary!B1</f>
        <v>Ceilings Unlimited</v>
      </c>
      <c r="C1" s="13"/>
      <c r="D1" s="13"/>
      <c r="E1" s="13"/>
      <c r="F1" s="13"/>
      <c r="G1" s="13"/>
      <c r="H1" s="13"/>
      <c r="I1" s="13"/>
      <c r="J1" s="13"/>
      <c r="K1" s="13"/>
      <c r="L1" s="13"/>
      <c r="M1" s="13"/>
    </row>
    <row r="2" spans="1:22" ht="15.75" x14ac:dyDescent="0.2">
      <c r="A2" s="13"/>
      <c r="B2" s="12" t="str">
        <f>Summary!B2</f>
        <v>Craigs Investment Partners - Fitout</v>
      </c>
      <c r="C2" s="13"/>
      <c r="D2" s="13"/>
      <c r="E2" s="13"/>
      <c r="F2" s="13"/>
      <c r="G2" s="13"/>
      <c r="H2" s="13"/>
      <c r="I2" s="13"/>
      <c r="J2" s="13"/>
      <c r="K2" s="13"/>
      <c r="L2" s="13"/>
      <c r="M2" s="13"/>
    </row>
    <row r="3" spans="1:22" ht="15.75" x14ac:dyDescent="0.2">
      <c r="A3" s="13"/>
      <c r="B3" s="12" t="str">
        <f>Summary!B3</f>
        <v>Tauranga</v>
      </c>
      <c r="C3" s="13"/>
      <c r="D3" s="13"/>
      <c r="E3" s="13"/>
      <c r="F3" s="13"/>
      <c r="G3" s="13"/>
      <c r="H3" s="13"/>
      <c r="I3" s="13"/>
      <c r="J3" s="13"/>
      <c r="K3" s="13"/>
      <c r="L3" s="13"/>
      <c r="M3" s="13"/>
    </row>
    <row r="4" spans="1:22" ht="15.75" x14ac:dyDescent="0.2">
      <c r="A4" s="13"/>
      <c r="B4" s="6"/>
      <c r="C4" s="13"/>
      <c r="D4" s="13"/>
      <c r="E4" s="13"/>
      <c r="F4" s="13"/>
      <c r="G4" s="13"/>
      <c r="H4" s="13"/>
      <c r="I4" s="13"/>
      <c r="J4" s="13"/>
      <c r="K4" s="13"/>
      <c r="L4" s="13"/>
      <c r="M4" s="13"/>
    </row>
    <row r="5" spans="1:22" ht="15.75" x14ac:dyDescent="0.2">
      <c r="A5" s="13"/>
      <c r="B5" s="6"/>
      <c r="C5" s="13"/>
      <c r="D5" s="13"/>
      <c r="E5" s="13"/>
      <c r="F5" s="13"/>
      <c r="G5" s="13"/>
      <c r="H5" s="13"/>
      <c r="I5" s="13"/>
      <c r="J5" s="13"/>
      <c r="K5" s="13"/>
      <c r="L5" s="13"/>
      <c r="M5" s="13"/>
    </row>
    <row r="6" spans="1:22" ht="15.75" x14ac:dyDescent="0.2">
      <c r="A6" s="13"/>
      <c r="B6" s="6">
        <f>Summary!B5</f>
        <v>46043</v>
      </c>
      <c r="C6" s="13"/>
      <c r="D6" s="13"/>
      <c r="E6" s="13"/>
      <c r="F6" s="13"/>
      <c r="G6" s="13"/>
      <c r="H6" s="13"/>
      <c r="I6" s="13"/>
      <c r="J6" s="13"/>
      <c r="K6" s="13"/>
      <c r="L6" s="13"/>
      <c r="M6" s="13"/>
    </row>
    <row r="7" spans="1:22" ht="15.75" x14ac:dyDescent="0.2">
      <c r="A7" s="13"/>
      <c r="B7" s="6"/>
      <c r="C7" s="13"/>
      <c r="D7" s="13"/>
      <c r="E7" s="13"/>
      <c r="F7" s="13"/>
      <c r="G7" s="13"/>
      <c r="H7" s="13"/>
      <c r="I7" s="13"/>
      <c r="J7" s="13"/>
      <c r="K7" s="13"/>
      <c r="L7" s="13"/>
      <c r="M7" s="551">
        <f>SUM(F22:F139)</f>
        <v>107.07750000000001</v>
      </c>
    </row>
    <row r="8" spans="1:22" ht="15.75" x14ac:dyDescent="0.2">
      <c r="A8" s="13"/>
      <c r="B8" s="140"/>
      <c r="C8" s="13"/>
      <c r="D8" s="13"/>
      <c r="E8" s="13"/>
      <c r="F8" s="13"/>
      <c r="G8" s="13"/>
      <c r="H8" s="13"/>
      <c r="I8" s="13"/>
      <c r="J8" s="13"/>
      <c r="K8" s="13"/>
      <c r="L8" s="13"/>
      <c r="M8" s="551">
        <f>SUM(F150:F248)</f>
        <v>96.8125</v>
      </c>
      <c r="R8" s="60">
        <f>SUM(R9:R11)</f>
        <v>103831</v>
      </c>
      <c r="S8" s="60">
        <f>SUM(S9:S11)</f>
        <v>780</v>
      </c>
      <c r="T8" s="60">
        <f>SUM(R8:S8)</f>
        <v>104611</v>
      </c>
    </row>
    <row r="9" spans="1:22" ht="32.25" customHeight="1" x14ac:dyDescent="0.2">
      <c r="A9" s="15"/>
      <c r="B9" s="55" t="str">
        <f>Summary!B133</f>
        <v>Potters Aluminium, Doors, Glazing and Skirting</v>
      </c>
      <c r="C9" s="16"/>
      <c r="D9" s="15"/>
      <c r="E9" s="15"/>
      <c r="F9" s="15"/>
      <c r="G9" s="15"/>
      <c r="H9" s="15"/>
      <c r="I9" s="15"/>
      <c r="J9" s="15"/>
      <c r="K9" s="15"/>
      <c r="L9" s="15"/>
      <c r="M9" s="17"/>
      <c r="N9" s="93"/>
      <c r="O9" s="53"/>
      <c r="P9" s="53"/>
      <c r="Q9" s="72" t="s">
        <v>278</v>
      </c>
      <c r="R9" s="60">
        <f>SUM(R22,R25,R28,R35,R42,R49,R57,R65,R70,R77,R84,R91,R99,R109,R119,R122,R129,R145)</f>
        <v>35602</v>
      </c>
      <c r="S9" s="60">
        <f>SUM(S22,S25,S28,S35,S42,S49,S57,S65,S70,S77,S84,S91,S99,S109,S119,S122,S129,S145)</f>
        <v>255</v>
      </c>
    </row>
    <row r="10" spans="1:22" ht="17.25" customHeight="1" x14ac:dyDescent="0.2">
      <c r="A10" s="15"/>
      <c r="B10" s="55"/>
      <c r="C10" s="16"/>
      <c r="D10" s="15"/>
      <c r="E10" s="15"/>
      <c r="F10" s="15"/>
      <c r="G10" s="15"/>
      <c r="H10" s="15"/>
      <c r="I10" s="15"/>
      <c r="J10" s="15"/>
      <c r="K10" s="15"/>
      <c r="L10" s="15"/>
      <c r="M10" s="17"/>
      <c r="N10" s="93"/>
      <c r="O10" s="53"/>
      <c r="P10" s="53"/>
      <c r="Q10" s="72" t="s">
        <v>279</v>
      </c>
      <c r="R10" s="60">
        <f>SUM(R150:R253)</f>
        <v>26445</v>
      </c>
      <c r="S10" s="60">
        <f>SUM(S150:S240)</f>
        <v>225</v>
      </c>
    </row>
    <row r="11" spans="1:22" x14ac:dyDescent="0.2">
      <c r="A11" s="19"/>
      <c r="B11" s="20"/>
      <c r="C11" s="15"/>
      <c r="D11" s="15"/>
      <c r="F11" s="18"/>
      <c r="G11" s="18"/>
      <c r="H11" s="66">
        <v>52</v>
      </c>
      <c r="I11" s="58"/>
      <c r="M11" s="17"/>
      <c r="N11" s="93"/>
      <c r="O11" s="53"/>
      <c r="P11" s="53"/>
      <c r="Q11" s="72" t="s">
        <v>280</v>
      </c>
      <c r="R11" s="60">
        <f>SUM(R265:R405)</f>
        <v>41784</v>
      </c>
      <c r="S11" s="60">
        <f>SUM(S265:S405)</f>
        <v>300</v>
      </c>
    </row>
    <row r="12" spans="1:22"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4"/>
      <c r="Q12" s="23"/>
      <c r="R12" s="189" t="s">
        <v>78</v>
      </c>
      <c r="S12" s="185" t="s">
        <v>79</v>
      </c>
      <c r="T12" s="185" t="s">
        <v>81</v>
      </c>
      <c r="U12" s="185" t="s">
        <v>82</v>
      </c>
      <c r="V12" s="185" t="s">
        <v>80</v>
      </c>
    </row>
    <row r="13" spans="1:22" s="72" customFormat="1" ht="29.25" customHeight="1" x14ac:dyDescent="0.2">
      <c r="A13" s="63"/>
      <c r="B13" s="121"/>
      <c r="C13" s="64"/>
      <c r="D13" s="75"/>
      <c r="E13" s="122"/>
      <c r="F13" s="123"/>
      <c r="G13" s="123"/>
      <c r="H13" s="123"/>
      <c r="I13" s="124"/>
      <c r="J13" s="122"/>
      <c r="K13" s="122"/>
      <c r="L13" s="125"/>
      <c r="M13" s="110"/>
      <c r="N13" s="126"/>
      <c r="O13" s="127"/>
      <c r="P13" s="235"/>
      <c r="U13" s="387">
        <v>1</v>
      </c>
    </row>
    <row r="14" spans="1:22" s="72" customFormat="1" ht="15" x14ac:dyDescent="0.2">
      <c r="A14" s="63"/>
      <c r="B14" s="176" t="s">
        <v>58</v>
      </c>
      <c r="C14" s="64"/>
      <c r="D14" s="75"/>
      <c r="E14" s="128"/>
      <c r="F14" s="129"/>
      <c r="G14" s="129"/>
      <c r="H14" s="129"/>
      <c r="I14" s="153"/>
      <c r="J14" s="128"/>
      <c r="K14" s="128"/>
      <c r="L14" s="128"/>
      <c r="M14" s="120"/>
      <c r="N14" s="126"/>
      <c r="O14" s="127"/>
      <c r="P14" s="235"/>
    </row>
    <row r="15" spans="1:22" s="72" customFormat="1" ht="15" x14ac:dyDescent="0.2">
      <c r="A15" s="63"/>
      <c r="B15" s="176"/>
      <c r="C15" s="64"/>
      <c r="D15" s="75"/>
      <c r="E15" s="128"/>
      <c r="F15" s="129"/>
      <c r="G15" s="129"/>
      <c r="H15" s="129"/>
      <c r="I15" s="153"/>
      <c r="J15" s="128"/>
      <c r="K15" s="128"/>
      <c r="L15" s="128"/>
      <c r="M15" s="120"/>
      <c r="N15" s="126"/>
      <c r="O15" s="127"/>
      <c r="P15" s="235"/>
    </row>
    <row r="16" spans="1:22" s="72" customFormat="1" ht="14.25" x14ac:dyDescent="0.2">
      <c r="A16" s="392"/>
      <c r="B16" s="143" t="s">
        <v>67</v>
      </c>
      <c r="C16" s="192" t="s">
        <v>794</v>
      </c>
      <c r="D16" s="75"/>
      <c r="E16" s="184"/>
      <c r="F16" s="134"/>
      <c r="G16" s="134"/>
      <c r="H16" s="135"/>
      <c r="I16" s="152"/>
      <c r="J16" s="135"/>
      <c r="K16" s="136"/>
      <c r="L16" s="135"/>
      <c r="M16" s="137"/>
      <c r="N16" s="144"/>
      <c r="O16" s="130"/>
      <c r="P16" s="236"/>
      <c r="Q16" s="159"/>
      <c r="R16" s="190"/>
      <c r="S16" s="191"/>
      <c r="T16" s="191"/>
      <c r="U16" s="191"/>
      <c r="V16" s="187">
        <f>SUM(R16:U16)</f>
        <v>0</v>
      </c>
    </row>
    <row r="17" spans="1:22" s="72" customFormat="1" ht="14.25" x14ac:dyDescent="0.2">
      <c r="A17" s="63"/>
      <c r="B17" s="143" t="s">
        <v>179</v>
      </c>
      <c r="C17" s="192" t="s">
        <v>794</v>
      </c>
      <c r="D17" s="75"/>
      <c r="E17" s="134"/>
      <c r="F17" s="134"/>
      <c r="G17" s="134"/>
      <c r="H17" s="135"/>
      <c r="I17" s="152"/>
      <c r="J17" s="135"/>
      <c r="K17" s="136"/>
      <c r="L17" s="135"/>
      <c r="M17" s="137"/>
      <c r="N17" s="144"/>
      <c r="O17" s="130"/>
      <c r="P17" s="236"/>
      <c r="Q17" s="159"/>
      <c r="R17" s="177"/>
      <c r="V17" s="187"/>
    </row>
    <row r="18" spans="1:22" s="72" customFormat="1" ht="14.25" x14ac:dyDescent="0.2">
      <c r="A18" s="63"/>
      <c r="C18" s="64"/>
      <c r="D18" s="75"/>
      <c r="E18" s="134"/>
      <c r="F18" s="134"/>
      <c r="G18" s="134"/>
      <c r="H18" s="135"/>
      <c r="I18" s="152"/>
      <c r="J18" s="135"/>
      <c r="K18" s="136"/>
      <c r="L18" s="135"/>
      <c r="M18" s="137"/>
      <c r="N18" s="144"/>
      <c r="O18" s="130"/>
      <c r="P18" s="236"/>
      <c r="Q18" s="159"/>
      <c r="R18" s="177"/>
      <c r="V18" s="187"/>
    </row>
    <row r="19" spans="1:22" s="72" customFormat="1" ht="14.25" x14ac:dyDescent="0.2">
      <c r="A19" s="63"/>
      <c r="B19" s="143" t="s">
        <v>68</v>
      </c>
      <c r="C19" s="192" t="s">
        <v>794</v>
      </c>
      <c r="D19" s="75"/>
      <c r="E19" s="184"/>
      <c r="F19" s="134"/>
      <c r="G19" s="134"/>
      <c r="H19" s="135"/>
      <c r="I19" s="152"/>
      <c r="J19" s="135"/>
      <c r="K19" s="136"/>
      <c r="L19" s="135"/>
      <c r="M19" s="137"/>
      <c r="N19" s="144"/>
      <c r="O19" s="130"/>
      <c r="P19" s="236"/>
      <c r="Q19" s="159"/>
      <c r="R19" s="190"/>
      <c r="S19" s="191"/>
      <c r="T19" s="191"/>
      <c r="U19" s="191"/>
      <c r="V19" s="187">
        <f>SUM(R19:U19)</f>
        <v>0</v>
      </c>
    </row>
    <row r="20" spans="1:22" s="72" customFormat="1" ht="14.25" x14ac:dyDescent="0.2">
      <c r="A20" s="63"/>
      <c r="B20" s="143" t="s">
        <v>179</v>
      </c>
      <c r="C20" s="192" t="s">
        <v>794</v>
      </c>
      <c r="D20" s="75"/>
      <c r="E20" s="134"/>
      <c r="F20" s="134"/>
      <c r="G20" s="134"/>
      <c r="H20" s="135"/>
      <c r="I20" s="152"/>
      <c r="J20" s="135"/>
      <c r="K20" s="136"/>
      <c r="L20" s="135"/>
      <c r="M20" s="137"/>
      <c r="N20" s="144"/>
      <c r="O20" s="130"/>
      <c r="P20" s="236"/>
      <c r="Q20" s="159"/>
      <c r="R20" s="177"/>
    </row>
    <row r="21" spans="1:22" s="72" customFormat="1" ht="14.25" x14ac:dyDescent="0.2">
      <c r="A21" s="63"/>
      <c r="B21" s="143"/>
      <c r="C21" s="64"/>
      <c r="D21" s="75"/>
      <c r="E21" s="134"/>
      <c r="F21" s="134"/>
      <c r="G21" s="134"/>
      <c r="H21" s="135"/>
      <c r="I21" s="152"/>
      <c r="J21" s="135"/>
      <c r="K21" s="136"/>
      <c r="L21" s="135"/>
      <c r="M21" s="137"/>
      <c r="N21" s="144"/>
      <c r="O21" s="130"/>
      <c r="P21" s="236"/>
      <c r="Q21" s="159"/>
      <c r="R21" s="177"/>
    </row>
    <row r="22" spans="1:22" s="72" customFormat="1" ht="25.5" x14ac:dyDescent="0.2">
      <c r="A22" s="63"/>
      <c r="B22" s="175" t="s">
        <v>71</v>
      </c>
      <c r="C22" s="64">
        <v>1</v>
      </c>
      <c r="D22" s="75" t="s">
        <v>75</v>
      </c>
      <c r="E22" s="134">
        <v>2</v>
      </c>
      <c r="F22" s="134">
        <f>C22*E22</f>
        <v>2</v>
      </c>
      <c r="G22" s="134">
        <f>$H$11*E22</f>
        <v>104</v>
      </c>
      <c r="H22" s="135">
        <f>F22*$H$11</f>
        <v>104</v>
      </c>
      <c r="I22" s="152">
        <f>V22</f>
        <v>1592</v>
      </c>
      <c r="J22" s="135">
        <f>C22*I22</f>
        <v>1592</v>
      </c>
      <c r="K22" s="136">
        <f>SUM(H22,J22)</f>
        <v>1696</v>
      </c>
      <c r="L22" s="135">
        <f>K22/C22</f>
        <v>1696</v>
      </c>
      <c r="M22" s="137">
        <f>C22*L22</f>
        <v>1696</v>
      </c>
      <c r="N22" s="144">
        <v>0</v>
      </c>
      <c r="O22" s="130">
        <f>M22*N22</f>
        <v>0</v>
      </c>
      <c r="P22" s="587"/>
      <c r="Q22" s="159"/>
      <c r="R22" s="388">
        <v>1525</v>
      </c>
      <c r="S22" s="388">
        <v>15</v>
      </c>
      <c r="T22" s="388"/>
      <c r="U22" s="388">
        <f>$H$11*$U$13</f>
        <v>52</v>
      </c>
      <c r="V22" s="389">
        <f>SUM(R22:U22)</f>
        <v>1592</v>
      </c>
    </row>
    <row r="23" spans="1:22" s="72" customFormat="1" ht="14.25" x14ac:dyDescent="0.2">
      <c r="A23" s="63"/>
      <c r="B23" s="143" t="s">
        <v>69</v>
      </c>
      <c r="C23" s="64"/>
      <c r="D23" s="75"/>
      <c r="E23" s="134"/>
      <c r="F23" s="134"/>
      <c r="G23" s="134"/>
      <c r="H23" s="135"/>
      <c r="I23" s="152"/>
      <c r="J23" s="135"/>
      <c r="K23" s="136"/>
      <c r="L23" s="135"/>
      <c r="M23" s="137"/>
      <c r="N23" s="144"/>
      <c r="O23" s="130"/>
      <c r="P23" s="236"/>
      <c r="Q23" s="159"/>
      <c r="R23" s="177"/>
    </row>
    <row r="24" spans="1:22" s="72" customFormat="1" ht="14.25" x14ac:dyDescent="0.2">
      <c r="A24" s="63"/>
      <c r="B24" s="143"/>
      <c r="C24" s="64"/>
      <c r="D24" s="75"/>
      <c r="E24" s="134"/>
      <c r="F24" s="134"/>
      <c r="G24" s="134"/>
      <c r="H24" s="135"/>
      <c r="I24" s="152"/>
      <c r="J24" s="135"/>
      <c r="K24" s="136"/>
      <c r="L24" s="135"/>
      <c r="M24" s="137"/>
      <c r="N24" s="144"/>
      <c r="O24" s="130"/>
      <c r="P24" s="236"/>
      <c r="Q24" s="159"/>
      <c r="R24" s="177"/>
    </row>
    <row r="25" spans="1:22" s="72" customFormat="1" ht="14.25" x14ac:dyDescent="0.2">
      <c r="A25" s="63"/>
      <c r="B25" s="143" t="s">
        <v>72</v>
      </c>
      <c r="C25" s="64">
        <v>1</v>
      </c>
      <c r="D25" s="75" t="s">
        <v>75</v>
      </c>
      <c r="E25" s="134">
        <v>3</v>
      </c>
      <c r="F25" s="134">
        <f>C25*E25</f>
        <v>3</v>
      </c>
      <c r="G25" s="134">
        <f>$H$11*E25</f>
        <v>156</v>
      </c>
      <c r="H25" s="135">
        <f>F25*$H$11</f>
        <v>156</v>
      </c>
      <c r="I25" s="152">
        <f>V25</f>
        <v>4332</v>
      </c>
      <c r="J25" s="135">
        <f>C25*I25</f>
        <v>4332</v>
      </c>
      <c r="K25" s="136">
        <f>SUM(H25,J25)</f>
        <v>4488</v>
      </c>
      <c r="L25" s="135">
        <f>K25/C25</f>
        <v>4488</v>
      </c>
      <c r="M25" s="137">
        <f>C25*L25</f>
        <v>4488</v>
      </c>
      <c r="N25" s="144">
        <v>0</v>
      </c>
      <c r="O25" s="130">
        <f>M25*N25</f>
        <v>0</v>
      </c>
      <c r="P25" s="236"/>
      <c r="Q25" s="159"/>
      <c r="R25" s="388">
        <v>4213</v>
      </c>
      <c r="S25" s="388">
        <v>15</v>
      </c>
      <c r="T25" s="388"/>
      <c r="U25" s="388">
        <v>104</v>
      </c>
      <c r="V25" s="389">
        <f>SUM(R25:U25)</f>
        <v>4332</v>
      </c>
    </row>
    <row r="26" spans="1:22" s="72" customFormat="1" ht="14.25" x14ac:dyDescent="0.2">
      <c r="A26" s="63"/>
      <c r="B26" s="143" t="s">
        <v>70</v>
      </c>
      <c r="C26" s="64"/>
      <c r="D26" s="75"/>
      <c r="E26" s="134"/>
      <c r="F26" s="134"/>
      <c r="G26" s="134"/>
      <c r="H26" s="135"/>
      <c r="I26" s="152"/>
      <c r="J26" s="135"/>
      <c r="K26" s="136"/>
      <c r="L26" s="135"/>
      <c r="M26" s="137"/>
      <c r="N26" s="144"/>
      <c r="O26" s="130"/>
      <c r="P26" s="236"/>
      <c r="Q26" s="159"/>
      <c r="R26" s="177"/>
    </row>
    <row r="27" spans="1:22" s="72" customFormat="1" ht="14.25" x14ac:dyDescent="0.2">
      <c r="A27" s="63"/>
      <c r="B27" s="143"/>
      <c r="C27" s="64"/>
      <c r="D27" s="75"/>
      <c r="E27" s="134"/>
      <c r="F27" s="134"/>
      <c r="G27" s="134"/>
      <c r="H27" s="135"/>
      <c r="I27" s="152"/>
      <c r="J27" s="135"/>
      <c r="K27" s="136"/>
      <c r="L27" s="135"/>
      <c r="M27" s="137"/>
      <c r="N27" s="144"/>
      <c r="O27" s="130"/>
      <c r="P27" s="236"/>
      <c r="Q27" s="159"/>
      <c r="R27" s="177"/>
    </row>
    <row r="28" spans="1:22" s="72" customFormat="1" ht="14.25" x14ac:dyDescent="0.2">
      <c r="A28" s="63"/>
      <c r="B28" s="143" t="s">
        <v>73</v>
      </c>
      <c r="C28" s="64">
        <v>1</v>
      </c>
      <c r="D28" s="75" t="s">
        <v>75</v>
      </c>
      <c r="E28" s="134">
        <v>2</v>
      </c>
      <c r="F28" s="134">
        <f>C28*E28</f>
        <v>2</v>
      </c>
      <c r="G28" s="134">
        <f>$H$11*E28</f>
        <v>104</v>
      </c>
      <c r="H28" s="135">
        <f>F28*$H$11</f>
        <v>104</v>
      </c>
      <c r="I28" s="152">
        <f>V28</f>
        <v>1592</v>
      </c>
      <c r="J28" s="135">
        <f>C28*I28</f>
        <v>1592</v>
      </c>
      <c r="K28" s="136">
        <f>SUM(H28,J28)</f>
        <v>1696</v>
      </c>
      <c r="L28" s="135">
        <f>K28/C28</f>
        <v>1696</v>
      </c>
      <c r="M28" s="137">
        <f>C28*L28</f>
        <v>1696</v>
      </c>
      <c r="N28" s="144">
        <v>0</v>
      </c>
      <c r="O28" s="130">
        <f>M28*N28</f>
        <v>0</v>
      </c>
      <c r="P28" s="587"/>
      <c r="Q28" s="159"/>
      <c r="R28" s="388">
        <v>1525</v>
      </c>
      <c r="S28" s="388">
        <v>15</v>
      </c>
      <c r="T28" s="388"/>
      <c r="U28" s="388">
        <f>$H$11*$U$13</f>
        <v>52</v>
      </c>
      <c r="V28" s="389">
        <f>SUM(R28:U28)</f>
        <v>1592</v>
      </c>
    </row>
    <row r="29" spans="1:22" s="72" customFormat="1" ht="14.25" x14ac:dyDescent="0.2">
      <c r="A29" s="63"/>
      <c r="B29" s="143" t="s">
        <v>69</v>
      </c>
      <c r="C29" s="64"/>
      <c r="D29" s="75"/>
      <c r="E29" s="134"/>
      <c r="F29" s="134"/>
      <c r="G29" s="134"/>
      <c r="H29" s="135"/>
      <c r="I29" s="152"/>
      <c r="J29" s="135"/>
      <c r="K29" s="136"/>
      <c r="L29" s="135"/>
      <c r="M29" s="137"/>
      <c r="N29" s="144"/>
      <c r="O29" s="130"/>
      <c r="P29" s="236"/>
      <c r="Q29" s="159"/>
      <c r="R29" s="177"/>
    </row>
    <row r="30" spans="1:22" s="72" customFormat="1" ht="14.25" x14ac:dyDescent="0.2">
      <c r="A30" s="63"/>
      <c r="B30" s="143" t="s">
        <v>534</v>
      </c>
      <c r="C30" s="64">
        <v>1</v>
      </c>
      <c r="D30" s="75" t="s">
        <v>75</v>
      </c>
      <c r="E30" s="184" t="s">
        <v>535</v>
      </c>
      <c r="F30" s="134"/>
      <c r="G30" s="134"/>
      <c r="H30" s="135"/>
      <c r="I30" s="152"/>
      <c r="J30" s="135"/>
      <c r="K30" s="136"/>
      <c r="L30" s="135"/>
      <c r="M30" s="137"/>
      <c r="N30" s="144"/>
      <c r="O30" s="130"/>
      <c r="P30" s="236"/>
      <c r="Q30" s="159"/>
      <c r="R30" s="177"/>
    </row>
    <row r="31" spans="1:22" s="72" customFormat="1" ht="7.5" customHeight="1" x14ac:dyDescent="0.2">
      <c r="A31" s="63"/>
      <c r="B31" s="143"/>
      <c r="C31" s="64"/>
      <c r="D31" s="75"/>
      <c r="E31" s="134"/>
      <c r="F31" s="134"/>
      <c r="G31" s="134"/>
      <c r="H31" s="135"/>
      <c r="I31" s="152"/>
      <c r="J31" s="135"/>
      <c r="K31" s="136"/>
      <c r="L31" s="135"/>
      <c r="M31" s="137"/>
      <c r="N31" s="144"/>
      <c r="O31" s="130"/>
      <c r="P31" s="236"/>
      <c r="Q31" s="159"/>
      <c r="R31" s="177"/>
    </row>
    <row r="32" spans="1:22" s="72" customFormat="1" ht="14.25" x14ac:dyDescent="0.2">
      <c r="A32" s="63"/>
      <c r="B32" s="121" t="s">
        <v>89</v>
      </c>
      <c r="C32" s="64">
        <v>1</v>
      </c>
      <c r="D32" s="75" t="s">
        <v>75</v>
      </c>
      <c r="E32" s="184" t="s">
        <v>76</v>
      </c>
      <c r="F32" s="134"/>
      <c r="G32" s="134"/>
      <c r="H32" s="135"/>
      <c r="I32" s="152"/>
      <c r="J32" s="135"/>
      <c r="K32" s="136"/>
      <c r="L32" s="135"/>
      <c r="M32" s="137"/>
      <c r="N32" s="144"/>
      <c r="O32" s="130"/>
      <c r="P32" s="236"/>
      <c r="Q32" s="159"/>
      <c r="R32" s="177"/>
    </row>
    <row r="33" spans="1:22" s="72" customFormat="1" ht="14.25" x14ac:dyDescent="0.2">
      <c r="A33" s="63"/>
      <c r="B33" s="143" t="s">
        <v>74</v>
      </c>
      <c r="C33" s="64">
        <v>1</v>
      </c>
      <c r="D33" s="75" t="s">
        <v>75</v>
      </c>
      <c r="E33" s="184" t="s">
        <v>77</v>
      </c>
      <c r="F33" s="134"/>
      <c r="G33" s="134"/>
      <c r="H33" s="135"/>
      <c r="I33" s="152"/>
      <c r="J33" s="135"/>
      <c r="K33" s="136"/>
      <c r="L33" s="135"/>
      <c r="M33" s="137"/>
      <c r="N33" s="144"/>
      <c r="O33" s="130"/>
      <c r="P33" s="236"/>
      <c r="Q33" s="159"/>
      <c r="R33" s="177"/>
    </row>
    <row r="34" spans="1:22" s="72" customFormat="1" ht="14.25" x14ac:dyDescent="0.2">
      <c r="A34" s="63"/>
      <c r="B34" s="143"/>
      <c r="C34" s="64"/>
      <c r="D34" s="75"/>
      <c r="E34" s="184"/>
      <c r="F34" s="134"/>
      <c r="G34" s="134"/>
      <c r="H34" s="135"/>
      <c r="I34" s="152"/>
      <c r="J34" s="135"/>
      <c r="K34" s="136"/>
      <c r="L34" s="135"/>
      <c r="M34" s="137"/>
      <c r="N34" s="144"/>
      <c r="O34" s="130"/>
      <c r="P34" s="236"/>
      <c r="Q34" s="159"/>
      <c r="R34" s="177"/>
    </row>
    <row r="35" spans="1:22" s="72" customFormat="1" ht="14.25" x14ac:dyDescent="0.2">
      <c r="A35" s="63"/>
      <c r="B35" s="143" t="s">
        <v>84</v>
      </c>
      <c r="C35" s="64">
        <v>1</v>
      </c>
      <c r="D35" s="75" t="s">
        <v>75</v>
      </c>
      <c r="E35" s="134">
        <v>2</v>
      </c>
      <c r="F35" s="134">
        <f>C35*E35</f>
        <v>2</v>
      </c>
      <c r="G35" s="134">
        <f>$H$11*E35</f>
        <v>104</v>
      </c>
      <c r="H35" s="135">
        <f>F35*$H$11</f>
        <v>104</v>
      </c>
      <c r="I35" s="152">
        <f>V35</f>
        <v>1592</v>
      </c>
      <c r="J35" s="135">
        <f>C35*I35</f>
        <v>1592</v>
      </c>
      <c r="K35" s="136">
        <f>SUM(H35,J35)</f>
        <v>1696</v>
      </c>
      <c r="L35" s="135">
        <f>K35/C35</f>
        <v>1696</v>
      </c>
      <c r="M35" s="137">
        <f>C35*L35</f>
        <v>1696</v>
      </c>
      <c r="N35" s="144">
        <v>0</v>
      </c>
      <c r="O35" s="130">
        <f>M35*N35</f>
        <v>0</v>
      </c>
      <c r="P35" s="587"/>
      <c r="Q35" s="159"/>
      <c r="R35" s="388">
        <v>1525</v>
      </c>
      <c r="S35" s="388">
        <v>15</v>
      </c>
      <c r="T35" s="388"/>
      <c r="U35" s="388">
        <f>$H$11*$U$13</f>
        <v>52</v>
      </c>
      <c r="V35" s="389">
        <f>SUM(R35:U35)</f>
        <v>1592</v>
      </c>
    </row>
    <row r="36" spans="1:22" s="72" customFormat="1" ht="14.25" x14ac:dyDescent="0.2">
      <c r="A36" s="63"/>
      <c r="B36" s="143" t="s">
        <v>69</v>
      </c>
      <c r="C36" s="64"/>
      <c r="D36" s="75"/>
      <c r="E36" s="134"/>
      <c r="F36" s="134"/>
      <c r="G36" s="134"/>
      <c r="H36" s="135"/>
      <c r="I36" s="152"/>
      <c r="J36" s="135"/>
      <c r="K36" s="136"/>
      <c r="L36" s="135"/>
      <c r="M36" s="137"/>
      <c r="N36" s="144"/>
      <c r="O36" s="130"/>
      <c r="P36" s="236"/>
      <c r="Q36" s="159"/>
      <c r="R36" s="177"/>
    </row>
    <row r="37" spans="1:22" s="72" customFormat="1" ht="14.25" x14ac:dyDescent="0.2">
      <c r="A37" s="63"/>
      <c r="B37" s="316" t="s">
        <v>534</v>
      </c>
      <c r="C37" s="64">
        <v>1</v>
      </c>
      <c r="D37" s="75" t="s">
        <v>75</v>
      </c>
      <c r="E37" s="134">
        <v>1</v>
      </c>
      <c r="F37" s="134">
        <f>C37*E37</f>
        <v>1</v>
      </c>
      <c r="G37" s="134">
        <f>$H$11*E37</f>
        <v>52</v>
      </c>
      <c r="H37" s="135">
        <f>F37*$H$11</f>
        <v>52</v>
      </c>
      <c r="I37" s="229">
        <v>125</v>
      </c>
      <c r="J37" s="135">
        <f>C37*I37</f>
        <v>125</v>
      </c>
      <c r="K37" s="136">
        <f>SUM(H37,J37)</f>
        <v>177</v>
      </c>
      <c r="L37" s="135">
        <f>K37/C37</f>
        <v>177</v>
      </c>
      <c r="M37" s="137">
        <f>C37*L37</f>
        <v>177</v>
      </c>
      <c r="N37" s="144">
        <v>0</v>
      </c>
      <c r="O37" s="130">
        <f>M37*N37</f>
        <v>0</v>
      </c>
      <c r="P37" s="236"/>
      <c r="Q37" s="159"/>
      <c r="R37" s="177"/>
    </row>
    <row r="38" spans="1:22" s="72" customFormat="1" ht="7.5" customHeight="1" x14ac:dyDescent="0.2">
      <c r="A38" s="63"/>
      <c r="B38" s="143"/>
      <c r="C38" s="64"/>
      <c r="D38" s="75"/>
      <c r="E38" s="134"/>
      <c r="F38" s="134"/>
      <c r="G38" s="134"/>
      <c r="H38" s="135"/>
      <c r="I38" s="152"/>
      <c r="J38" s="135"/>
      <c r="K38" s="136"/>
      <c r="L38" s="135"/>
      <c r="M38" s="137"/>
      <c r="N38" s="144"/>
      <c r="O38" s="130"/>
      <c r="P38" s="236"/>
      <c r="Q38" s="159"/>
      <c r="R38" s="177"/>
    </row>
    <row r="39" spans="1:22" s="72" customFormat="1" ht="14.25" x14ac:dyDescent="0.2">
      <c r="A39" s="63"/>
      <c r="B39" s="121" t="s">
        <v>88</v>
      </c>
      <c r="C39" s="64">
        <v>1</v>
      </c>
      <c r="D39" s="75" t="s">
        <v>75</v>
      </c>
      <c r="E39" s="184" t="s">
        <v>76</v>
      </c>
      <c r="F39" s="134"/>
      <c r="G39" s="134"/>
      <c r="H39" s="135"/>
      <c r="I39" s="152"/>
      <c r="J39" s="135"/>
      <c r="K39" s="136"/>
      <c r="L39" s="135"/>
      <c r="M39" s="137"/>
      <c r="N39" s="144"/>
      <c r="O39" s="130"/>
      <c r="P39" s="236"/>
      <c r="Q39" s="159"/>
      <c r="R39" s="177"/>
    </row>
    <row r="40" spans="1:22" s="72" customFormat="1" ht="14.25" x14ac:dyDescent="0.2">
      <c r="A40" s="63"/>
      <c r="B40" s="143" t="s">
        <v>74</v>
      </c>
      <c r="C40" s="64">
        <v>1</v>
      </c>
      <c r="D40" s="75" t="s">
        <v>75</v>
      </c>
      <c r="E40" s="184" t="s">
        <v>77</v>
      </c>
      <c r="F40" s="134"/>
      <c r="G40" s="134"/>
      <c r="H40" s="135"/>
      <c r="I40" s="152"/>
      <c r="J40" s="135"/>
      <c r="K40" s="136"/>
      <c r="L40" s="135"/>
      <c r="M40" s="137"/>
      <c r="N40" s="144"/>
      <c r="O40" s="130"/>
      <c r="P40" s="236"/>
      <c r="Q40" s="159"/>
      <c r="R40" s="177"/>
    </row>
    <row r="41" spans="1:22" s="72" customFormat="1" ht="14.25" x14ac:dyDescent="0.2">
      <c r="A41" s="63"/>
      <c r="B41" s="143"/>
      <c r="C41" s="64"/>
      <c r="D41" s="75"/>
      <c r="E41" s="184"/>
      <c r="F41" s="134"/>
      <c r="G41" s="134"/>
      <c r="H41" s="135"/>
      <c r="I41" s="152"/>
      <c r="J41" s="135"/>
      <c r="K41" s="136"/>
      <c r="L41" s="135"/>
      <c r="M41" s="137"/>
      <c r="N41" s="144"/>
      <c r="O41" s="130"/>
      <c r="P41" s="236"/>
      <c r="Q41" s="159"/>
      <c r="R41" s="177"/>
    </row>
    <row r="42" spans="1:22" s="72" customFormat="1" ht="14.25" x14ac:dyDescent="0.2">
      <c r="A42" s="63"/>
      <c r="B42" s="143" t="s">
        <v>85</v>
      </c>
      <c r="C42" s="64">
        <v>1</v>
      </c>
      <c r="D42" s="75" t="s">
        <v>75</v>
      </c>
      <c r="E42" s="134">
        <v>2</v>
      </c>
      <c r="F42" s="134">
        <f>C42*E42</f>
        <v>2</v>
      </c>
      <c r="G42" s="134">
        <f>$H$11*E42</f>
        <v>104</v>
      </c>
      <c r="H42" s="135">
        <f>F42*$H$11</f>
        <v>104</v>
      </c>
      <c r="I42" s="152">
        <f>V42</f>
        <v>1592</v>
      </c>
      <c r="J42" s="135">
        <f>C42*I42</f>
        <v>1592</v>
      </c>
      <c r="K42" s="136">
        <f>SUM(H42,J42)</f>
        <v>1696</v>
      </c>
      <c r="L42" s="135">
        <f>K42/C42</f>
        <v>1696</v>
      </c>
      <c r="M42" s="137">
        <f>C42*L42</f>
        <v>1696</v>
      </c>
      <c r="N42" s="144">
        <v>0</v>
      </c>
      <c r="O42" s="130">
        <f>M42*N42</f>
        <v>0</v>
      </c>
      <c r="P42" s="587"/>
      <c r="Q42" s="159"/>
      <c r="R42" s="388">
        <v>1525</v>
      </c>
      <c r="S42" s="388">
        <v>15</v>
      </c>
      <c r="T42" s="388"/>
      <c r="U42" s="388">
        <f>$H$11*$U$13</f>
        <v>52</v>
      </c>
      <c r="V42" s="389">
        <f>SUM(R42:U42)</f>
        <v>1592</v>
      </c>
    </row>
    <row r="43" spans="1:22" s="72" customFormat="1" ht="14.25" x14ac:dyDescent="0.2">
      <c r="A43" s="63"/>
      <c r="B43" s="143" t="s">
        <v>69</v>
      </c>
      <c r="C43" s="64"/>
      <c r="D43" s="75"/>
      <c r="E43" s="134"/>
      <c r="F43" s="134"/>
      <c r="G43" s="134"/>
      <c r="H43" s="135"/>
      <c r="I43" s="152"/>
      <c r="J43" s="135"/>
      <c r="K43" s="136"/>
      <c r="L43" s="135"/>
      <c r="M43" s="137"/>
      <c r="N43" s="144"/>
      <c r="O43" s="130"/>
      <c r="P43" s="236"/>
      <c r="Q43" s="159"/>
      <c r="R43" s="177"/>
    </row>
    <row r="44" spans="1:22" s="72" customFormat="1" ht="14.25" x14ac:dyDescent="0.2">
      <c r="A44" s="63"/>
      <c r="B44" s="316" t="s">
        <v>534</v>
      </c>
      <c r="C44" s="64">
        <v>1</v>
      </c>
      <c r="D44" s="75" t="s">
        <v>75</v>
      </c>
      <c r="E44" s="134">
        <v>1</v>
      </c>
      <c r="F44" s="134">
        <f>C44*E44</f>
        <v>1</v>
      </c>
      <c r="G44" s="134">
        <f>$H$11*E44</f>
        <v>52</v>
      </c>
      <c r="H44" s="135">
        <f>F44*$H$11</f>
        <v>52</v>
      </c>
      <c r="I44" s="229">
        <v>125</v>
      </c>
      <c r="J44" s="135">
        <f>C44*I44</f>
        <v>125</v>
      </c>
      <c r="K44" s="136">
        <f>SUM(H44,J44)</f>
        <v>177</v>
      </c>
      <c r="L44" s="135">
        <f>K44/C44</f>
        <v>177</v>
      </c>
      <c r="M44" s="137">
        <f>C44*L44</f>
        <v>177</v>
      </c>
      <c r="N44" s="144">
        <v>0</v>
      </c>
      <c r="O44" s="130">
        <f>M44*N44</f>
        <v>0</v>
      </c>
      <c r="P44" s="236"/>
      <c r="Q44" s="159"/>
      <c r="R44" s="177"/>
    </row>
    <row r="45" spans="1:22" s="72" customFormat="1" ht="9" customHeight="1" x14ac:dyDescent="0.2">
      <c r="A45" s="63"/>
      <c r="B45" s="143"/>
      <c r="C45" s="64"/>
      <c r="D45" s="75"/>
      <c r="E45" s="134"/>
      <c r="F45" s="134"/>
      <c r="G45" s="134"/>
      <c r="H45" s="135"/>
      <c r="I45" s="152"/>
      <c r="J45" s="135"/>
      <c r="K45" s="136"/>
      <c r="L45" s="135"/>
      <c r="M45" s="137"/>
      <c r="N45" s="144"/>
      <c r="O45" s="130"/>
      <c r="P45" s="236"/>
      <c r="Q45" s="159"/>
      <c r="R45" s="177"/>
    </row>
    <row r="46" spans="1:22" s="72" customFormat="1" ht="14.25" x14ac:dyDescent="0.2">
      <c r="A46" s="63"/>
      <c r="B46" s="121" t="s">
        <v>87</v>
      </c>
      <c r="C46" s="64">
        <v>1</v>
      </c>
      <c r="D46" s="75" t="s">
        <v>75</v>
      </c>
      <c r="E46" s="184" t="s">
        <v>76</v>
      </c>
      <c r="F46" s="134"/>
      <c r="G46" s="134"/>
      <c r="H46" s="135"/>
      <c r="I46" s="152"/>
      <c r="J46" s="135"/>
      <c r="K46" s="136"/>
      <c r="L46" s="135"/>
      <c r="M46" s="137"/>
      <c r="N46" s="144"/>
      <c r="O46" s="130"/>
      <c r="P46" s="236"/>
      <c r="Q46" s="159"/>
      <c r="R46" s="177"/>
    </row>
    <row r="47" spans="1:22" s="72" customFormat="1" ht="14.25" x14ac:dyDescent="0.2">
      <c r="A47" s="63"/>
      <c r="B47" s="143" t="s">
        <v>74</v>
      </c>
      <c r="C47" s="64">
        <v>1</v>
      </c>
      <c r="D47" s="75" t="s">
        <v>75</v>
      </c>
      <c r="E47" s="184" t="s">
        <v>77</v>
      </c>
      <c r="F47" s="134"/>
      <c r="G47" s="134"/>
      <c r="H47" s="135"/>
      <c r="I47" s="152"/>
      <c r="J47" s="135"/>
      <c r="K47" s="136"/>
      <c r="L47" s="135"/>
      <c r="M47" s="137"/>
      <c r="N47" s="144"/>
      <c r="O47" s="130"/>
      <c r="P47" s="236"/>
      <c r="Q47" s="159"/>
      <c r="R47" s="177"/>
    </row>
    <row r="48" spans="1:22" s="72" customFormat="1" ht="14.25" x14ac:dyDescent="0.2">
      <c r="A48" s="63"/>
      <c r="B48" s="143"/>
      <c r="C48" s="64"/>
      <c r="D48" s="75"/>
      <c r="E48" s="184"/>
      <c r="F48" s="134"/>
      <c r="G48" s="134"/>
      <c r="H48" s="135"/>
      <c r="I48" s="152"/>
      <c r="J48" s="135"/>
      <c r="K48" s="136"/>
      <c r="L48" s="135"/>
      <c r="M48" s="137"/>
      <c r="N48" s="144"/>
      <c r="O48" s="130"/>
      <c r="P48" s="236"/>
      <c r="Q48" s="159"/>
      <c r="R48" s="177"/>
    </row>
    <row r="49" spans="1:22" s="72" customFormat="1" ht="25.5" x14ac:dyDescent="0.2">
      <c r="A49" s="63"/>
      <c r="B49" s="175" t="s">
        <v>86</v>
      </c>
      <c r="C49" s="64">
        <v>1</v>
      </c>
      <c r="D49" s="75" t="s">
        <v>75</v>
      </c>
      <c r="E49" s="134">
        <v>2.5</v>
      </c>
      <c r="F49" s="134">
        <f>C49*E49</f>
        <v>2.5</v>
      </c>
      <c r="G49" s="134">
        <f>$H$11*E49</f>
        <v>130</v>
      </c>
      <c r="H49" s="135">
        <f>F49*$H$11</f>
        <v>130</v>
      </c>
      <c r="I49" s="152">
        <f>V49</f>
        <v>3092</v>
      </c>
      <c r="J49" s="135">
        <f>C49*I49</f>
        <v>3092</v>
      </c>
      <c r="K49" s="136">
        <f>SUM(H49,J49)</f>
        <v>3222</v>
      </c>
      <c r="L49" s="135">
        <f>K49/C49</f>
        <v>3222</v>
      </c>
      <c r="M49" s="137">
        <f>C49*L49</f>
        <v>3222</v>
      </c>
      <c r="N49" s="144">
        <v>0</v>
      </c>
      <c r="O49" s="130">
        <f>M49*N49</f>
        <v>0</v>
      </c>
      <c r="P49" s="236"/>
      <c r="Q49" s="159"/>
      <c r="R49" s="388">
        <v>2973</v>
      </c>
      <c r="S49" s="388">
        <v>15</v>
      </c>
      <c r="T49" s="388"/>
      <c r="U49" s="388">
        <v>104</v>
      </c>
      <c r="V49" s="389">
        <f>SUM(R49:U49)</f>
        <v>3092</v>
      </c>
    </row>
    <row r="50" spans="1:22" s="72" customFormat="1" ht="14.25" x14ac:dyDescent="0.2">
      <c r="A50" s="63"/>
      <c r="B50" s="143" t="s">
        <v>69</v>
      </c>
      <c r="C50" s="64"/>
      <c r="D50" s="75"/>
      <c r="E50" s="184"/>
      <c r="F50" s="134"/>
      <c r="G50" s="134"/>
      <c r="H50" s="135"/>
      <c r="I50" s="152"/>
      <c r="J50" s="135"/>
      <c r="K50" s="136"/>
      <c r="L50" s="135"/>
      <c r="M50" s="137"/>
      <c r="N50" s="144"/>
      <c r="O50" s="130"/>
      <c r="P50" s="236"/>
      <c r="Q50" s="159"/>
      <c r="R50" s="177"/>
    </row>
    <row r="51" spans="1:22" s="72" customFormat="1" ht="14.25" x14ac:dyDescent="0.2">
      <c r="A51" s="63"/>
      <c r="B51" s="143" t="s">
        <v>551</v>
      </c>
      <c r="C51" s="64">
        <v>1</v>
      </c>
      <c r="D51" s="75" t="s">
        <v>75</v>
      </c>
      <c r="E51" s="184" t="s">
        <v>76</v>
      </c>
      <c r="F51" s="134"/>
      <c r="G51" s="134"/>
      <c r="H51" s="135"/>
      <c r="I51" s="152"/>
      <c r="J51" s="135"/>
      <c r="K51" s="136"/>
      <c r="L51" s="135"/>
      <c r="M51" s="137"/>
      <c r="N51" s="144"/>
      <c r="O51" s="130"/>
      <c r="P51" s="236"/>
      <c r="Q51" s="159"/>
      <c r="R51" s="177"/>
    </row>
    <row r="52" spans="1:22" s="72" customFormat="1" ht="14.25" x14ac:dyDescent="0.2">
      <c r="A52" s="63"/>
      <c r="B52" s="316" t="s">
        <v>83</v>
      </c>
      <c r="C52" s="64">
        <v>1</v>
      </c>
      <c r="D52" s="75" t="s">
        <v>75</v>
      </c>
      <c r="E52" s="134">
        <v>1</v>
      </c>
      <c r="F52" s="134">
        <f>C52*E52</f>
        <v>1</v>
      </c>
      <c r="G52" s="134">
        <f>$H$11*E52</f>
        <v>52</v>
      </c>
      <c r="H52" s="135">
        <f>F52*$H$11</f>
        <v>52</v>
      </c>
      <c r="I52" s="229">
        <v>125</v>
      </c>
      <c r="J52" s="135">
        <f>C52*I52</f>
        <v>125</v>
      </c>
      <c r="K52" s="136">
        <f>SUM(H52,J52)</f>
        <v>177</v>
      </c>
      <c r="L52" s="135">
        <f>K52/C52</f>
        <v>177</v>
      </c>
      <c r="M52" s="137">
        <f>C52*L52</f>
        <v>177</v>
      </c>
      <c r="N52" s="144">
        <v>0</v>
      </c>
      <c r="O52" s="130">
        <f>M52*N52</f>
        <v>0</v>
      </c>
      <c r="P52" s="236"/>
      <c r="Q52" s="159"/>
      <c r="R52" s="177"/>
    </row>
    <row r="53" spans="1:22" s="72" customFormat="1" ht="6" customHeight="1" x14ac:dyDescent="0.2">
      <c r="A53" s="63"/>
      <c r="B53" s="143"/>
      <c r="C53" s="64"/>
      <c r="D53" s="75"/>
      <c r="E53" s="184"/>
      <c r="F53" s="134"/>
      <c r="G53" s="134"/>
      <c r="H53" s="135"/>
      <c r="I53" s="152"/>
      <c r="J53" s="135"/>
      <c r="K53" s="136"/>
      <c r="L53" s="135"/>
      <c r="M53" s="137"/>
      <c r="N53" s="144"/>
      <c r="O53" s="130"/>
      <c r="P53" s="236"/>
      <c r="Q53" s="159"/>
      <c r="R53" s="177"/>
    </row>
    <row r="54" spans="1:22" s="72" customFormat="1" ht="14.25" x14ac:dyDescent="0.2">
      <c r="A54" s="63"/>
      <c r="B54" s="121" t="s">
        <v>90</v>
      </c>
      <c r="C54" s="64">
        <v>1</v>
      </c>
      <c r="D54" s="75" t="s">
        <v>75</v>
      </c>
      <c r="E54" s="184" t="s">
        <v>76</v>
      </c>
      <c r="F54" s="134"/>
      <c r="G54" s="134"/>
      <c r="H54" s="135"/>
      <c r="I54" s="152"/>
      <c r="J54" s="135"/>
      <c r="K54" s="136"/>
      <c r="L54" s="135"/>
      <c r="M54" s="137"/>
      <c r="N54" s="144"/>
      <c r="O54" s="130"/>
      <c r="P54" s="236"/>
      <c r="Q54" s="159"/>
      <c r="R54" s="177"/>
    </row>
    <row r="55" spans="1:22" s="72" customFormat="1" ht="14.25" x14ac:dyDescent="0.2">
      <c r="A55" s="63"/>
      <c r="B55" s="143" t="s">
        <v>74</v>
      </c>
      <c r="C55" s="64">
        <v>1</v>
      </c>
      <c r="D55" s="75" t="s">
        <v>75</v>
      </c>
      <c r="E55" s="184" t="s">
        <v>77</v>
      </c>
      <c r="F55" s="134"/>
      <c r="G55" s="134"/>
      <c r="H55" s="135"/>
      <c r="I55" s="152"/>
      <c r="J55" s="135"/>
      <c r="K55" s="136"/>
      <c r="L55" s="135"/>
      <c r="M55" s="137"/>
      <c r="N55" s="144"/>
      <c r="O55" s="130"/>
      <c r="P55" s="236"/>
      <c r="Q55" s="159"/>
      <c r="R55" s="177"/>
    </row>
    <row r="56" spans="1:22" s="72" customFormat="1" ht="14.25" x14ac:dyDescent="0.2">
      <c r="A56" s="63"/>
      <c r="B56" s="143"/>
      <c r="C56" s="64"/>
      <c r="D56" s="75"/>
      <c r="E56" s="184"/>
      <c r="F56" s="134"/>
      <c r="G56" s="134"/>
      <c r="H56" s="135"/>
      <c r="I56" s="152"/>
      <c r="J56" s="135"/>
      <c r="K56" s="136"/>
      <c r="L56" s="135"/>
      <c r="M56" s="137"/>
      <c r="N56" s="144"/>
      <c r="O56" s="130"/>
      <c r="P56" s="236"/>
      <c r="Q56" s="159"/>
      <c r="R56" s="177"/>
    </row>
    <row r="57" spans="1:22" s="72" customFormat="1" ht="25.5" x14ac:dyDescent="0.2">
      <c r="A57" s="63"/>
      <c r="B57" s="175" t="s">
        <v>91</v>
      </c>
      <c r="C57" s="64">
        <v>1</v>
      </c>
      <c r="D57" s="75" t="s">
        <v>75</v>
      </c>
      <c r="E57" s="134">
        <v>2.5</v>
      </c>
      <c r="F57" s="134">
        <f>C57*E57</f>
        <v>2.5</v>
      </c>
      <c r="G57" s="134">
        <f>$H$11*E57</f>
        <v>130</v>
      </c>
      <c r="H57" s="135">
        <f>F57*$H$11</f>
        <v>130</v>
      </c>
      <c r="I57" s="152">
        <f>V57</f>
        <v>3092</v>
      </c>
      <c r="J57" s="135">
        <f>C57*I57</f>
        <v>3092</v>
      </c>
      <c r="K57" s="136">
        <f>SUM(H57,J57)</f>
        <v>3222</v>
      </c>
      <c r="L57" s="135">
        <f>K57/C57</f>
        <v>3222</v>
      </c>
      <c r="M57" s="137">
        <f>C57*L57</f>
        <v>3222</v>
      </c>
      <c r="N57" s="144">
        <v>0</v>
      </c>
      <c r="O57" s="130">
        <f>M57*N57</f>
        <v>0</v>
      </c>
      <c r="P57" s="236"/>
      <c r="Q57" s="159"/>
      <c r="R57" s="388">
        <v>2973</v>
      </c>
      <c r="S57" s="388">
        <v>15</v>
      </c>
      <c r="T57" s="388"/>
      <c r="U57" s="388">
        <v>104</v>
      </c>
      <c r="V57" s="389">
        <f>SUM(R57:U57)</f>
        <v>3092</v>
      </c>
    </row>
    <row r="58" spans="1:22" s="72" customFormat="1" ht="14.25" x14ac:dyDescent="0.2">
      <c r="A58" s="63"/>
      <c r="B58" s="143" t="s">
        <v>551</v>
      </c>
      <c r="C58" s="64">
        <v>1</v>
      </c>
      <c r="D58" s="75" t="s">
        <v>75</v>
      </c>
      <c r="E58" s="184" t="s">
        <v>76</v>
      </c>
      <c r="F58" s="134"/>
      <c r="G58" s="134"/>
      <c r="H58" s="135"/>
      <c r="I58" s="152"/>
      <c r="J58" s="135"/>
      <c r="K58" s="136"/>
      <c r="L58" s="135"/>
      <c r="M58" s="137"/>
      <c r="N58" s="144"/>
      <c r="O58" s="130"/>
      <c r="P58" s="236"/>
      <c r="Q58" s="159"/>
      <c r="R58" s="388"/>
      <c r="S58" s="388"/>
      <c r="T58" s="388"/>
      <c r="U58" s="388"/>
      <c r="V58" s="389"/>
    </row>
    <row r="59" spans="1:22" s="72" customFormat="1" ht="14.25" x14ac:dyDescent="0.2">
      <c r="A59" s="63"/>
      <c r="B59" s="143" t="s">
        <v>69</v>
      </c>
      <c r="C59" s="64"/>
      <c r="D59" s="75"/>
      <c r="E59" s="184"/>
      <c r="F59" s="134"/>
      <c r="G59" s="134"/>
      <c r="H59" s="135"/>
      <c r="I59" s="152"/>
      <c r="J59" s="135"/>
      <c r="K59" s="136"/>
      <c r="L59" s="135"/>
      <c r="M59" s="137"/>
      <c r="N59" s="144"/>
      <c r="O59" s="130"/>
      <c r="P59" s="236"/>
      <c r="Q59" s="159"/>
      <c r="R59" s="177"/>
    </row>
    <row r="60" spans="1:22" s="72" customFormat="1" ht="14.25" x14ac:dyDescent="0.2">
      <c r="A60" s="63"/>
      <c r="B60" s="316" t="s">
        <v>83</v>
      </c>
      <c r="C60" s="64">
        <v>1</v>
      </c>
      <c r="D60" s="75" t="s">
        <v>75</v>
      </c>
      <c r="E60" s="134">
        <v>1</v>
      </c>
      <c r="F60" s="134">
        <f>C60*E60</f>
        <v>1</v>
      </c>
      <c r="G60" s="134">
        <f>$H$11*E60</f>
        <v>52</v>
      </c>
      <c r="H60" s="135">
        <f>F60*$H$11</f>
        <v>52</v>
      </c>
      <c r="I60" s="229">
        <v>125</v>
      </c>
      <c r="J60" s="135">
        <f>C60*I60</f>
        <v>125</v>
      </c>
      <c r="K60" s="136">
        <f>SUM(H60,J60)</f>
        <v>177</v>
      </c>
      <c r="L60" s="135">
        <f>K60/C60</f>
        <v>177</v>
      </c>
      <c r="M60" s="137">
        <f>C60*L60</f>
        <v>177</v>
      </c>
      <c r="N60" s="144">
        <v>0</v>
      </c>
      <c r="O60" s="130">
        <f>M60*N60</f>
        <v>0</v>
      </c>
      <c r="P60" s="236"/>
      <c r="Q60" s="159"/>
      <c r="R60" s="177"/>
    </row>
    <row r="61" spans="1:22" s="72" customFormat="1" ht="7.5" customHeight="1" x14ac:dyDescent="0.2">
      <c r="A61" s="63"/>
      <c r="B61" s="143"/>
      <c r="C61" s="64"/>
      <c r="D61" s="75"/>
      <c r="E61" s="184"/>
      <c r="F61" s="134"/>
      <c r="G61" s="134"/>
      <c r="H61" s="135"/>
      <c r="I61" s="152"/>
      <c r="J61" s="135"/>
      <c r="K61" s="136"/>
      <c r="L61" s="135"/>
      <c r="M61" s="137"/>
      <c r="N61" s="144"/>
      <c r="O61" s="130"/>
      <c r="P61" s="236"/>
      <c r="Q61" s="159"/>
      <c r="R61" s="177"/>
    </row>
    <row r="62" spans="1:22" s="72" customFormat="1" ht="14.25" x14ac:dyDescent="0.2">
      <c r="A62" s="63"/>
      <c r="B62" s="121" t="s">
        <v>92</v>
      </c>
      <c r="C62" s="64">
        <v>1</v>
      </c>
      <c r="D62" s="75" t="s">
        <v>75</v>
      </c>
      <c r="E62" s="184" t="s">
        <v>76</v>
      </c>
      <c r="F62" s="134"/>
      <c r="G62" s="134"/>
      <c r="H62" s="135"/>
      <c r="I62" s="152"/>
      <c r="J62" s="135"/>
      <c r="K62" s="136"/>
      <c r="L62" s="135"/>
      <c r="M62" s="137"/>
      <c r="N62" s="144"/>
      <c r="O62" s="130"/>
      <c r="P62" s="236"/>
      <c r="Q62" s="159"/>
      <c r="R62" s="177"/>
    </row>
    <row r="63" spans="1:22" s="72" customFormat="1" ht="14.25" x14ac:dyDescent="0.2">
      <c r="A63" s="63"/>
      <c r="B63" s="143" t="s">
        <v>74</v>
      </c>
      <c r="C63" s="64">
        <v>1</v>
      </c>
      <c r="D63" s="75" t="s">
        <v>75</v>
      </c>
      <c r="E63" s="184" t="s">
        <v>77</v>
      </c>
      <c r="F63" s="134"/>
      <c r="G63" s="134"/>
      <c r="H63" s="135"/>
      <c r="I63" s="152"/>
      <c r="J63" s="135"/>
      <c r="K63" s="136"/>
      <c r="L63" s="135"/>
      <c r="M63" s="137"/>
      <c r="N63" s="144"/>
      <c r="O63" s="130"/>
      <c r="P63" s="236"/>
      <c r="Q63" s="159"/>
      <c r="R63" s="177"/>
    </row>
    <row r="64" spans="1:22" s="72" customFormat="1" ht="14.25" x14ac:dyDescent="0.2">
      <c r="A64" s="63"/>
      <c r="B64" s="143"/>
      <c r="C64" s="64"/>
      <c r="D64" s="75"/>
      <c r="E64" s="184"/>
      <c r="F64" s="134"/>
      <c r="G64" s="134"/>
      <c r="H64" s="135"/>
      <c r="I64" s="152"/>
      <c r="J64" s="135"/>
      <c r="K64" s="136"/>
      <c r="L64" s="135"/>
      <c r="M64" s="137"/>
      <c r="N64" s="144"/>
      <c r="O64" s="130"/>
      <c r="P64" s="236"/>
      <c r="Q64" s="159"/>
      <c r="R64" s="177"/>
    </row>
    <row r="65" spans="1:22" s="72" customFormat="1" ht="16.5" customHeight="1" x14ac:dyDescent="0.2">
      <c r="A65" s="63"/>
      <c r="B65" s="175" t="s">
        <v>93</v>
      </c>
      <c r="C65" s="64">
        <v>1</v>
      </c>
      <c r="D65" s="75" t="s">
        <v>75</v>
      </c>
      <c r="E65" s="134">
        <v>2</v>
      </c>
      <c r="F65" s="134">
        <f>C65*E65</f>
        <v>2</v>
      </c>
      <c r="G65" s="134">
        <f>$H$11*E65</f>
        <v>104</v>
      </c>
      <c r="H65" s="135">
        <f>F65*$H$11</f>
        <v>104</v>
      </c>
      <c r="I65" s="152">
        <f>V65</f>
        <v>1592</v>
      </c>
      <c r="J65" s="135">
        <f>C65*I65</f>
        <v>1592</v>
      </c>
      <c r="K65" s="136">
        <f>SUM(H65,J65)</f>
        <v>1696</v>
      </c>
      <c r="L65" s="135">
        <f>K65/C65</f>
        <v>1696</v>
      </c>
      <c r="M65" s="137">
        <f>C65*L65</f>
        <v>1696</v>
      </c>
      <c r="N65" s="144">
        <v>0</v>
      </c>
      <c r="O65" s="130">
        <f>M65*N65</f>
        <v>0</v>
      </c>
      <c r="P65" s="587"/>
      <c r="Q65" s="159"/>
      <c r="R65" s="388">
        <v>1525</v>
      </c>
      <c r="S65" s="388">
        <v>15</v>
      </c>
      <c r="T65" s="388"/>
      <c r="U65" s="388">
        <f>$H$11*$U$13</f>
        <v>52</v>
      </c>
      <c r="V65" s="389">
        <f>SUM(R65:U65)</f>
        <v>1592</v>
      </c>
    </row>
    <row r="66" spans="1:22" s="72" customFormat="1" ht="16.5" customHeight="1" x14ac:dyDescent="0.2">
      <c r="A66" s="63"/>
      <c r="B66" s="143" t="s">
        <v>551</v>
      </c>
      <c r="C66" s="64">
        <v>1</v>
      </c>
      <c r="D66" s="75" t="s">
        <v>75</v>
      </c>
      <c r="E66" s="184" t="s">
        <v>76</v>
      </c>
      <c r="F66" s="134"/>
      <c r="G66" s="134"/>
      <c r="H66" s="135"/>
      <c r="I66" s="152"/>
      <c r="J66" s="135"/>
      <c r="K66" s="136"/>
      <c r="L66" s="135"/>
      <c r="M66" s="137"/>
      <c r="N66" s="144"/>
      <c r="O66" s="130"/>
      <c r="P66" s="587"/>
      <c r="Q66" s="159"/>
      <c r="R66" s="388"/>
      <c r="S66" s="388"/>
      <c r="T66" s="388"/>
      <c r="U66" s="388"/>
      <c r="V66" s="389"/>
    </row>
    <row r="67" spans="1:22" s="72" customFormat="1" ht="14.25" x14ac:dyDescent="0.2">
      <c r="A67" s="63"/>
      <c r="B67" s="143" t="s">
        <v>69</v>
      </c>
      <c r="C67" s="64"/>
      <c r="D67" s="75"/>
      <c r="E67" s="134"/>
      <c r="F67" s="134"/>
      <c r="G67" s="134"/>
      <c r="H67" s="135"/>
      <c r="I67" s="152"/>
      <c r="J67" s="135"/>
      <c r="K67" s="136"/>
      <c r="L67" s="135"/>
      <c r="M67" s="137"/>
      <c r="N67" s="144"/>
      <c r="O67" s="130"/>
      <c r="P67" s="236"/>
      <c r="Q67" s="159"/>
      <c r="R67" s="177"/>
    </row>
    <row r="68" spans="1:22" s="72" customFormat="1" ht="14.25" x14ac:dyDescent="0.2">
      <c r="A68" s="63"/>
      <c r="B68" s="316" t="s">
        <v>534</v>
      </c>
      <c r="C68" s="64">
        <v>1</v>
      </c>
      <c r="D68" s="75" t="s">
        <v>75</v>
      </c>
      <c r="E68" s="134">
        <v>1</v>
      </c>
      <c r="F68" s="134">
        <f>C68*E68</f>
        <v>1</v>
      </c>
      <c r="G68" s="134">
        <f>$H$11*E68</f>
        <v>52</v>
      </c>
      <c r="H68" s="135">
        <f>F68*$H$11</f>
        <v>52</v>
      </c>
      <c r="I68" s="229">
        <v>125</v>
      </c>
      <c r="J68" s="135">
        <f>C68*I68</f>
        <v>125</v>
      </c>
      <c r="K68" s="136">
        <f>SUM(H68,J68)</f>
        <v>177</v>
      </c>
      <c r="L68" s="135">
        <f>K68/C68</f>
        <v>177</v>
      </c>
      <c r="M68" s="137">
        <f>C68*L68</f>
        <v>177</v>
      </c>
      <c r="N68" s="144">
        <v>0</v>
      </c>
      <c r="O68" s="130">
        <f>M68*N68</f>
        <v>0</v>
      </c>
      <c r="P68" s="236"/>
      <c r="Q68" s="159"/>
      <c r="R68" s="177"/>
    </row>
    <row r="69" spans="1:22" s="72" customFormat="1" ht="14.25" x14ac:dyDescent="0.2">
      <c r="A69" s="63"/>
      <c r="B69" s="143"/>
      <c r="C69" s="64"/>
      <c r="D69" s="75"/>
      <c r="E69" s="134"/>
      <c r="F69" s="134"/>
      <c r="G69" s="134"/>
      <c r="H69" s="135"/>
      <c r="I69" s="152"/>
      <c r="J69" s="135"/>
      <c r="K69" s="136"/>
      <c r="L69" s="135"/>
      <c r="M69" s="137"/>
      <c r="N69" s="144"/>
      <c r="O69" s="130"/>
      <c r="P69" s="236"/>
      <c r="Q69" s="159"/>
      <c r="R69" s="177"/>
    </row>
    <row r="70" spans="1:22" s="72" customFormat="1" ht="14.25" x14ac:dyDescent="0.2">
      <c r="A70" s="63"/>
      <c r="B70" s="143" t="s">
        <v>94</v>
      </c>
      <c r="C70" s="64">
        <v>1</v>
      </c>
      <c r="D70" s="75" t="s">
        <v>75</v>
      </c>
      <c r="E70" s="134">
        <v>2</v>
      </c>
      <c r="F70" s="134">
        <f>C70*E70</f>
        <v>2</v>
      </c>
      <c r="G70" s="134">
        <f>$H$11*E70</f>
        <v>104</v>
      </c>
      <c r="H70" s="135">
        <f>F70*$H$11</f>
        <v>104</v>
      </c>
      <c r="I70" s="152">
        <f>V70</f>
        <v>1592</v>
      </c>
      <c r="J70" s="135">
        <f>C70*I70</f>
        <v>1592</v>
      </c>
      <c r="K70" s="136">
        <f>SUM(H70,J70)</f>
        <v>1696</v>
      </c>
      <c r="L70" s="135">
        <f>K70/C70</f>
        <v>1696</v>
      </c>
      <c r="M70" s="137">
        <f>C70*L70</f>
        <v>1696</v>
      </c>
      <c r="N70" s="144">
        <v>0</v>
      </c>
      <c r="O70" s="130">
        <f>M70*N70</f>
        <v>0</v>
      </c>
      <c r="P70" s="587"/>
      <c r="Q70" s="159"/>
      <c r="R70" s="388">
        <v>1525</v>
      </c>
      <c r="S70" s="388">
        <v>15</v>
      </c>
      <c r="T70" s="388"/>
      <c r="U70" s="388">
        <f>$H$11*$U$13</f>
        <v>52</v>
      </c>
      <c r="V70" s="389">
        <f>SUM(R70:U70)</f>
        <v>1592</v>
      </c>
    </row>
    <row r="71" spans="1:22" s="72" customFormat="1" ht="14.25" x14ac:dyDescent="0.2">
      <c r="A71" s="63"/>
      <c r="B71" s="143" t="s">
        <v>69</v>
      </c>
      <c r="C71" s="64"/>
      <c r="D71" s="75"/>
      <c r="E71" s="134"/>
      <c r="F71" s="134"/>
      <c r="G71" s="134"/>
      <c r="H71" s="135"/>
      <c r="I71" s="152"/>
      <c r="J71" s="135"/>
      <c r="K71" s="136"/>
      <c r="L71" s="135"/>
      <c r="M71" s="137"/>
      <c r="N71" s="144"/>
      <c r="O71" s="130"/>
      <c r="P71" s="236"/>
      <c r="Q71" s="159"/>
      <c r="R71" s="177"/>
    </row>
    <row r="72" spans="1:22" s="72" customFormat="1" ht="14.25" x14ac:dyDescent="0.2">
      <c r="A72" s="63"/>
      <c r="B72" s="316" t="s">
        <v>534</v>
      </c>
      <c r="C72" s="64">
        <v>1</v>
      </c>
      <c r="D72" s="75" t="s">
        <v>75</v>
      </c>
      <c r="E72" s="134">
        <v>1</v>
      </c>
      <c r="F72" s="134">
        <f>C72*E72</f>
        <v>1</v>
      </c>
      <c r="G72" s="134">
        <f>$H$11*E72</f>
        <v>52</v>
      </c>
      <c r="H72" s="135">
        <f>F72*$H$11</f>
        <v>52</v>
      </c>
      <c r="I72" s="229">
        <v>125</v>
      </c>
      <c r="J72" s="135">
        <f>C72*I72</f>
        <v>125</v>
      </c>
      <c r="K72" s="136">
        <f>SUM(H72,J72)</f>
        <v>177</v>
      </c>
      <c r="L72" s="135">
        <f>K72/C72</f>
        <v>177</v>
      </c>
      <c r="M72" s="137">
        <f>C72*L72</f>
        <v>177</v>
      </c>
      <c r="N72" s="144">
        <v>0</v>
      </c>
      <c r="O72" s="130">
        <f>M72*N72</f>
        <v>0</v>
      </c>
      <c r="P72" s="236"/>
      <c r="Q72" s="159"/>
      <c r="R72" s="177"/>
    </row>
    <row r="73" spans="1:22" s="72" customFormat="1" ht="5.25" customHeight="1" x14ac:dyDescent="0.2">
      <c r="A73" s="63"/>
      <c r="B73" s="143"/>
      <c r="C73" s="64"/>
      <c r="D73" s="75"/>
      <c r="E73" s="134"/>
      <c r="F73" s="134"/>
      <c r="G73" s="134"/>
      <c r="H73" s="135"/>
      <c r="I73" s="152"/>
      <c r="J73" s="135"/>
      <c r="K73" s="136"/>
      <c r="L73" s="135"/>
      <c r="M73" s="137"/>
      <c r="N73" s="144"/>
      <c r="O73" s="130"/>
      <c r="P73" s="236"/>
      <c r="Q73" s="159"/>
      <c r="R73" s="177"/>
    </row>
    <row r="74" spans="1:22" s="72" customFormat="1" ht="14.25" x14ac:dyDescent="0.2">
      <c r="A74" s="63"/>
      <c r="B74" s="121" t="s">
        <v>95</v>
      </c>
      <c r="C74" s="64">
        <v>1</v>
      </c>
      <c r="D74" s="75" t="s">
        <v>75</v>
      </c>
      <c r="E74" s="184" t="s">
        <v>76</v>
      </c>
      <c r="F74" s="134"/>
      <c r="G74" s="134"/>
      <c r="H74" s="135"/>
      <c r="I74" s="152"/>
      <c r="J74" s="135"/>
      <c r="K74" s="136"/>
      <c r="L74" s="135"/>
      <c r="M74" s="137"/>
      <c r="N74" s="144"/>
      <c r="O74" s="130"/>
      <c r="P74" s="236"/>
      <c r="Q74" s="159"/>
      <c r="R74" s="177"/>
    </row>
    <row r="75" spans="1:22" s="72" customFormat="1" ht="14.25" x14ac:dyDescent="0.2">
      <c r="A75" s="63"/>
      <c r="B75" s="143" t="s">
        <v>74</v>
      </c>
      <c r="C75" s="64">
        <v>1</v>
      </c>
      <c r="D75" s="75" t="s">
        <v>75</v>
      </c>
      <c r="E75" s="184" t="s">
        <v>77</v>
      </c>
      <c r="F75" s="134"/>
      <c r="G75" s="134"/>
      <c r="H75" s="135"/>
      <c r="I75" s="152"/>
      <c r="J75" s="135"/>
      <c r="K75" s="136"/>
      <c r="L75" s="135"/>
      <c r="M75" s="137"/>
      <c r="N75" s="144"/>
      <c r="O75" s="130"/>
      <c r="P75" s="236"/>
      <c r="Q75" s="159"/>
      <c r="R75" s="177"/>
    </row>
    <row r="76" spans="1:22" s="72" customFormat="1" ht="14.25" x14ac:dyDescent="0.2">
      <c r="A76" s="63"/>
      <c r="B76" s="143"/>
      <c r="C76" s="64"/>
      <c r="D76" s="75"/>
      <c r="E76" s="184"/>
      <c r="F76" s="134"/>
      <c r="G76" s="134"/>
      <c r="H76" s="135"/>
      <c r="I76" s="152"/>
      <c r="J76" s="135"/>
      <c r="K76" s="136"/>
      <c r="L76" s="135"/>
      <c r="M76" s="137"/>
      <c r="N76" s="144"/>
      <c r="O76" s="130"/>
      <c r="P76" s="236"/>
      <c r="Q76" s="159"/>
      <c r="R76" s="177"/>
    </row>
    <row r="77" spans="1:22" s="72" customFormat="1" ht="14.25" x14ac:dyDescent="0.2">
      <c r="A77" s="63"/>
      <c r="B77" s="143" t="s">
        <v>96</v>
      </c>
      <c r="C77" s="64">
        <v>1</v>
      </c>
      <c r="D77" s="75" t="s">
        <v>75</v>
      </c>
      <c r="E77" s="134">
        <v>2</v>
      </c>
      <c r="F77" s="134">
        <f>C77*E77</f>
        <v>2</v>
      </c>
      <c r="G77" s="134">
        <f>$H$11*E77</f>
        <v>104</v>
      </c>
      <c r="H77" s="135">
        <f>F77*$H$11</f>
        <v>104</v>
      </c>
      <c r="I77" s="152">
        <f>V77</f>
        <v>1592</v>
      </c>
      <c r="J77" s="135">
        <f>C77*I77</f>
        <v>1592</v>
      </c>
      <c r="K77" s="136">
        <f>SUM(H77,J77)</f>
        <v>1696</v>
      </c>
      <c r="L77" s="135">
        <f>K77/C77</f>
        <v>1696</v>
      </c>
      <c r="M77" s="137">
        <f>C77*L77</f>
        <v>1696</v>
      </c>
      <c r="N77" s="144">
        <v>0</v>
      </c>
      <c r="O77" s="130">
        <f>M77*N77</f>
        <v>0</v>
      </c>
      <c r="P77" s="587"/>
      <c r="Q77" s="159"/>
      <c r="R77" s="388">
        <v>1525</v>
      </c>
      <c r="S77" s="388">
        <v>15</v>
      </c>
      <c r="T77" s="388"/>
      <c r="U77" s="388">
        <f>$H$11*$U$13</f>
        <v>52</v>
      </c>
      <c r="V77" s="389">
        <f>SUM(R77:U77)</f>
        <v>1592</v>
      </c>
    </row>
    <row r="78" spans="1:22" s="72" customFormat="1" ht="14.25" x14ac:dyDescent="0.2">
      <c r="A78" s="63"/>
      <c r="B78" s="143" t="s">
        <v>69</v>
      </c>
      <c r="C78" s="64"/>
      <c r="D78" s="75"/>
      <c r="E78" s="134"/>
      <c r="F78" s="134"/>
      <c r="G78" s="134"/>
      <c r="H78" s="135"/>
      <c r="I78" s="152"/>
      <c r="J78" s="135"/>
      <c r="K78" s="136"/>
      <c r="L78" s="135"/>
      <c r="M78" s="137"/>
      <c r="N78" s="144"/>
      <c r="O78" s="130"/>
      <c r="P78" s="236"/>
      <c r="Q78" s="159"/>
      <c r="R78" s="177"/>
    </row>
    <row r="79" spans="1:22" s="72" customFormat="1" ht="14.25" x14ac:dyDescent="0.2">
      <c r="A79" s="63"/>
      <c r="B79" s="316" t="s">
        <v>534</v>
      </c>
      <c r="C79" s="64">
        <v>1</v>
      </c>
      <c r="D79" s="75" t="s">
        <v>75</v>
      </c>
      <c r="E79" s="134">
        <v>1</v>
      </c>
      <c r="F79" s="134">
        <f>C79*E79</f>
        <v>1</v>
      </c>
      <c r="G79" s="134">
        <f>$H$11*E79</f>
        <v>52</v>
      </c>
      <c r="H79" s="135">
        <f>F79*$H$11</f>
        <v>52</v>
      </c>
      <c r="I79" s="229">
        <v>125</v>
      </c>
      <c r="J79" s="135">
        <f>C79*I79</f>
        <v>125</v>
      </c>
      <c r="K79" s="136">
        <f>SUM(H79,J79)</f>
        <v>177</v>
      </c>
      <c r="L79" s="135">
        <f>K79/C79</f>
        <v>177</v>
      </c>
      <c r="M79" s="137">
        <f>C79*L79</f>
        <v>177</v>
      </c>
      <c r="N79" s="144">
        <v>0</v>
      </c>
      <c r="O79" s="130">
        <f>M79*N79</f>
        <v>0</v>
      </c>
      <c r="P79" s="236"/>
      <c r="Q79" s="159"/>
      <c r="R79" s="177"/>
    </row>
    <row r="80" spans="1:22" s="72" customFormat="1" ht="6" customHeight="1" x14ac:dyDescent="0.2">
      <c r="A80" s="63"/>
      <c r="B80" s="143"/>
      <c r="C80" s="64"/>
      <c r="D80" s="75"/>
      <c r="E80" s="134"/>
      <c r="F80" s="134"/>
      <c r="G80" s="134"/>
      <c r="H80" s="135"/>
      <c r="I80" s="152"/>
      <c r="J80" s="135"/>
      <c r="K80" s="136"/>
      <c r="L80" s="135"/>
      <c r="M80" s="137"/>
      <c r="N80" s="144"/>
      <c r="O80" s="130"/>
      <c r="P80" s="236"/>
      <c r="Q80" s="159"/>
      <c r="R80" s="177"/>
    </row>
    <row r="81" spans="1:22" s="72" customFormat="1" ht="14.25" x14ac:dyDescent="0.2">
      <c r="A81" s="63"/>
      <c r="B81" s="121" t="s">
        <v>97</v>
      </c>
      <c r="C81" s="64">
        <v>1</v>
      </c>
      <c r="D81" s="75" t="s">
        <v>75</v>
      </c>
      <c r="E81" s="184" t="s">
        <v>76</v>
      </c>
      <c r="F81" s="134"/>
      <c r="G81" s="134"/>
      <c r="H81" s="135"/>
      <c r="I81" s="152"/>
      <c r="J81" s="135"/>
      <c r="K81" s="136"/>
      <c r="L81" s="135"/>
      <c r="M81" s="137"/>
      <c r="N81" s="144"/>
      <c r="O81" s="130"/>
      <c r="P81" s="236"/>
      <c r="Q81" s="159"/>
      <c r="R81" s="177"/>
    </row>
    <row r="82" spans="1:22" s="72" customFormat="1" ht="14.25" x14ac:dyDescent="0.2">
      <c r="A82" s="63"/>
      <c r="B82" s="143" t="s">
        <v>74</v>
      </c>
      <c r="C82" s="64">
        <v>1</v>
      </c>
      <c r="D82" s="75" t="s">
        <v>75</v>
      </c>
      <c r="E82" s="184" t="s">
        <v>77</v>
      </c>
      <c r="F82" s="134"/>
      <c r="G82" s="134"/>
      <c r="H82" s="135"/>
      <c r="I82" s="152"/>
      <c r="J82" s="135"/>
      <c r="K82" s="136"/>
      <c r="L82" s="135"/>
      <c r="M82" s="137"/>
      <c r="N82" s="144"/>
      <c r="O82" s="130"/>
      <c r="P82" s="236"/>
      <c r="Q82" s="159"/>
      <c r="R82" s="177"/>
    </row>
    <row r="83" spans="1:22" s="72" customFormat="1" ht="14.25" x14ac:dyDescent="0.2">
      <c r="A83" s="63"/>
      <c r="B83" s="143"/>
      <c r="C83" s="64"/>
      <c r="D83" s="75"/>
      <c r="E83" s="184"/>
      <c r="F83" s="134"/>
      <c r="G83" s="134"/>
      <c r="H83" s="135"/>
      <c r="I83" s="152"/>
      <c r="J83" s="135"/>
      <c r="K83" s="136"/>
      <c r="L83" s="135"/>
      <c r="M83" s="137"/>
      <c r="N83" s="144"/>
      <c r="O83" s="130"/>
      <c r="P83" s="236"/>
      <c r="Q83" s="159"/>
      <c r="R83" s="177"/>
    </row>
    <row r="84" spans="1:22" s="72" customFormat="1" ht="14.25" x14ac:dyDescent="0.2">
      <c r="A84" s="63"/>
      <c r="B84" s="143" t="s">
        <v>99</v>
      </c>
      <c r="C84" s="64">
        <v>1</v>
      </c>
      <c r="D84" s="75" t="s">
        <v>75</v>
      </c>
      <c r="E84" s="134">
        <v>2</v>
      </c>
      <c r="F84" s="134">
        <f>C84*E84</f>
        <v>2</v>
      </c>
      <c r="G84" s="134">
        <f>$H$11*E84</f>
        <v>104</v>
      </c>
      <c r="H84" s="135">
        <f>F84*$H$11</f>
        <v>104</v>
      </c>
      <c r="I84" s="152">
        <f>V84</f>
        <v>1592</v>
      </c>
      <c r="J84" s="135">
        <f>C84*I84</f>
        <v>1592</v>
      </c>
      <c r="K84" s="136">
        <f>SUM(H84,J84)</f>
        <v>1696</v>
      </c>
      <c r="L84" s="135">
        <f>K84/C84</f>
        <v>1696</v>
      </c>
      <c r="M84" s="137">
        <f>C84*L84</f>
        <v>1696</v>
      </c>
      <c r="N84" s="144">
        <v>0</v>
      </c>
      <c r="O84" s="130">
        <f>M84*N84</f>
        <v>0</v>
      </c>
      <c r="P84" s="587"/>
      <c r="Q84" s="159"/>
      <c r="R84" s="388">
        <v>1525</v>
      </c>
      <c r="S84" s="388">
        <v>15</v>
      </c>
      <c r="T84" s="388"/>
      <c r="U84" s="388">
        <f>$H$11*$U$13</f>
        <v>52</v>
      </c>
      <c r="V84" s="389">
        <f>SUM(R84:U84)</f>
        <v>1592</v>
      </c>
    </row>
    <row r="85" spans="1:22" s="72" customFormat="1" ht="14.25" x14ac:dyDescent="0.2">
      <c r="A85" s="63"/>
      <c r="B85" s="143" t="s">
        <v>69</v>
      </c>
      <c r="C85" s="64"/>
      <c r="D85" s="75"/>
      <c r="E85" s="134"/>
      <c r="F85" s="134"/>
      <c r="G85" s="134"/>
      <c r="H85" s="135"/>
      <c r="I85" s="152"/>
      <c r="J85" s="135"/>
      <c r="K85" s="136"/>
      <c r="L85" s="135"/>
      <c r="M85" s="137"/>
      <c r="N85" s="144"/>
      <c r="O85" s="130"/>
      <c r="P85" s="236"/>
      <c r="Q85" s="159"/>
      <c r="R85" s="177"/>
    </row>
    <row r="86" spans="1:22" s="72" customFormat="1" ht="14.25" x14ac:dyDescent="0.2">
      <c r="A86" s="63"/>
      <c r="B86" s="316" t="s">
        <v>534</v>
      </c>
      <c r="C86" s="64">
        <v>1</v>
      </c>
      <c r="D86" s="75" t="s">
        <v>75</v>
      </c>
      <c r="E86" s="134">
        <v>1</v>
      </c>
      <c r="F86" s="134">
        <f>C86*E86</f>
        <v>1</v>
      </c>
      <c r="G86" s="134">
        <f>$H$11*E86</f>
        <v>52</v>
      </c>
      <c r="H86" s="135">
        <f>F86*$H$11</f>
        <v>52</v>
      </c>
      <c r="I86" s="229">
        <v>125</v>
      </c>
      <c r="J86" s="135">
        <f>C86*I86</f>
        <v>125</v>
      </c>
      <c r="K86" s="136">
        <f>SUM(H86,J86)</f>
        <v>177</v>
      </c>
      <c r="L86" s="135">
        <f>K86/C86</f>
        <v>177</v>
      </c>
      <c r="M86" s="137">
        <f>C86*L86</f>
        <v>177</v>
      </c>
      <c r="N86" s="144">
        <v>0</v>
      </c>
      <c r="O86" s="130">
        <f>M86*N86</f>
        <v>0</v>
      </c>
      <c r="P86" s="236"/>
      <c r="Q86" s="159"/>
      <c r="R86" s="177"/>
    </row>
    <row r="87" spans="1:22" s="72" customFormat="1" ht="9" customHeight="1" x14ac:dyDescent="0.2">
      <c r="A87" s="63"/>
      <c r="B87" s="143"/>
      <c r="C87" s="64"/>
      <c r="D87" s="75"/>
      <c r="E87" s="134"/>
      <c r="F87" s="134"/>
      <c r="G87" s="134"/>
      <c r="H87" s="135"/>
      <c r="I87" s="152"/>
      <c r="J87" s="135"/>
      <c r="K87" s="136"/>
      <c r="L87" s="135"/>
      <c r="M87" s="137"/>
      <c r="N87" s="144"/>
      <c r="O87" s="130"/>
      <c r="P87" s="236"/>
      <c r="Q87" s="159"/>
      <c r="R87" s="177"/>
    </row>
    <row r="88" spans="1:22" s="72" customFormat="1" ht="14.25" x14ac:dyDescent="0.2">
      <c r="A88" s="63"/>
      <c r="B88" s="121" t="s">
        <v>98</v>
      </c>
      <c r="C88" s="64">
        <v>1</v>
      </c>
      <c r="D88" s="75" t="s">
        <v>75</v>
      </c>
      <c r="E88" s="184" t="s">
        <v>76</v>
      </c>
      <c r="F88" s="134"/>
      <c r="G88" s="134"/>
      <c r="H88" s="135"/>
      <c r="I88" s="152"/>
      <c r="J88" s="135"/>
      <c r="K88" s="136"/>
      <c r="L88" s="135"/>
      <c r="M88" s="137"/>
      <c r="N88" s="144"/>
      <c r="O88" s="130"/>
      <c r="P88" s="236"/>
      <c r="Q88" s="159"/>
      <c r="R88" s="177"/>
    </row>
    <row r="89" spans="1:22" s="72" customFormat="1" ht="14.25" x14ac:dyDescent="0.2">
      <c r="A89" s="63"/>
      <c r="B89" s="143" t="s">
        <v>74</v>
      </c>
      <c r="C89" s="64">
        <v>1</v>
      </c>
      <c r="D89" s="75" t="s">
        <v>75</v>
      </c>
      <c r="E89" s="184" t="s">
        <v>77</v>
      </c>
      <c r="F89" s="134"/>
      <c r="G89" s="134"/>
      <c r="H89" s="135"/>
      <c r="I89" s="152"/>
      <c r="J89" s="135"/>
      <c r="K89" s="136"/>
      <c r="L89" s="135"/>
      <c r="M89" s="137"/>
      <c r="N89" s="144"/>
      <c r="O89" s="130"/>
      <c r="P89" s="236"/>
      <c r="Q89" s="159"/>
      <c r="R89" s="177"/>
    </row>
    <row r="90" spans="1:22" s="72" customFormat="1" ht="14.25" x14ac:dyDescent="0.2">
      <c r="A90" s="63"/>
      <c r="B90" s="143"/>
      <c r="C90" s="64"/>
      <c r="D90" s="75"/>
      <c r="E90" s="184"/>
      <c r="F90" s="134"/>
      <c r="G90" s="134"/>
      <c r="H90" s="135"/>
      <c r="I90" s="152"/>
      <c r="J90" s="135"/>
      <c r="K90" s="136"/>
      <c r="L90" s="135"/>
      <c r="M90" s="137"/>
      <c r="N90" s="144"/>
      <c r="O90" s="130"/>
      <c r="P90" s="236"/>
      <c r="Q90" s="159"/>
      <c r="R90" s="177"/>
    </row>
    <row r="91" spans="1:22" s="72" customFormat="1" ht="25.5" x14ac:dyDescent="0.2">
      <c r="A91" s="63"/>
      <c r="B91" s="175" t="s">
        <v>100</v>
      </c>
      <c r="C91" s="64">
        <v>1</v>
      </c>
      <c r="D91" s="75" t="s">
        <v>75</v>
      </c>
      <c r="E91" s="134">
        <v>2.5</v>
      </c>
      <c r="F91" s="134">
        <f>C91*E91</f>
        <v>2.5</v>
      </c>
      <c r="G91" s="134">
        <f>$H$11*E91</f>
        <v>130</v>
      </c>
      <c r="H91" s="135">
        <f>F91*$H$11</f>
        <v>130</v>
      </c>
      <c r="I91" s="152">
        <f>V91</f>
        <v>3092</v>
      </c>
      <c r="J91" s="135">
        <f>C91*I91</f>
        <v>3092</v>
      </c>
      <c r="K91" s="136">
        <f>SUM(H91,J91)</f>
        <v>3222</v>
      </c>
      <c r="L91" s="135">
        <f>K91/C91</f>
        <v>3222</v>
      </c>
      <c r="M91" s="137">
        <f>C91*L91</f>
        <v>3222</v>
      </c>
      <c r="N91" s="144">
        <v>0</v>
      </c>
      <c r="O91" s="130">
        <f>M91*N91</f>
        <v>0</v>
      </c>
      <c r="P91" s="236"/>
      <c r="Q91" s="159"/>
      <c r="R91" s="388">
        <v>2973</v>
      </c>
      <c r="S91" s="388">
        <v>15</v>
      </c>
      <c r="T91" s="388"/>
      <c r="U91" s="388">
        <v>104</v>
      </c>
      <c r="V91" s="389">
        <f>SUM(R91:U91)</f>
        <v>3092</v>
      </c>
    </row>
    <row r="92" spans="1:22" s="72" customFormat="1" ht="14.25" x14ac:dyDescent="0.2">
      <c r="A92" s="63"/>
      <c r="B92" s="143" t="s">
        <v>69</v>
      </c>
      <c r="C92" s="64"/>
      <c r="D92" s="75"/>
      <c r="E92" s="184"/>
      <c r="F92" s="134"/>
      <c r="G92" s="134"/>
      <c r="H92" s="135"/>
      <c r="I92" s="152"/>
      <c r="J92" s="135"/>
      <c r="K92" s="136"/>
      <c r="L92" s="135"/>
      <c r="M92" s="137"/>
      <c r="N92" s="144"/>
      <c r="O92" s="130"/>
      <c r="P92" s="236"/>
      <c r="Q92" s="159"/>
      <c r="R92" s="177"/>
    </row>
    <row r="93" spans="1:22" s="72" customFormat="1" ht="14.25" x14ac:dyDescent="0.2">
      <c r="A93" s="63"/>
      <c r="B93" s="143" t="s">
        <v>551</v>
      </c>
      <c r="C93" s="64">
        <v>1</v>
      </c>
      <c r="D93" s="75" t="s">
        <v>75</v>
      </c>
      <c r="E93" s="184" t="s">
        <v>76</v>
      </c>
      <c r="F93" s="134"/>
      <c r="G93" s="134"/>
      <c r="H93" s="135"/>
      <c r="I93" s="152"/>
      <c r="J93" s="135"/>
      <c r="K93" s="136"/>
      <c r="L93" s="135"/>
      <c r="M93" s="137"/>
      <c r="N93" s="144"/>
      <c r="O93" s="130"/>
      <c r="P93" s="236"/>
      <c r="Q93" s="159"/>
      <c r="R93" s="177"/>
    </row>
    <row r="94" spans="1:22" s="72" customFormat="1" ht="14.25" x14ac:dyDescent="0.2">
      <c r="A94" s="63"/>
      <c r="B94" s="316" t="s">
        <v>83</v>
      </c>
      <c r="C94" s="64">
        <v>1</v>
      </c>
      <c r="D94" s="75" t="s">
        <v>75</v>
      </c>
      <c r="E94" s="134">
        <v>1</v>
      </c>
      <c r="F94" s="134">
        <f>C94*E94</f>
        <v>1</v>
      </c>
      <c r="G94" s="134">
        <f>$H$11*E94</f>
        <v>52</v>
      </c>
      <c r="H94" s="135">
        <f>F94*$H$11</f>
        <v>52</v>
      </c>
      <c r="I94" s="229">
        <v>125</v>
      </c>
      <c r="J94" s="135">
        <f>C94*I94</f>
        <v>125</v>
      </c>
      <c r="K94" s="136">
        <f>SUM(H94,J94)</f>
        <v>177</v>
      </c>
      <c r="L94" s="135">
        <f>K94/C94</f>
        <v>177</v>
      </c>
      <c r="M94" s="137">
        <f>C94*L94</f>
        <v>177</v>
      </c>
      <c r="N94" s="144">
        <v>0</v>
      </c>
      <c r="O94" s="130">
        <f>M94*N94</f>
        <v>0</v>
      </c>
      <c r="P94" s="236"/>
      <c r="Q94" s="159"/>
      <c r="R94" s="177"/>
    </row>
    <row r="95" spans="1:22" s="72" customFormat="1" ht="6" customHeight="1" x14ac:dyDescent="0.2">
      <c r="A95" s="63"/>
      <c r="B95" s="143"/>
      <c r="C95" s="64"/>
      <c r="D95" s="75"/>
      <c r="E95" s="184"/>
      <c r="F95" s="134"/>
      <c r="G95" s="134"/>
      <c r="H95" s="135"/>
      <c r="I95" s="152"/>
      <c r="J95" s="135"/>
      <c r="K95" s="136"/>
      <c r="L95" s="135"/>
      <c r="M95" s="137"/>
      <c r="N95" s="144"/>
      <c r="O95" s="130"/>
      <c r="P95" s="236"/>
      <c r="Q95" s="159"/>
      <c r="R95" s="177"/>
    </row>
    <row r="96" spans="1:22" s="72" customFormat="1" ht="14.25" x14ac:dyDescent="0.2">
      <c r="A96" s="63"/>
      <c r="B96" s="121" t="s">
        <v>101</v>
      </c>
      <c r="C96" s="64">
        <v>1</v>
      </c>
      <c r="D96" s="75" t="s">
        <v>75</v>
      </c>
      <c r="E96" s="184" t="s">
        <v>76</v>
      </c>
      <c r="F96" s="134"/>
      <c r="G96" s="134"/>
      <c r="H96" s="135"/>
      <c r="I96" s="152"/>
      <c r="J96" s="135"/>
      <c r="K96" s="136"/>
      <c r="L96" s="135"/>
      <c r="M96" s="137"/>
      <c r="N96" s="144"/>
      <c r="O96" s="130"/>
      <c r="P96" s="236"/>
      <c r="Q96" s="159"/>
      <c r="R96" s="177"/>
    </row>
    <row r="97" spans="1:22" s="72" customFormat="1" ht="14.25" x14ac:dyDescent="0.2">
      <c r="A97" s="63"/>
      <c r="B97" s="143" t="s">
        <v>74</v>
      </c>
      <c r="C97" s="64">
        <v>1</v>
      </c>
      <c r="D97" s="75" t="s">
        <v>75</v>
      </c>
      <c r="E97" s="184" t="s">
        <v>77</v>
      </c>
      <c r="F97" s="134"/>
      <c r="G97" s="134"/>
      <c r="H97" s="135"/>
      <c r="I97" s="152"/>
      <c r="J97" s="135"/>
      <c r="K97" s="136"/>
      <c r="L97" s="135"/>
      <c r="M97" s="137"/>
      <c r="N97" s="144"/>
      <c r="O97" s="130"/>
      <c r="P97" s="236"/>
      <c r="Q97" s="159"/>
      <c r="R97" s="177"/>
    </row>
    <row r="98" spans="1:22" s="72" customFormat="1" ht="14.25" x14ac:dyDescent="0.2">
      <c r="A98" s="63"/>
      <c r="B98" s="143"/>
      <c r="C98" s="64"/>
      <c r="D98" s="75"/>
      <c r="E98" s="184"/>
      <c r="F98" s="134"/>
      <c r="G98" s="134"/>
      <c r="H98" s="135"/>
      <c r="I98" s="152"/>
      <c r="J98" s="135"/>
      <c r="K98" s="136"/>
      <c r="L98" s="135"/>
      <c r="M98" s="137"/>
      <c r="N98" s="144"/>
      <c r="O98" s="130"/>
      <c r="P98" s="236"/>
      <c r="Q98" s="159"/>
      <c r="R98" s="177"/>
    </row>
    <row r="99" spans="1:22" s="72" customFormat="1" ht="14.25" x14ac:dyDescent="0.2">
      <c r="A99" s="63"/>
      <c r="B99" s="143" t="s">
        <v>102</v>
      </c>
      <c r="C99" s="64">
        <v>1</v>
      </c>
      <c r="D99" s="75" t="s">
        <v>75</v>
      </c>
      <c r="E99" s="134">
        <v>2</v>
      </c>
      <c r="F99" s="134">
        <f>C99*E99</f>
        <v>2</v>
      </c>
      <c r="G99" s="134">
        <f>$H$11*E99</f>
        <v>104</v>
      </c>
      <c r="H99" s="135">
        <f>F99*$H$11</f>
        <v>104</v>
      </c>
      <c r="I99" s="152">
        <f>V99</f>
        <v>1592</v>
      </c>
      <c r="J99" s="135">
        <f>C99*I99</f>
        <v>1592</v>
      </c>
      <c r="K99" s="136">
        <f>SUM(H99,J99)</f>
        <v>1696</v>
      </c>
      <c r="L99" s="135">
        <f>K99/C99</f>
        <v>1696</v>
      </c>
      <c r="M99" s="137">
        <f>C99*L99</f>
        <v>1696</v>
      </c>
      <c r="N99" s="144">
        <v>0</v>
      </c>
      <c r="O99" s="130">
        <f>M99*N99</f>
        <v>0</v>
      </c>
      <c r="P99" s="587"/>
      <c r="Q99" s="159"/>
      <c r="R99" s="388">
        <v>1525</v>
      </c>
      <c r="S99" s="388">
        <v>15</v>
      </c>
      <c r="T99" s="388"/>
      <c r="U99" s="388">
        <f>$H$11*$U$13</f>
        <v>52</v>
      </c>
      <c r="V99" s="389">
        <f>SUM(R99:U99)</f>
        <v>1592</v>
      </c>
    </row>
    <row r="100" spans="1:22" s="72" customFormat="1" ht="14.25" x14ac:dyDescent="0.2">
      <c r="A100" s="63"/>
      <c r="B100" s="143" t="s">
        <v>69</v>
      </c>
      <c r="C100" s="64"/>
      <c r="D100" s="75"/>
      <c r="E100" s="134"/>
      <c r="F100" s="134"/>
      <c r="G100" s="134"/>
      <c r="H100" s="135"/>
      <c r="I100" s="152"/>
      <c r="J100" s="135"/>
      <c r="K100" s="136"/>
      <c r="L100" s="135"/>
      <c r="M100" s="137"/>
      <c r="N100" s="144"/>
      <c r="O100" s="130"/>
      <c r="P100" s="236"/>
      <c r="Q100" s="159"/>
      <c r="R100" s="177"/>
    </row>
    <row r="101" spans="1:22" s="72" customFormat="1" ht="14.25" x14ac:dyDescent="0.2">
      <c r="A101" s="63"/>
      <c r="B101" s="316" t="s">
        <v>534</v>
      </c>
      <c r="C101" s="64">
        <v>1</v>
      </c>
      <c r="D101" s="75" t="s">
        <v>75</v>
      </c>
      <c r="E101" s="134">
        <v>1</v>
      </c>
      <c r="F101" s="134">
        <f>C101*E101</f>
        <v>1</v>
      </c>
      <c r="G101" s="134">
        <f>$H$11*E101</f>
        <v>52</v>
      </c>
      <c r="H101" s="135">
        <f>F101*$H$11</f>
        <v>52</v>
      </c>
      <c r="I101" s="229">
        <v>125</v>
      </c>
      <c r="J101" s="135">
        <f>C101*I101</f>
        <v>125</v>
      </c>
      <c r="K101" s="136">
        <f>SUM(H101,J101)</f>
        <v>177</v>
      </c>
      <c r="L101" s="135">
        <f>K101/C101</f>
        <v>177</v>
      </c>
      <c r="M101" s="137">
        <f>C101*L101</f>
        <v>177</v>
      </c>
      <c r="N101" s="144">
        <v>0</v>
      </c>
      <c r="O101" s="130">
        <f>M101*N101</f>
        <v>0</v>
      </c>
      <c r="P101" s="236"/>
      <c r="Q101" s="159"/>
      <c r="R101" s="177"/>
    </row>
    <row r="102" spans="1:22" s="72" customFormat="1" ht="9" customHeight="1" x14ac:dyDescent="0.2">
      <c r="A102" s="63"/>
      <c r="B102" s="143"/>
      <c r="C102" s="64"/>
      <c r="D102" s="75"/>
      <c r="E102" s="134"/>
      <c r="F102" s="134"/>
      <c r="G102" s="134"/>
      <c r="H102" s="135"/>
      <c r="I102" s="152"/>
      <c r="J102" s="135"/>
      <c r="K102" s="136"/>
      <c r="L102" s="135"/>
      <c r="M102" s="137"/>
      <c r="N102" s="144"/>
      <c r="O102" s="130"/>
      <c r="P102" s="236"/>
      <c r="Q102" s="159"/>
      <c r="R102" s="177"/>
    </row>
    <row r="103" spans="1:22" s="72" customFormat="1" ht="14.25" x14ac:dyDescent="0.2">
      <c r="A103" s="63"/>
      <c r="B103" s="121" t="s">
        <v>103</v>
      </c>
      <c r="C103" s="64">
        <v>1</v>
      </c>
      <c r="D103" s="75" t="s">
        <v>75</v>
      </c>
      <c r="E103" s="184" t="s">
        <v>76</v>
      </c>
      <c r="F103" s="134"/>
      <c r="G103" s="134"/>
      <c r="H103" s="135"/>
      <c r="I103" s="152"/>
      <c r="J103" s="135"/>
      <c r="K103" s="136"/>
      <c r="L103" s="135"/>
      <c r="M103" s="137"/>
      <c r="N103" s="144"/>
      <c r="O103" s="130"/>
      <c r="P103" s="236"/>
      <c r="Q103" s="159"/>
      <c r="R103" s="177"/>
    </row>
    <row r="104" spans="1:22" s="72" customFormat="1" ht="14.25" x14ac:dyDescent="0.2">
      <c r="A104" s="63"/>
      <c r="B104" s="143" t="s">
        <v>74</v>
      </c>
      <c r="C104" s="64">
        <v>1</v>
      </c>
      <c r="D104" s="75" t="s">
        <v>75</v>
      </c>
      <c r="E104" s="184" t="s">
        <v>77</v>
      </c>
      <c r="F104" s="134"/>
      <c r="G104" s="134"/>
      <c r="H104" s="135"/>
      <c r="I104" s="152"/>
      <c r="J104" s="135"/>
      <c r="K104" s="136"/>
      <c r="L104" s="135"/>
      <c r="M104" s="137"/>
      <c r="N104" s="144"/>
      <c r="O104" s="130"/>
      <c r="P104" s="236"/>
      <c r="Q104" s="159"/>
      <c r="R104" s="177"/>
    </row>
    <row r="105" spans="1:22" s="72" customFormat="1" ht="8.25" customHeight="1" x14ac:dyDescent="0.2">
      <c r="A105" s="63"/>
      <c r="B105" s="143"/>
      <c r="C105" s="64"/>
      <c r="D105" s="75"/>
      <c r="E105" s="184"/>
      <c r="F105" s="134"/>
      <c r="G105" s="134"/>
      <c r="H105" s="135"/>
      <c r="I105" s="152"/>
      <c r="J105" s="135"/>
      <c r="K105" s="136"/>
      <c r="L105" s="135"/>
      <c r="M105" s="137"/>
      <c r="N105" s="144"/>
      <c r="O105" s="130"/>
      <c r="P105" s="236"/>
      <c r="Q105" s="159"/>
      <c r="R105" s="177"/>
    </row>
    <row r="106" spans="1:22" s="72" customFormat="1" ht="14.25" x14ac:dyDescent="0.2">
      <c r="A106" s="63"/>
      <c r="B106" s="121" t="s">
        <v>104</v>
      </c>
      <c r="C106" s="64">
        <v>1</v>
      </c>
      <c r="D106" s="75" t="s">
        <v>75</v>
      </c>
      <c r="E106" s="184" t="s">
        <v>76</v>
      </c>
      <c r="F106" s="134"/>
      <c r="G106" s="134"/>
      <c r="H106" s="135"/>
      <c r="I106" s="152"/>
      <c r="J106" s="135"/>
      <c r="K106" s="136"/>
      <c r="L106" s="135"/>
      <c r="M106" s="137"/>
      <c r="N106" s="144"/>
      <c r="O106" s="130"/>
      <c r="P106" s="236"/>
      <c r="Q106" s="159"/>
      <c r="R106" s="177"/>
    </row>
    <row r="107" spans="1:22" s="72" customFormat="1" ht="14.25" x14ac:dyDescent="0.2">
      <c r="A107" s="63"/>
      <c r="B107" s="143" t="s">
        <v>74</v>
      </c>
      <c r="C107" s="64">
        <v>1</v>
      </c>
      <c r="D107" s="75" t="s">
        <v>75</v>
      </c>
      <c r="E107" s="184" t="s">
        <v>77</v>
      </c>
      <c r="F107" s="134"/>
      <c r="G107" s="134"/>
      <c r="H107" s="135"/>
      <c r="I107" s="152"/>
      <c r="J107" s="135"/>
      <c r="K107" s="136"/>
      <c r="L107" s="135"/>
      <c r="M107" s="137"/>
      <c r="N107" s="144"/>
      <c r="O107" s="130"/>
      <c r="P107" s="236"/>
      <c r="Q107" s="159"/>
      <c r="R107" s="177"/>
    </row>
    <row r="108" spans="1:22" s="72" customFormat="1" ht="14.25" x14ac:dyDescent="0.2">
      <c r="A108" s="63"/>
      <c r="B108" s="143"/>
      <c r="C108" s="64"/>
      <c r="D108" s="75"/>
      <c r="E108" s="184"/>
      <c r="F108" s="134"/>
      <c r="G108" s="134"/>
      <c r="H108" s="135"/>
      <c r="I108" s="152"/>
      <c r="J108" s="135"/>
      <c r="K108" s="136"/>
      <c r="L108" s="135"/>
      <c r="M108" s="137"/>
      <c r="N108" s="144"/>
      <c r="O108" s="130"/>
      <c r="P108" s="236"/>
      <c r="Q108" s="159"/>
      <c r="R108" s="177"/>
    </row>
    <row r="109" spans="1:22" s="72" customFormat="1" ht="14.25" x14ac:dyDescent="0.2">
      <c r="A109" s="63"/>
      <c r="B109" s="143" t="s">
        <v>105</v>
      </c>
      <c r="C109" s="64">
        <v>1</v>
      </c>
      <c r="D109" s="75" t="s">
        <v>75</v>
      </c>
      <c r="E109" s="134">
        <v>2</v>
      </c>
      <c r="F109" s="134">
        <f>C109*E109</f>
        <v>2</v>
      </c>
      <c r="G109" s="134">
        <f>$H$11*E109</f>
        <v>104</v>
      </c>
      <c r="H109" s="135">
        <f>F109*$H$11</f>
        <v>104</v>
      </c>
      <c r="I109" s="152">
        <f>V109</f>
        <v>1592</v>
      </c>
      <c r="J109" s="135">
        <f>C109*I109</f>
        <v>1592</v>
      </c>
      <c r="K109" s="136">
        <f>SUM(H109,J109)</f>
        <v>1696</v>
      </c>
      <c r="L109" s="135">
        <f>K109/C109</f>
        <v>1696</v>
      </c>
      <c r="M109" s="137">
        <f>C109*L109</f>
        <v>1696</v>
      </c>
      <c r="N109" s="144">
        <v>0</v>
      </c>
      <c r="O109" s="130">
        <f>M109*N109</f>
        <v>0</v>
      </c>
      <c r="P109" s="587"/>
      <c r="Q109" s="159"/>
      <c r="R109" s="388">
        <v>1525</v>
      </c>
      <c r="S109" s="388">
        <v>15</v>
      </c>
      <c r="T109" s="388"/>
      <c r="U109" s="388">
        <f>$H$11*$U$13</f>
        <v>52</v>
      </c>
      <c r="V109" s="389">
        <f>SUM(R109:U109)</f>
        <v>1592</v>
      </c>
    </row>
    <row r="110" spans="1:22" s="72" customFormat="1" ht="14.25" x14ac:dyDescent="0.2">
      <c r="A110" s="63"/>
      <c r="B110" s="143" t="s">
        <v>69</v>
      </c>
      <c r="C110" s="64"/>
      <c r="D110" s="75"/>
      <c r="E110" s="134"/>
      <c r="F110" s="134"/>
      <c r="G110" s="134"/>
      <c r="H110" s="135"/>
      <c r="I110" s="152"/>
      <c r="J110" s="135"/>
      <c r="K110" s="136"/>
      <c r="L110" s="135"/>
      <c r="M110" s="137"/>
      <c r="N110" s="144"/>
      <c r="O110" s="130"/>
      <c r="P110" s="236"/>
      <c r="Q110" s="159"/>
      <c r="R110" s="177"/>
    </row>
    <row r="111" spans="1:22" s="72" customFormat="1" ht="14.25" x14ac:dyDescent="0.2">
      <c r="A111" s="63"/>
      <c r="B111" s="316" t="s">
        <v>534</v>
      </c>
      <c r="C111" s="64">
        <v>1</v>
      </c>
      <c r="D111" s="75" t="s">
        <v>75</v>
      </c>
      <c r="E111" s="134">
        <v>1</v>
      </c>
      <c r="F111" s="134">
        <f>C111*E111</f>
        <v>1</v>
      </c>
      <c r="G111" s="134">
        <f>$H$11*E111</f>
        <v>52</v>
      </c>
      <c r="H111" s="135">
        <f>F111*$H$11</f>
        <v>52</v>
      </c>
      <c r="I111" s="229">
        <v>125</v>
      </c>
      <c r="J111" s="135">
        <f>C111*I111</f>
        <v>125</v>
      </c>
      <c r="K111" s="136">
        <f>SUM(H111,J111)</f>
        <v>177</v>
      </c>
      <c r="L111" s="135">
        <f>K111/C111</f>
        <v>177</v>
      </c>
      <c r="M111" s="137">
        <f>C111*L111</f>
        <v>177</v>
      </c>
      <c r="N111" s="144">
        <v>0</v>
      </c>
      <c r="O111" s="130">
        <f>M111*N111</f>
        <v>0</v>
      </c>
      <c r="P111" s="236"/>
      <c r="Q111" s="159"/>
      <c r="R111" s="177"/>
    </row>
    <row r="112" spans="1:22" s="72" customFormat="1" ht="6" customHeight="1" x14ac:dyDescent="0.2">
      <c r="A112" s="63"/>
      <c r="B112" s="143"/>
      <c r="C112" s="64"/>
      <c r="D112" s="75"/>
      <c r="E112" s="134"/>
      <c r="F112" s="134"/>
      <c r="G112" s="134"/>
      <c r="H112" s="135"/>
      <c r="I112" s="152"/>
      <c r="J112" s="135"/>
      <c r="K112" s="136"/>
      <c r="L112" s="135"/>
      <c r="M112" s="137"/>
      <c r="N112" s="144"/>
      <c r="O112" s="130"/>
      <c r="P112" s="236"/>
      <c r="Q112" s="159"/>
      <c r="R112" s="177"/>
    </row>
    <row r="113" spans="1:22" s="72" customFormat="1" ht="14.25" x14ac:dyDescent="0.2">
      <c r="A113" s="63"/>
      <c r="B113" s="121" t="s">
        <v>106</v>
      </c>
      <c r="C113" s="64">
        <v>1</v>
      </c>
      <c r="D113" s="75" t="s">
        <v>75</v>
      </c>
      <c r="E113" s="184" t="s">
        <v>76</v>
      </c>
      <c r="F113" s="134"/>
      <c r="G113" s="134"/>
      <c r="H113" s="135"/>
      <c r="I113" s="152"/>
      <c r="J113" s="135"/>
      <c r="K113" s="136"/>
      <c r="L113" s="135"/>
      <c r="M113" s="137"/>
      <c r="N113" s="144"/>
      <c r="O113" s="130"/>
      <c r="P113" s="236"/>
      <c r="Q113" s="159"/>
      <c r="R113" s="177"/>
    </row>
    <row r="114" spans="1:22" s="72" customFormat="1" ht="14.25" x14ac:dyDescent="0.2">
      <c r="A114" s="63"/>
      <c r="B114" s="143" t="s">
        <v>74</v>
      </c>
      <c r="C114" s="64">
        <v>1</v>
      </c>
      <c r="D114" s="75" t="s">
        <v>75</v>
      </c>
      <c r="E114" s="184" t="s">
        <v>77</v>
      </c>
      <c r="F114" s="134"/>
      <c r="G114" s="134"/>
      <c r="H114" s="135"/>
      <c r="I114" s="152"/>
      <c r="J114" s="135"/>
      <c r="K114" s="136"/>
      <c r="L114" s="135"/>
      <c r="M114" s="137"/>
      <c r="N114" s="144"/>
      <c r="O114" s="130"/>
      <c r="P114" s="236"/>
      <c r="Q114" s="159"/>
      <c r="R114" s="177"/>
    </row>
    <row r="115" spans="1:22" s="72" customFormat="1" ht="6" customHeight="1" x14ac:dyDescent="0.2">
      <c r="A115" s="63"/>
      <c r="B115" s="143"/>
      <c r="C115" s="64"/>
      <c r="D115" s="75"/>
      <c r="E115" s="134"/>
      <c r="F115" s="134"/>
      <c r="G115" s="134"/>
      <c r="H115" s="135"/>
      <c r="I115" s="152"/>
      <c r="J115" s="135"/>
      <c r="K115" s="136"/>
      <c r="L115" s="135"/>
      <c r="M115" s="137"/>
      <c r="N115" s="144"/>
      <c r="O115" s="130"/>
      <c r="P115" s="236"/>
      <c r="Q115" s="159"/>
      <c r="R115" s="177"/>
    </row>
    <row r="116" spans="1:22" s="72" customFormat="1" ht="14.25" x14ac:dyDescent="0.2">
      <c r="A116" s="63"/>
      <c r="B116" s="121" t="s">
        <v>107</v>
      </c>
      <c r="C116" s="64">
        <v>1</v>
      </c>
      <c r="D116" s="75" t="s">
        <v>75</v>
      </c>
      <c r="E116" s="184" t="s">
        <v>76</v>
      </c>
      <c r="F116" s="134"/>
      <c r="G116" s="134"/>
      <c r="H116" s="135"/>
      <c r="I116" s="152"/>
      <c r="J116" s="135"/>
      <c r="K116" s="136"/>
      <c r="L116" s="135"/>
      <c r="M116" s="137"/>
      <c r="N116" s="144"/>
      <c r="O116" s="130"/>
      <c r="P116" s="236"/>
      <c r="Q116" s="159"/>
      <c r="R116" s="177"/>
    </row>
    <row r="117" spans="1:22" s="72" customFormat="1" ht="14.25" x14ac:dyDescent="0.2">
      <c r="A117" s="63"/>
      <c r="B117" s="143" t="s">
        <v>74</v>
      </c>
      <c r="C117" s="64">
        <v>1</v>
      </c>
      <c r="D117" s="75" t="s">
        <v>75</v>
      </c>
      <c r="E117" s="184" t="s">
        <v>77</v>
      </c>
      <c r="F117" s="134"/>
      <c r="G117" s="134"/>
      <c r="H117" s="135"/>
      <c r="I117" s="152"/>
      <c r="J117" s="135"/>
      <c r="K117" s="136"/>
      <c r="L117" s="135"/>
      <c r="M117" s="137"/>
      <c r="N117" s="144"/>
      <c r="O117" s="130"/>
      <c r="P117" s="236"/>
      <c r="Q117" s="159"/>
      <c r="R117" s="177"/>
    </row>
    <row r="118" spans="1:22" s="72" customFormat="1" ht="14.25" x14ac:dyDescent="0.2">
      <c r="A118" s="63"/>
      <c r="B118" s="143"/>
      <c r="C118" s="64"/>
      <c r="D118" s="75"/>
      <c r="E118" s="184"/>
      <c r="F118" s="134"/>
      <c r="G118" s="134"/>
      <c r="H118" s="135"/>
      <c r="I118" s="152"/>
      <c r="J118" s="135"/>
      <c r="K118" s="136"/>
      <c r="L118" s="135"/>
      <c r="M118" s="137"/>
      <c r="N118" s="144"/>
      <c r="O118" s="130"/>
      <c r="P118" s="236"/>
      <c r="Q118" s="159"/>
      <c r="R118" s="177"/>
    </row>
    <row r="119" spans="1:22" s="72" customFormat="1" ht="14.25" x14ac:dyDescent="0.2">
      <c r="A119" s="63"/>
      <c r="B119" s="143" t="s">
        <v>108</v>
      </c>
      <c r="C119" s="64">
        <v>1</v>
      </c>
      <c r="D119" s="75" t="s">
        <v>75</v>
      </c>
      <c r="E119" s="134">
        <v>2</v>
      </c>
      <c r="F119" s="134">
        <f>C119*E119</f>
        <v>2</v>
      </c>
      <c r="G119" s="134">
        <f>$H$11*E119</f>
        <v>104</v>
      </c>
      <c r="H119" s="135">
        <f>F119*$H$11</f>
        <v>104</v>
      </c>
      <c r="I119" s="152">
        <f>V119</f>
        <v>752</v>
      </c>
      <c r="J119" s="135">
        <f>C119*I119</f>
        <v>752</v>
      </c>
      <c r="K119" s="136">
        <f>SUM(H119,J119)</f>
        <v>856</v>
      </c>
      <c r="L119" s="135">
        <f>K119/C119</f>
        <v>856</v>
      </c>
      <c r="M119" s="137">
        <f>C119*L119</f>
        <v>856</v>
      </c>
      <c r="N119" s="144">
        <v>0</v>
      </c>
      <c r="O119" s="130">
        <f>M119*N119</f>
        <v>0</v>
      </c>
      <c r="P119" s="236"/>
      <c r="Q119" s="159"/>
      <c r="R119" s="388">
        <v>685</v>
      </c>
      <c r="S119" s="388">
        <v>15</v>
      </c>
      <c r="T119" s="388"/>
      <c r="U119" s="388">
        <f>$H$11*$U$13</f>
        <v>52</v>
      </c>
      <c r="V119" s="389">
        <f>SUM(R119:U119)</f>
        <v>752</v>
      </c>
    </row>
    <row r="120" spans="1:22" s="72" customFormat="1" ht="14.25" x14ac:dyDescent="0.2">
      <c r="A120" s="63"/>
      <c r="B120" s="143" t="s">
        <v>109</v>
      </c>
      <c r="C120" s="64"/>
      <c r="D120" s="75"/>
      <c r="E120" s="134"/>
      <c r="F120" s="134"/>
      <c r="G120" s="134"/>
      <c r="H120" s="135"/>
      <c r="I120" s="152"/>
      <c r="J120" s="135"/>
      <c r="K120" s="136"/>
      <c r="L120" s="135"/>
      <c r="M120" s="137"/>
      <c r="N120" s="144"/>
      <c r="O120" s="130"/>
      <c r="P120" s="236"/>
      <c r="Q120" s="159"/>
      <c r="R120" s="177"/>
    </row>
    <row r="121" spans="1:22" s="72" customFormat="1" ht="14.25" x14ac:dyDescent="0.2">
      <c r="A121" s="63"/>
      <c r="B121" s="143"/>
      <c r="C121" s="64"/>
      <c r="D121" s="75"/>
      <c r="E121" s="134"/>
      <c r="F121" s="134"/>
      <c r="G121" s="134"/>
      <c r="H121" s="135"/>
      <c r="I121" s="152"/>
      <c r="J121" s="135"/>
      <c r="K121" s="136"/>
      <c r="L121" s="135"/>
      <c r="M121" s="137"/>
      <c r="N121" s="144"/>
      <c r="O121" s="130"/>
      <c r="P121" s="236"/>
      <c r="Q121" s="159"/>
      <c r="R121" s="177"/>
    </row>
    <row r="122" spans="1:22" s="72" customFormat="1" ht="14.25" x14ac:dyDescent="0.2">
      <c r="A122" s="63"/>
      <c r="B122" s="143" t="s">
        <v>110</v>
      </c>
      <c r="C122" s="64">
        <v>1</v>
      </c>
      <c r="D122" s="75" t="s">
        <v>75</v>
      </c>
      <c r="E122" s="134">
        <v>2</v>
      </c>
      <c r="F122" s="134">
        <f>C122*E122</f>
        <v>2</v>
      </c>
      <c r="G122" s="134">
        <f>$H$11*E122</f>
        <v>104</v>
      </c>
      <c r="H122" s="135">
        <f>F122*$H$11</f>
        <v>104</v>
      </c>
      <c r="I122" s="152">
        <f>V122</f>
        <v>1592</v>
      </c>
      <c r="J122" s="135">
        <f>C122*I122</f>
        <v>1592</v>
      </c>
      <c r="K122" s="136">
        <f>SUM(H122,J122)</f>
        <v>1696</v>
      </c>
      <c r="L122" s="135">
        <f>K122/C122</f>
        <v>1696</v>
      </c>
      <c r="M122" s="137">
        <f>C122*L122</f>
        <v>1696</v>
      </c>
      <c r="N122" s="144">
        <v>0</v>
      </c>
      <c r="O122" s="130">
        <f>M122*N122</f>
        <v>0</v>
      </c>
      <c r="P122" s="587"/>
      <c r="Q122" s="159"/>
      <c r="R122" s="388">
        <v>1525</v>
      </c>
      <c r="S122" s="388">
        <v>15</v>
      </c>
      <c r="T122" s="388"/>
      <c r="U122" s="388">
        <f>$H$11*$U$13</f>
        <v>52</v>
      </c>
      <c r="V122" s="389">
        <f>SUM(R122:U122)</f>
        <v>1592</v>
      </c>
    </row>
    <row r="123" spans="1:22" s="72" customFormat="1" ht="14.25" x14ac:dyDescent="0.2">
      <c r="A123" s="63"/>
      <c r="B123" s="143" t="s">
        <v>69</v>
      </c>
      <c r="C123" s="64"/>
      <c r="D123" s="75"/>
      <c r="E123" s="134"/>
      <c r="F123" s="134"/>
      <c r="G123" s="134"/>
      <c r="H123" s="135"/>
      <c r="I123" s="152"/>
      <c r="J123" s="135"/>
      <c r="K123" s="136"/>
      <c r="L123" s="135"/>
      <c r="M123" s="137"/>
      <c r="N123" s="144"/>
      <c r="O123" s="130"/>
      <c r="P123" s="236"/>
      <c r="Q123" s="159"/>
      <c r="R123" s="177"/>
    </row>
    <row r="124" spans="1:22" s="72" customFormat="1" ht="14.25" x14ac:dyDescent="0.2">
      <c r="A124" s="63"/>
      <c r="B124" s="316" t="s">
        <v>534</v>
      </c>
      <c r="C124" s="64">
        <v>1</v>
      </c>
      <c r="D124" s="75" t="s">
        <v>75</v>
      </c>
      <c r="E124" s="134">
        <v>1</v>
      </c>
      <c r="F124" s="134">
        <f>C124*E124</f>
        <v>1</v>
      </c>
      <c r="G124" s="134">
        <f>$H$11*E124</f>
        <v>52</v>
      </c>
      <c r="H124" s="135">
        <f>F124*$H$11</f>
        <v>52</v>
      </c>
      <c r="I124" s="229">
        <v>125</v>
      </c>
      <c r="J124" s="135">
        <f>C124*I124</f>
        <v>125</v>
      </c>
      <c r="K124" s="136">
        <f>SUM(H124,J124)</f>
        <v>177</v>
      </c>
      <c r="L124" s="135">
        <f>K124/C124</f>
        <v>177</v>
      </c>
      <c r="M124" s="137">
        <f>C124*L124</f>
        <v>177</v>
      </c>
      <c r="N124" s="144">
        <v>0</v>
      </c>
      <c r="O124" s="130">
        <f>M124*N124</f>
        <v>0</v>
      </c>
      <c r="P124" s="236"/>
      <c r="Q124" s="159"/>
      <c r="R124" s="177"/>
    </row>
    <row r="125" spans="1:22" s="72" customFormat="1" ht="10.5" customHeight="1" x14ac:dyDescent="0.2">
      <c r="A125" s="63"/>
      <c r="B125" s="143"/>
      <c r="C125" s="64"/>
      <c r="D125" s="75"/>
      <c r="E125" s="134"/>
      <c r="F125" s="134"/>
      <c r="G125" s="134"/>
      <c r="H125" s="135"/>
      <c r="I125" s="152"/>
      <c r="J125" s="135"/>
      <c r="K125" s="136"/>
      <c r="L125" s="135"/>
      <c r="M125" s="137"/>
      <c r="N125" s="144"/>
      <c r="O125" s="130"/>
      <c r="P125" s="236"/>
      <c r="Q125" s="159"/>
      <c r="R125" s="177"/>
    </row>
    <row r="126" spans="1:22" s="72" customFormat="1" ht="14.25" x14ac:dyDescent="0.2">
      <c r="A126" s="63"/>
      <c r="B126" s="121" t="s">
        <v>111</v>
      </c>
      <c r="C126" s="64">
        <v>1</v>
      </c>
      <c r="D126" s="75" t="s">
        <v>75</v>
      </c>
      <c r="E126" s="184" t="s">
        <v>76</v>
      </c>
      <c r="F126" s="134"/>
      <c r="G126" s="134"/>
      <c r="H126" s="135"/>
      <c r="I126" s="152"/>
      <c r="J126" s="135"/>
      <c r="K126" s="136"/>
      <c r="L126" s="135"/>
      <c r="M126" s="137"/>
      <c r="N126" s="144"/>
      <c r="O126" s="130"/>
      <c r="P126" s="236"/>
      <c r="Q126" s="159"/>
      <c r="R126" s="177"/>
    </row>
    <row r="127" spans="1:22" s="72" customFormat="1" ht="14.25" x14ac:dyDescent="0.2">
      <c r="A127" s="63"/>
      <c r="B127" s="143" t="s">
        <v>74</v>
      </c>
      <c r="C127" s="64">
        <v>1</v>
      </c>
      <c r="D127" s="75" t="s">
        <v>75</v>
      </c>
      <c r="E127" s="184" t="s">
        <v>77</v>
      </c>
      <c r="F127" s="134"/>
      <c r="G127" s="134"/>
      <c r="H127" s="135"/>
      <c r="I127" s="152"/>
      <c r="J127" s="135"/>
      <c r="K127" s="136"/>
      <c r="L127" s="135"/>
      <c r="M127" s="137"/>
      <c r="N127" s="144"/>
      <c r="O127" s="130"/>
      <c r="P127" s="236"/>
      <c r="Q127" s="159"/>
      <c r="R127" s="177"/>
    </row>
    <row r="128" spans="1:22" s="72" customFormat="1" ht="14.25" x14ac:dyDescent="0.2">
      <c r="A128" s="63"/>
      <c r="B128" s="143"/>
      <c r="C128" s="64"/>
      <c r="D128" s="75"/>
      <c r="E128" s="184"/>
      <c r="F128" s="134"/>
      <c r="G128" s="134"/>
      <c r="H128" s="135"/>
      <c r="I128" s="152"/>
      <c r="J128" s="135"/>
      <c r="K128" s="136"/>
      <c r="L128" s="135"/>
      <c r="M128" s="137"/>
      <c r="N128" s="144"/>
      <c r="O128" s="130"/>
      <c r="P128" s="236"/>
      <c r="Q128" s="159"/>
      <c r="R128" s="177"/>
    </row>
    <row r="129" spans="1:22" s="72" customFormat="1" ht="25.5" x14ac:dyDescent="0.2">
      <c r="A129" s="63"/>
      <c r="B129" s="175" t="s">
        <v>112</v>
      </c>
      <c r="C129" s="64">
        <v>1</v>
      </c>
      <c r="D129" s="75" t="s">
        <v>75</v>
      </c>
      <c r="E129" s="134">
        <v>3</v>
      </c>
      <c r="F129" s="134">
        <f>C129*E129</f>
        <v>3</v>
      </c>
      <c r="G129" s="134">
        <f>$H$11*E129</f>
        <v>156</v>
      </c>
      <c r="H129" s="135">
        <f>F129*$H$11</f>
        <v>156</v>
      </c>
      <c r="I129" s="152">
        <f>V129</f>
        <v>2677</v>
      </c>
      <c r="J129" s="135">
        <f>C129*I129</f>
        <v>2677</v>
      </c>
      <c r="K129" s="136">
        <f>SUM(H129,J129)</f>
        <v>2833</v>
      </c>
      <c r="L129" s="135">
        <f>K129/C129</f>
        <v>2833</v>
      </c>
      <c r="M129" s="137">
        <f>C129*L129</f>
        <v>2833</v>
      </c>
      <c r="N129" s="144">
        <v>0</v>
      </c>
      <c r="O129" s="130">
        <f>M129*N129</f>
        <v>0</v>
      </c>
      <c r="P129" s="236"/>
      <c r="Q129" s="159"/>
      <c r="R129" s="388">
        <v>2610</v>
      </c>
      <c r="S129" s="388">
        <v>15</v>
      </c>
      <c r="T129" s="388"/>
      <c r="U129" s="388">
        <f>$H$11*$U$13</f>
        <v>52</v>
      </c>
      <c r="V129" s="389">
        <f>SUM(R129:U129)</f>
        <v>2677</v>
      </c>
    </row>
    <row r="130" spans="1:22" s="72" customFormat="1" ht="14.25" x14ac:dyDescent="0.2">
      <c r="A130" s="63"/>
      <c r="B130" s="143" t="s">
        <v>113</v>
      </c>
      <c r="C130" s="64"/>
      <c r="D130" s="75"/>
      <c r="E130" s="134"/>
      <c r="F130" s="134"/>
      <c r="G130" s="134"/>
      <c r="H130" s="135"/>
      <c r="I130" s="152"/>
      <c r="J130" s="135"/>
      <c r="K130" s="136"/>
      <c r="L130" s="135"/>
      <c r="M130" s="137"/>
      <c r="N130" s="144"/>
      <c r="O130" s="130"/>
      <c r="P130" s="236"/>
      <c r="Q130" s="159"/>
      <c r="R130" s="177"/>
    </row>
    <row r="131" spans="1:22" s="72" customFormat="1" ht="14.25" x14ac:dyDescent="0.2">
      <c r="A131" s="63"/>
      <c r="B131" s="143"/>
      <c r="C131" s="64"/>
      <c r="D131" s="75"/>
      <c r="E131" s="184"/>
      <c r="F131" s="134"/>
      <c r="G131" s="134"/>
      <c r="H131" s="135"/>
      <c r="I131" s="152"/>
      <c r="J131" s="135"/>
      <c r="K131" s="136"/>
      <c r="L131" s="135"/>
      <c r="M131" s="137"/>
      <c r="N131" s="144"/>
      <c r="O131" s="130"/>
      <c r="P131" s="236"/>
      <c r="Q131" s="159"/>
      <c r="R131" s="177"/>
    </row>
    <row r="132" spans="1:22" s="72" customFormat="1" ht="14.25" x14ac:dyDescent="0.2">
      <c r="A132" s="63"/>
      <c r="B132" s="143"/>
      <c r="C132" s="64"/>
      <c r="D132" s="75"/>
      <c r="E132" s="184"/>
      <c r="F132" s="134"/>
      <c r="G132" s="134"/>
      <c r="H132" s="135"/>
      <c r="I132" s="152"/>
      <c r="J132" s="135"/>
      <c r="K132" s="136"/>
      <c r="L132" s="135"/>
      <c r="M132" s="137"/>
      <c r="N132" s="144"/>
      <c r="O132" s="130"/>
      <c r="P132" s="236"/>
      <c r="Q132" s="159"/>
      <c r="R132" s="177"/>
    </row>
    <row r="133" spans="1:22" s="72" customFormat="1" ht="14.25" x14ac:dyDescent="0.2">
      <c r="A133" s="63"/>
      <c r="B133" s="175" t="s">
        <v>114</v>
      </c>
      <c r="C133" s="64">
        <v>219</v>
      </c>
      <c r="D133" s="75" t="s">
        <v>116</v>
      </c>
      <c r="E133" s="134">
        <v>0.2</v>
      </c>
      <c r="F133" s="134">
        <f>C133*E133</f>
        <v>43.800000000000004</v>
      </c>
      <c r="G133" s="134">
        <f>$H$11*E133</f>
        <v>10.4</v>
      </c>
      <c r="H133" s="135">
        <f>F133*$H$11</f>
        <v>2277.6000000000004</v>
      </c>
      <c r="I133" s="152">
        <v>5.7</v>
      </c>
      <c r="J133" s="135">
        <f>C133*I133</f>
        <v>1248.3</v>
      </c>
      <c r="K133" s="136">
        <f>SUM(H133,J133)</f>
        <v>3525.9000000000005</v>
      </c>
      <c r="L133" s="135">
        <f>K133/C133</f>
        <v>16.100000000000001</v>
      </c>
      <c r="M133" s="137">
        <f>C133*L133</f>
        <v>3525.9</v>
      </c>
      <c r="N133" s="144">
        <v>0</v>
      </c>
      <c r="O133" s="130">
        <f>M133*N133</f>
        <v>0</v>
      </c>
      <c r="P133" s="236"/>
      <c r="Q133" s="159"/>
      <c r="R133" s="159"/>
    </row>
    <row r="134" spans="1:22" s="72" customFormat="1" ht="25.5" x14ac:dyDescent="0.2">
      <c r="A134" s="63"/>
      <c r="B134" s="175" t="s">
        <v>832</v>
      </c>
      <c r="C134" s="64">
        <v>32</v>
      </c>
      <c r="D134" s="75" t="s">
        <v>116</v>
      </c>
      <c r="E134" s="134">
        <v>0.2</v>
      </c>
      <c r="F134" s="134">
        <f>C134*E134</f>
        <v>6.4</v>
      </c>
      <c r="G134" s="134">
        <f>$H$11*E134</f>
        <v>10.4</v>
      </c>
      <c r="H134" s="135">
        <f>F134*$H$11</f>
        <v>332.8</v>
      </c>
      <c r="I134" s="152">
        <v>14.9</v>
      </c>
      <c r="J134" s="135">
        <f>C134*I134</f>
        <v>476.8</v>
      </c>
      <c r="K134" s="136">
        <f>SUM(H134,J134)</f>
        <v>809.6</v>
      </c>
      <c r="L134" s="135">
        <f>K134/C134</f>
        <v>25.3</v>
      </c>
      <c r="M134" s="137">
        <f>C134*L134</f>
        <v>809.6</v>
      </c>
      <c r="N134" s="144">
        <v>0</v>
      </c>
      <c r="O134" s="130">
        <f>M134*N134</f>
        <v>0</v>
      </c>
      <c r="P134" s="236"/>
      <c r="Q134" s="159"/>
      <c r="R134" s="159"/>
    </row>
    <row r="135" spans="1:22" s="72" customFormat="1" ht="14.25" x14ac:dyDescent="0.2">
      <c r="A135" s="63"/>
      <c r="B135" s="175" t="s">
        <v>115</v>
      </c>
      <c r="C135" s="64">
        <v>7</v>
      </c>
      <c r="D135" s="75" t="s">
        <v>116</v>
      </c>
      <c r="E135" s="134">
        <v>0</v>
      </c>
      <c r="F135" s="134">
        <f>C135*E135</f>
        <v>0</v>
      </c>
      <c r="G135" s="134">
        <f>$H$11*E135</f>
        <v>0</v>
      </c>
      <c r="H135" s="135">
        <f>F135*$H$11</f>
        <v>0</v>
      </c>
      <c r="I135" s="152">
        <v>30</v>
      </c>
      <c r="J135" s="135">
        <f>C135*I135</f>
        <v>210</v>
      </c>
      <c r="K135" s="136">
        <f>SUM(H135,J135)</f>
        <v>210</v>
      </c>
      <c r="L135" s="135">
        <f>K135/C135</f>
        <v>30</v>
      </c>
      <c r="M135" s="137">
        <f>C135*L135</f>
        <v>210</v>
      </c>
      <c r="N135" s="144">
        <v>0</v>
      </c>
      <c r="O135" s="130">
        <f>M135*N135</f>
        <v>0</v>
      </c>
      <c r="P135" s="236"/>
      <c r="Q135" s="159"/>
      <c r="R135" s="159"/>
    </row>
    <row r="136" spans="1:22" s="72" customFormat="1" ht="14.25" x14ac:dyDescent="0.2">
      <c r="A136" s="63"/>
      <c r="B136" s="175"/>
      <c r="C136" s="64"/>
      <c r="D136" s="75"/>
      <c r="E136" s="134"/>
      <c r="F136" s="134"/>
      <c r="G136" s="134"/>
      <c r="H136" s="135"/>
      <c r="I136" s="152"/>
      <c r="J136" s="135"/>
      <c r="K136" s="136"/>
      <c r="L136" s="135"/>
      <c r="M136" s="137"/>
      <c r="N136" s="144"/>
      <c r="O136" s="130"/>
      <c r="P136" s="236"/>
      <c r="Q136" s="159"/>
      <c r="R136" s="159"/>
    </row>
    <row r="137" spans="1:22" s="72" customFormat="1" ht="14.25" x14ac:dyDescent="0.2">
      <c r="A137" s="63"/>
      <c r="B137" s="143" t="s">
        <v>733</v>
      </c>
      <c r="C137" s="555">
        <f>'WORKINGS_Ali L4'!AQ2</f>
        <v>97.55</v>
      </c>
      <c r="D137" s="75" t="s">
        <v>116</v>
      </c>
      <c r="E137" s="134">
        <v>0.05</v>
      </c>
      <c r="F137" s="134">
        <f>C137*E137</f>
        <v>4.8775000000000004</v>
      </c>
      <c r="G137" s="134">
        <f>$H$11*E137</f>
        <v>2.6</v>
      </c>
      <c r="H137" s="135">
        <f>F137*$H$11</f>
        <v>253.63000000000002</v>
      </c>
      <c r="I137" s="152">
        <v>2.1</v>
      </c>
      <c r="J137" s="135">
        <f>C137*I137</f>
        <v>204.85499999999999</v>
      </c>
      <c r="K137" s="136">
        <f>SUM(H137,J137)</f>
        <v>458.48500000000001</v>
      </c>
      <c r="L137" s="135">
        <f>K137/C137</f>
        <v>4.7</v>
      </c>
      <c r="M137" s="137">
        <f>C137*L137</f>
        <v>458.48500000000001</v>
      </c>
      <c r="N137" s="144">
        <v>0</v>
      </c>
      <c r="O137" s="130">
        <f>M137*N137</f>
        <v>0</v>
      </c>
      <c r="P137" s="236"/>
      <c r="Q137" s="159"/>
      <c r="R137" s="159"/>
    </row>
    <row r="138" spans="1:22" s="72" customFormat="1" ht="14.25" x14ac:dyDescent="0.2">
      <c r="A138" s="63"/>
      <c r="B138" s="175"/>
      <c r="C138" s="64"/>
      <c r="D138" s="75"/>
      <c r="E138" s="134"/>
      <c r="F138" s="134"/>
      <c r="G138" s="134"/>
      <c r="H138" s="135"/>
      <c r="I138" s="152"/>
      <c r="J138" s="135"/>
      <c r="K138" s="136"/>
      <c r="L138" s="135"/>
      <c r="M138" s="137"/>
      <c r="N138" s="144"/>
      <c r="O138" s="130"/>
      <c r="P138" s="236"/>
      <c r="Q138" s="159"/>
      <c r="R138" s="159"/>
    </row>
    <row r="139" spans="1:22" s="72" customFormat="1" ht="14.25" x14ac:dyDescent="0.2">
      <c r="A139" s="63"/>
      <c r="B139" s="175" t="s">
        <v>326</v>
      </c>
      <c r="C139" s="64">
        <v>2</v>
      </c>
      <c r="D139" s="75" t="s">
        <v>148</v>
      </c>
      <c r="E139" s="134">
        <v>1.25</v>
      </c>
      <c r="F139" s="134">
        <f>C139*E139</f>
        <v>2.5</v>
      </c>
      <c r="G139" s="134">
        <f>$H$11*E139</f>
        <v>65</v>
      </c>
      <c r="H139" s="135">
        <f>F139*$H$11</f>
        <v>130</v>
      </c>
      <c r="I139" s="152">
        <v>205</v>
      </c>
      <c r="J139" s="135">
        <f>C139*I139</f>
        <v>410</v>
      </c>
      <c r="K139" s="136">
        <f>SUM(H139,J139)</f>
        <v>540</v>
      </c>
      <c r="L139" s="135">
        <f>K139/C139</f>
        <v>270</v>
      </c>
      <c r="M139" s="137">
        <f>C139*L139</f>
        <v>540</v>
      </c>
      <c r="N139" s="144">
        <v>0</v>
      </c>
      <c r="O139" s="130">
        <f>M139*N139</f>
        <v>0</v>
      </c>
      <c r="P139" s="236"/>
      <c r="Q139" s="159"/>
      <c r="R139" s="159"/>
    </row>
    <row r="140" spans="1:22" s="72" customFormat="1" ht="14.25" x14ac:dyDescent="0.2">
      <c r="A140" s="63"/>
      <c r="B140" s="175"/>
      <c r="C140" s="64"/>
      <c r="D140" s="75"/>
      <c r="E140" s="134"/>
      <c r="F140" s="134"/>
      <c r="G140" s="134"/>
      <c r="H140" s="135"/>
      <c r="I140" s="152"/>
      <c r="J140" s="135"/>
      <c r="K140" s="136"/>
      <c r="L140" s="135"/>
      <c r="M140" s="137"/>
      <c r="N140" s="144"/>
      <c r="O140" s="130"/>
      <c r="P140" s="236"/>
      <c r="Q140" s="159"/>
      <c r="R140" s="159"/>
    </row>
    <row r="141" spans="1:22" s="72" customFormat="1" ht="14.25" x14ac:dyDescent="0.2">
      <c r="A141" s="63"/>
      <c r="B141" s="175"/>
      <c r="C141" s="64"/>
      <c r="D141" s="75"/>
      <c r="E141" s="134"/>
      <c r="F141" s="134"/>
      <c r="G141" s="134"/>
      <c r="H141" s="135"/>
      <c r="I141" s="152"/>
      <c r="J141" s="135"/>
      <c r="K141" s="136"/>
      <c r="L141" s="135"/>
      <c r="M141" s="137"/>
      <c r="N141" s="144"/>
      <c r="O141" s="130"/>
      <c r="P141" s="236"/>
      <c r="Q141" s="159"/>
      <c r="R141" s="159"/>
    </row>
    <row r="142" spans="1:22" s="72" customFormat="1" ht="14.25" x14ac:dyDescent="0.2">
      <c r="A142" s="225"/>
      <c r="B142" s="200" t="s">
        <v>323</v>
      </c>
      <c r="C142" s="201">
        <v>1</v>
      </c>
      <c r="D142" s="226" t="s">
        <v>75</v>
      </c>
      <c r="E142" s="227">
        <v>0</v>
      </c>
      <c r="F142" s="227">
        <f>C142*E142</f>
        <v>0</v>
      </c>
      <c r="G142" s="227">
        <f>$H$11*E142</f>
        <v>0</v>
      </c>
      <c r="H142" s="228">
        <f>F142*$H$11</f>
        <v>0</v>
      </c>
      <c r="I142" s="229">
        <f>'WORKINGS_Ali L4 (2)'!AV55</f>
        <v>28137.192666000003</v>
      </c>
      <c r="J142" s="228">
        <f>C142*I142</f>
        <v>28137.192666000003</v>
      </c>
      <c r="K142" s="230">
        <f>SUM(H142,J142)</f>
        <v>28137.192666000003</v>
      </c>
      <c r="L142" s="228">
        <f>K142/C142</f>
        <v>28137.192666000003</v>
      </c>
      <c r="M142" s="231">
        <f>C142*L142</f>
        <v>28137.192666000003</v>
      </c>
      <c r="N142" s="232">
        <v>0</v>
      </c>
      <c r="O142" s="233">
        <f>M142*N142</f>
        <v>0</v>
      </c>
      <c r="P142" s="236"/>
      <c r="Q142" s="159"/>
      <c r="R142" s="159"/>
    </row>
    <row r="143" spans="1:22" s="72" customFormat="1" ht="14.25" x14ac:dyDescent="0.2">
      <c r="A143" s="225"/>
      <c r="B143" s="200" t="s">
        <v>796</v>
      </c>
      <c r="C143" s="201">
        <v>1</v>
      </c>
      <c r="D143" s="226" t="s">
        <v>75</v>
      </c>
      <c r="E143" s="227">
        <v>0</v>
      </c>
      <c r="F143" s="227">
        <f>C143*E143</f>
        <v>0</v>
      </c>
      <c r="G143" s="227">
        <f>$H$11*E143</f>
        <v>0</v>
      </c>
      <c r="H143" s="228">
        <f>F143*$H$11</f>
        <v>0</v>
      </c>
      <c r="I143" s="390">
        <v>12440</v>
      </c>
      <c r="J143" s="228">
        <f>C143*I143</f>
        <v>12440</v>
      </c>
      <c r="K143" s="230">
        <f>SUM(H143,J143)</f>
        <v>12440</v>
      </c>
      <c r="L143" s="228">
        <f>K143/C143</f>
        <v>12440</v>
      </c>
      <c r="M143" s="231">
        <f>C143*L143</f>
        <v>12440</v>
      </c>
      <c r="N143" s="232">
        <v>0</v>
      </c>
      <c r="O143" s="233">
        <f>M143*N143</f>
        <v>0</v>
      </c>
      <c r="P143" s="236"/>
      <c r="Q143" s="159"/>
      <c r="R143" s="159"/>
    </row>
    <row r="144" spans="1:22" s="72" customFormat="1" ht="14.25" x14ac:dyDescent="0.2">
      <c r="A144" s="225"/>
      <c r="B144" s="200" t="s">
        <v>522</v>
      </c>
      <c r="C144" s="384" t="s">
        <v>523</v>
      </c>
      <c r="D144" s="226"/>
      <c r="E144" s="227"/>
      <c r="F144" s="227"/>
      <c r="G144" s="227"/>
      <c r="H144" s="228"/>
      <c r="I144" s="229"/>
      <c r="J144" s="228"/>
      <c r="K144" s="230"/>
      <c r="L144" s="228"/>
      <c r="M144" s="231"/>
      <c r="N144" s="232"/>
      <c r="O144" s="233"/>
      <c r="P144" s="236"/>
      <c r="Q144" s="159"/>
      <c r="R144" s="159"/>
    </row>
    <row r="145" spans="1:22" s="72" customFormat="1" ht="14.25" x14ac:dyDescent="0.2">
      <c r="A145" s="225"/>
      <c r="B145" s="200" t="s">
        <v>536</v>
      </c>
      <c r="C145" s="201">
        <v>12</v>
      </c>
      <c r="D145" s="226" t="s">
        <v>75</v>
      </c>
      <c r="E145" s="227">
        <v>0</v>
      </c>
      <c r="F145" s="227">
        <f>C145*E145</f>
        <v>0</v>
      </c>
      <c r="G145" s="227">
        <f>$H$11*E145</f>
        <v>0</v>
      </c>
      <c r="H145" s="228">
        <f>F145*$H$11</f>
        <v>0</v>
      </c>
      <c r="I145" s="229">
        <v>200</v>
      </c>
      <c r="J145" s="228">
        <f>C145*I145</f>
        <v>2400</v>
      </c>
      <c r="K145" s="230">
        <f>SUM(H145,J145)</f>
        <v>2400</v>
      </c>
      <c r="L145" s="228">
        <f>K145/C145</f>
        <v>200</v>
      </c>
      <c r="M145" s="231">
        <f>C145*L145</f>
        <v>2400</v>
      </c>
      <c r="N145" s="232">
        <v>0</v>
      </c>
      <c r="O145" s="233">
        <f>M145*N145</f>
        <v>0</v>
      </c>
      <c r="P145" s="236"/>
      <c r="Q145" s="159"/>
      <c r="R145" s="388">
        <v>2400</v>
      </c>
      <c r="S145" s="388"/>
      <c r="T145" s="388"/>
      <c r="U145" s="388"/>
      <c r="V145" s="389">
        <f>SUM(R145:U145)</f>
        <v>2400</v>
      </c>
    </row>
    <row r="146" spans="1:22" s="72" customFormat="1" ht="14.25" x14ac:dyDescent="0.2">
      <c r="A146" s="63"/>
      <c r="B146" s="143"/>
      <c r="C146" s="64"/>
      <c r="D146" s="75"/>
      <c r="E146" s="134"/>
      <c r="F146" s="134"/>
      <c r="G146" s="134"/>
      <c r="H146" s="135"/>
      <c r="I146" s="152"/>
      <c r="J146" s="135"/>
      <c r="K146" s="136"/>
      <c r="L146" s="135"/>
      <c r="M146" s="137"/>
      <c r="N146" s="144"/>
      <c r="O146" s="130"/>
      <c r="P146" s="236"/>
      <c r="Q146" s="159"/>
      <c r="R146" s="159"/>
    </row>
    <row r="147" spans="1:22" s="72" customFormat="1" ht="14.25" x14ac:dyDescent="0.2">
      <c r="A147" s="63"/>
      <c r="B147" s="143"/>
      <c r="C147" s="64"/>
      <c r="D147" s="75"/>
      <c r="E147" s="134"/>
      <c r="F147" s="134"/>
      <c r="G147" s="134"/>
      <c r="H147" s="135"/>
      <c r="I147" s="152"/>
      <c r="J147" s="135"/>
      <c r="K147" s="136"/>
      <c r="L147" s="135"/>
      <c r="M147" s="137"/>
      <c r="N147" s="144"/>
      <c r="O147" s="130"/>
      <c r="P147" s="236"/>
      <c r="Q147" s="159"/>
      <c r="R147" s="159"/>
    </row>
    <row r="148" spans="1:22" s="72" customFormat="1" ht="15" x14ac:dyDescent="0.2">
      <c r="A148" s="63"/>
      <c r="B148" s="176" t="s">
        <v>59</v>
      </c>
      <c r="C148" s="64"/>
      <c r="D148" s="75"/>
      <c r="E148" s="128"/>
      <c r="F148" s="129"/>
      <c r="G148" s="129"/>
      <c r="H148" s="129"/>
      <c r="I148" s="153"/>
      <c r="J148" s="128"/>
      <c r="K148" s="128"/>
      <c r="L148" s="128"/>
      <c r="M148" s="120"/>
      <c r="N148" s="126"/>
      <c r="O148" s="127"/>
      <c r="P148" s="235"/>
      <c r="Q148" s="159"/>
      <c r="R148" s="159"/>
    </row>
    <row r="149" spans="1:22" s="72" customFormat="1" ht="14.25" x14ac:dyDescent="0.2">
      <c r="A149" s="63"/>
      <c r="B149" s="143"/>
      <c r="C149" s="64"/>
      <c r="D149" s="75"/>
      <c r="E149" s="134"/>
      <c r="F149" s="134"/>
      <c r="G149" s="134"/>
      <c r="H149" s="135"/>
      <c r="I149" s="152"/>
      <c r="J149" s="135"/>
      <c r="K149" s="136"/>
      <c r="L149" s="135"/>
      <c r="M149" s="137"/>
      <c r="N149" s="144"/>
      <c r="O149" s="130"/>
      <c r="P149" s="236"/>
      <c r="Q149" s="159"/>
      <c r="R149" s="159"/>
    </row>
    <row r="150" spans="1:22" s="72" customFormat="1" ht="18.75" customHeight="1" x14ac:dyDescent="0.2">
      <c r="A150" s="63"/>
      <c r="B150" s="175" t="s">
        <v>120</v>
      </c>
      <c r="C150" s="64">
        <v>1</v>
      </c>
      <c r="D150" s="75" t="s">
        <v>75</v>
      </c>
      <c r="E150" s="134">
        <v>2</v>
      </c>
      <c r="F150" s="134">
        <f>C150*E150</f>
        <v>2</v>
      </c>
      <c r="G150" s="134">
        <f>$H$11*E150</f>
        <v>104</v>
      </c>
      <c r="H150" s="135">
        <f>F150*$H$11</f>
        <v>104</v>
      </c>
      <c r="I150" s="152">
        <f>V150</f>
        <v>1592</v>
      </c>
      <c r="J150" s="135">
        <f>C150*I150</f>
        <v>1592</v>
      </c>
      <c r="K150" s="136">
        <f>SUM(H150,J150)</f>
        <v>1696</v>
      </c>
      <c r="L150" s="135">
        <f>K150/C150</f>
        <v>1696</v>
      </c>
      <c r="M150" s="137">
        <f>C150*L150</f>
        <v>1696</v>
      </c>
      <c r="N150" s="144">
        <v>0</v>
      </c>
      <c r="O150" s="130">
        <f>M150*N150</f>
        <v>0</v>
      </c>
      <c r="P150" s="587"/>
      <c r="Q150" s="159"/>
      <c r="R150" s="388">
        <v>1525</v>
      </c>
      <c r="S150" s="388">
        <v>15</v>
      </c>
      <c r="T150" s="388"/>
      <c r="U150" s="388">
        <f>$H$11*$U$13</f>
        <v>52</v>
      </c>
      <c r="V150" s="389">
        <f>SUM(R150:U150)</f>
        <v>1592</v>
      </c>
    </row>
    <row r="151" spans="1:22" s="72" customFormat="1" ht="14.25" x14ac:dyDescent="0.2">
      <c r="A151" s="63"/>
      <c r="B151" s="143" t="s">
        <v>69</v>
      </c>
      <c r="C151" s="64"/>
      <c r="D151" s="75"/>
      <c r="E151" s="134"/>
      <c r="F151" s="134"/>
      <c r="G151" s="134"/>
      <c r="H151" s="135"/>
      <c r="I151" s="152"/>
      <c r="J151" s="135"/>
      <c r="K151" s="136"/>
      <c r="L151" s="135"/>
      <c r="M151" s="137"/>
      <c r="N151" s="144"/>
      <c r="O151" s="130"/>
      <c r="P151" s="236"/>
      <c r="Q151" s="159"/>
      <c r="R151" s="177"/>
    </row>
    <row r="152" spans="1:22" s="72" customFormat="1" ht="14.25" x14ac:dyDescent="0.2">
      <c r="A152" s="63"/>
      <c r="B152" s="316" t="s">
        <v>534</v>
      </c>
      <c r="C152" s="64">
        <v>1</v>
      </c>
      <c r="D152" s="75" t="s">
        <v>75</v>
      </c>
      <c r="E152" s="134">
        <v>1</v>
      </c>
      <c r="F152" s="134">
        <f>C152*E152</f>
        <v>1</v>
      </c>
      <c r="G152" s="134">
        <f>$H$11*E152</f>
        <v>52</v>
      </c>
      <c r="H152" s="135">
        <f>F152*$H$11</f>
        <v>52</v>
      </c>
      <c r="I152" s="229">
        <v>125</v>
      </c>
      <c r="J152" s="135">
        <f>C152*I152</f>
        <v>125</v>
      </c>
      <c r="K152" s="136">
        <f>SUM(H152,J152)</f>
        <v>177</v>
      </c>
      <c r="L152" s="135">
        <f>K152/C152</f>
        <v>177</v>
      </c>
      <c r="M152" s="137">
        <f>C152*L152</f>
        <v>177</v>
      </c>
      <c r="N152" s="144">
        <v>0</v>
      </c>
      <c r="O152" s="130">
        <f>M152*N152</f>
        <v>0</v>
      </c>
      <c r="P152" s="236"/>
      <c r="Q152" s="159"/>
      <c r="R152" s="177"/>
    </row>
    <row r="153" spans="1:22" s="72" customFormat="1" ht="9" customHeight="1" x14ac:dyDescent="0.2">
      <c r="A153" s="63"/>
      <c r="B153" s="143"/>
      <c r="C153" s="64"/>
      <c r="D153" s="75"/>
      <c r="E153" s="134"/>
      <c r="F153" s="134"/>
      <c r="G153" s="134"/>
      <c r="H153" s="135"/>
      <c r="I153" s="152"/>
      <c r="J153" s="135"/>
      <c r="K153" s="136"/>
      <c r="L153" s="135"/>
      <c r="M153" s="137"/>
      <c r="N153" s="144"/>
      <c r="O153" s="130"/>
      <c r="P153" s="236"/>
      <c r="Q153" s="159"/>
      <c r="R153" s="159"/>
    </row>
    <row r="154" spans="1:22" s="72" customFormat="1" ht="14.25" x14ac:dyDescent="0.2">
      <c r="A154" s="63"/>
      <c r="B154" s="121" t="s">
        <v>121</v>
      </c>
      <c r="C154" s="64">
        <v>1</v>
      </c>
      <c r="D154" s="75" t="s">
        <v>75</v>
      </c>
      <c r="E154" s="184" t="s">
        <v>76</v>
      </c>
      <c r="F154" s="134"/>
      <c r="G154" s="134"/>
      <c r="H154" s="135"/>
      <c r="I154" s="152"/>
      <c r="J154" s="135"/>
      <c r="K154" s="136"/>
      <c r="L154" s="135"/>
      <c r="M154" s="137"/>
      <c r="N154" s="144"/>
      <c r="O154" s="130"/>
      <c r="P154" s="236"/>
      <c r="Q154" s="159"/>
      <c r="R154" s="159"/>
    </row>
    <row r="155" spans="1:22" s="72" customFormat="1" ht="14.25" x14ac:dyDescent="0.2">
      <c r="A155" s="63"/>
      <c r="B155" s="143" t="s">
        <v>74</v>
      </c>
      <c r="C155" s="64">
        <v>1</v>
      </c>
      <c r="D155" s="75" t="s">
        <v>75</v>
      </c>
      <c r="E155" s="184" t="s">
        <v>77</v>
      </c>
      <c r="F155" s="134"/>
      <c r="G155" s="134"/>
      <c r="H155" s="135"/>
      <c r="I155" s="152"/>
      <c r="J155" s="135"/>
      <c r="K155" s="136"/>
      <c r="L155" s="135"/>
      <c r="M155" s="137"/>
      <c r="N155" s="144"/>
      <c r="O155" s="130"/>
      <c r="P155" s="236"/>
      <c r="Q155" s="159"/>
      <c r="R155" s="159"/>
    </row>
    <row r="156" spans="1:22" s="72" customFormat="1" ht="14.25" x14ac:dyDescent="0.2">
      <c r="A156" s="63"/>
      <c r="B156" s="143"/>
      <c r="C156" s="64"/>
      <c r="D156" s="75"/>
      <c r="E156" s="134"/>
      <c r="F156" s="134"/>
      <c r="G156" s="134"/>
      <c r="H156" s="135"/>
      <c r="I156" s="152"/>
      <c r="J156" s="135"/>
      <c r="K156" s="136"/>
      <c r="L156" s="135"/>
      <c r="M156" s="137"/>
      <c r="N156" s="144"/>
      <c r="O156" s="130"/>
      <c r="P156" s="236"/>
      <c r="Q156" s="159"/>
      <c r="R156" s="159"/>
    </row>
    <row r="157" spans="1:22" s="72" customFormat="1" ht="15.75" customHeight="1" x14ac:dyDescent="0.2">
      <c r="A157" s="63"/>
      <c r="B157" s="175" t="s">
        <v>123</v>
      </c>
      <c r="C157" s="64">
        <v>1</v>
      </c>
      <c r="D157" s="75" t="s">
        <v>75</v>
      </c>
      <c r="E157" s="134">
        <v>2</v>
      </c>
      <c r="F157" s="134">
        <f>C157*E157</f>
        <v>2</v>
      </c>
      <c r="G157" s="134">
        <f>$H$11*E157</f>
        <v>104</v>
      </c>
      <c r="H157" s="135">
        <f>F157*$H$11</f>
        <v>104</v>
      </c>
      <c r="I157" s="152">
        <f>V157</f>
        <v>1592</v>
      </c>
      <c r="J157" s="135">
        <f>C157*I157</f>
        <v>1592</v>
      </c>
      <c r="K157" s="136">
        <f>SUM(H157,J157)</f>
        <v>1696</v>
      </c>
      <c r="L157" s="135">
        <f>K157/C157</f>
        <v>1696</v>
      </c>
      <c r="M157" s="137">
        <f>C157*L157</f>
        <v>1696</v>
      </c>
      <c r="N157" s="144">
        <v>0</v>
      </c>
      <c r="O157" s="130">
        <f>M157*N157</f>
        <v>0</v>
      </c>
      <c r="P157" s="587"/>
      <c r="Q157" s="159"/>
      <c r="R157" s="388">
        <v>1525</v>
      </c>
      <c r="S157" s="388">
        <v>15</v>
      </c>
      <c r="T157" s="388"/>
      <c r="U157" s="388">
        <f>$H$11*$U$13</f>
        <v>52</v>
      </c>
      <c r="V157" s="389">
        <f>SUM(R157:U157)</f>
        <v>1592</v>
      </c>
    </row>
    <row r="158" spans="1:22" s="72" customFormat="1" ht="14.25" x14ac:dyDescent="0.2">
      <c r="A158" s="63"/>
      <c r="B158" s="143" t="s">
        <v>69</v>
      </c>
      <c r="C158" s="64"/>
      <c r="D158" s="75"/>
      <c r="E158" s="134"/>
      <c r="F158" s="134"/>
      <c r="G158" s="134"/>
      <c r="H158" s="135"/>
      <c r="I158" s="152"/>
      <c r="J158" s="135"/>
      <c r="K158" s="136"/>
      <c r="L158" s="135"/>
      <c r="M158" s="137"/>
      <c r="N158" s="144"/>
      <c r="O158" s="130"/>
      <c r="P158" s="236"/>
      <c r="Q158" s="159"/>
      <c r="R158" s="177"/>
    </row>
    <row r="159" spans="1:22" s="72" customFormat="1" ht="14.25" x14ac:dyDescent="0.2">
      <c r="A159" s="63"/>
      <c r="B159" s="316" t="s">
        <v>534</v>
      </c>
      <c r="C159" s="64">
        <v>1</v>
      </c>
      <c r="D159" s="75" t="s">
        <v>75</v>
      </c>
      <c r="E159" s="134">
        <v>1</v>
      </c>
      <c r="F159" s="134">
        <f>C159*E159</f>
        <v>1</v>
      </c>
      <c r="G159" s="134">
        <f>$H$11*E159</f>
        <v>52</v>
      </c>
      <c r="H159" s="135">
        <f>F159*$H$11</f>
        <v>52</v>
      </c>
      <c r="I159" s="229">
        <v>125</v>
      </c>
      <c r="J159" s="135">
        <f>C159*I159</f>
        <v>125</v>
      </c>
      <c r="K159" s="136">
        <f>SUM(H159,J159)</f>
        <v>177</v>
      </c>
      <c r="L159" s="135">
        <f>K159/C159</f>
        <v>177</v>
      </c>
      <c r="M159" s="137">
        <f>C159*L159</f>
        <v>177</v>
      </c>
      <c r="N159" s="144">
        <v>0</v>
      </c>
      <c r="O159" s="130">
        <f>M159*N159</f>
        <v>0</v>
      </c>
      <c r="P159" s="236"/>
      <c r="Q159" s="159"/>
      <c r="R159" s="177"/>
    </row>
    <row r="160" spans="1:22" s="72" customFormat="1" ht="9" customHeight="1" x14ac:dyDescent="0.2">
      <c r="A160" s="63"/>
      <c r="B160" s="143"/>
      <c r="C160" s="64"/>
      <c r="D160" s="75"/>
      <c r="E160" s="134"/>
      <c r="F160" s="134"/>
      <c r="G160" s="134"/>
      <c r="H160" s="135"/>
      <c r="I160" s="152"/>
      <c r="J160" s="135"/>
      <c r="K160" s="136"/>
      <c r="L160" s="135"/>
      <c r="M160" s="137"/>
      <c r="N160" s="144"/>
      <c r="O160" s="130"/>
      <c r="P160" s="236"/>
      <c r="Q160" s="159"/>
      <c r="R160" s="159"/>
    </row>
    <row r="161" spans="1:22" s="72" customFormat="1" ht="14.25" x14ac:dyDescent="0.2">
      <c r="A161" s="63"/>
      <c r="B161" s="121" t="s">
        <v>122</v>
      </c>
      <c r="C161" s="64">
        <v>1</v>
      </c>
      <c r="D161" s="75" t="s">
        <v>75</v>
      </c>
      <c r="E161" s="184" t="s">
        <v>76</v>
      </c>
      <c r="F161" s="134"/>
      <c r="G161" s="134"/>
      <c r="H161" s="135"/>
      <c r="I161" s="152"/>
      <c r="J161" s="135"/>
      <c r="K161" s="136"/>
      <c r="L161" s="135"/>
      <c r="M161" s="137"/>
      <c r="N161" s="144"/>
      <c r="O161" s="130"/>
      <c r="P161" s="236"/>
      <c r="Q161" s="159"/>
      <c r="R161" s="159"/>
    </row>
    <row r="162" spans="1:22" s="72" customFormat="1" ht="14.25" x14ac:dyDescent="0.2">
      <c r="A162" s="63"/>
      <c r="B162" s="143" t="s">
        <v>74</v>
      </c>
      <c r="C162" s="64">
        <v>1</v>
      </c>
      <c r="D162" s="75" t="s">
        <v>75</v>
      </c>
      <c r="E162" s="184" t="s">
        <v>77</v>
      </c>
      <c r="F162" s="134"/>
      <c r="G162" s="134"/>
      <c r="H162" s="135"/>
      <c r="I162" s="152"/>
      <c r="J162" s="135"/>
      <c r="K162" s="136"/>
      <c r="L162" s="135"/>
      <c r="M162" s="137"/>
      <c r="N162" s="144"/>
      <c r="O162" s="130"/>
      <c r="P162" s="236"/>
      <c r="Q162" s="159"/>
      <c r="R162" s="159"/>
    </row>
    <row r="163" spans="1:22" s="72" customFormat="1" ht="14.25" x14ac:dyDescent="0.2">
      <c r="A163" s="63"/>
      <c r="B163" s="143"/>
      <c r="C163" s="64"/>
      <c r="D163" s="75"/>
      <c r="E163" s="134"/>
      <c r="F163" s="134"/>
      <c r="G163" s="134"/>
      <c r="H163" s="135"/>
      <c r="I163" s="152"/>
      <c r="J163" s="135"/>
      <c r="K163" s="136"/>
      <c r="L163" s="135"/>
      <c r="M163" s="137"/>
      <c r="N163" s="144"/>
      <c r="O163" s="130"/>
      <c r="P163" s="236"/>
      <c r="Q163" s="159"/>
      <c r="R163" s="159"/>
    </row>
    <row r="164" spans="1:22" s="72" customFormat="1" ht="25.5" x14ac:dyDescent="0.2">
      <c r="A164" s="63"/>
      <c r="B164" s="175" t="s">
        <v>124</v>
      </c>
      <c r="C164" s="64">
        <v>1</v>
      </c>
      <c r="D164" s="75" t="s">
        <v>75</v>
      </c>
      <c r="E164" s="134">
        <v>2</v>
      </c>
      <c r="F164" s="134">
        <f>C164*E164</f>
        <v>2</v>
      </c>
      <c r="G164" s="134">
        <f>$H$11*E164</f>
        <v>104</v>
      </c>
      <c r="H164" s="135">
        <f>F164*$H$11</f>
        <v>104</v>
      </c>
      <c r="I164" s="152">
        <f>V164</f>
        <v>3040</v>
      </c>
      <c r="J164" s="135">
        <f>C164*I164</f>
        <v>3040</v>
      </c>
      <c r="K164" s="136">
        <f>SUM(H164,J164)</f>
        <v>3144</v>
      </c>
      <c r="L164" s="135">
        <f>K164/C164</f>
        <v>3144</v>
      </c>
      <c r="M164" s="137">
        <f>C164*L164</f>
        <v>3144</v>
      </c>
      <c r="N164" s="144">
        <v>0</v>
      </c>
      <c r="O164" s="130">
        <f>M164*N164</f>
        <v>0</v>
      </c>
      <c r="P164" s="236"/>
      <c r="Q164" s="159"/>
      <c r="R164" s="388">
        <v>2973</v>
      </c>
      <c r="S164" s="388">
        <v>15</v>
      </c>
      <c r="T164" s="388"/>
      <c r="U164" s="388">
        <f>$H$11*$U$13</f>
        <v>52</v>
      </c>
      <c r="V164" s="389">
        <f>SUM(R164:U164)</f>
        <v>3040</v>
      </c>
    </row>
    <row r="165" spans="1:22" s="72" customFormat="1" ht="14.25" x14ac:dyDescent="0.2">
      <c r="A165" s="63"/>
      <c r="B165" s="143" t="s">
        <v>69</v>
      </c>
      <c r="C165" s="64"/>
      <c r="D165" s="75"/>
      <c r="E165" s="184"/>
      <c r="F165" s="134"/>
      <c r="G165" s="134"/>
      <c r="H165" s="135"/>
      <c r="I165" s="152"/>
      <c r="J165" s="135"/>
      <c r="K165" s="136"/>
      <c r="L165" s="135"/>
      <c r="M165" s="137"/>
      <c r="N165" s="144"/>
      <c r="O165" s="130"/>
      <c r="P165" s="236"/>
      <c r="Q165" s="159"/>
      <c r="R165" s="177"/>
    </row>
    <row r="166" spans="1:22" s="72" customFormat="1" ht="14.25" x14ac:dyDescent="0.2">
      <c r="A166" s="63"/>
      <c r="B166" s="316" t="s">
        <v>83</v>
      </c>
      <c r="C166" s="64">
        <v>1</v>
      </c>
      <c r="D166" s="75" t="s">
        <v>75</v>
      </c>
      <c r="E166" s="134">
        <v>1</v>
      </c>
      <c r="F166" s="134">
        <f>C166*E166</f>
        <v>1</v>
      </c>
      <c r="G166" s="134">
        <f>$H$11*E166</f>
        <v>52</v>
      </c>
      <c r="H166" s="135">
        <f>F166*$H$11</f>
        <v>52</v>
      </c>
      <c r="I166" s="229">
        <v>125</v>
      </c>
      <c r="J166" s="135">
        <f>C166*I166</f>
        <v>125</v>
      </c>
      <c r="K166" s="136">
        <f>SUM(H166,J166)</f>
        <v>177</v>
      </c>
      <c r="L166" s="135">
        <f>K166/C166</f>
        <v>177</v>
      </c>
      <c r="M166" s="137">
        <f>C166*L166</f>
        <v>177</v>
      </c>
      <c r="N166" s="144">
        <v>0</v>
      </c>
      <c r="O166" s="130">
        <f>M166*N166</f>
        <v>0</v>
      </c>
      <c r="P166" s="236"/>
      <c r="Q166" s="159"/>
      <c r="R166" s="177"/>
    </row>
    <row r="167" spans="1:22" s="72" customFormat="1" ht="8.25" customHeight="1" x14ac:dyDescent="0.2">
      <c r="A167" s="63"/>
      <c r="B167" s="143"/>
      <c r="C167" s="64"/>
      <c r="D167" s="75"/>
      <c r="E167" s="184"/>
      <c r="F167" s="134"/>
      <c r="G167" s="134"/>
      <c r="H167" s="135"/>
      <c r="I167" s="152"/>
      <c r="J167" s="135"/>
      <c r="K167" s="136"/>
      <c r="L167" s="135"/>
      <c r="M167" s="137"/>
      <c r="N167" s="144"/>
      <c r="O167" s="130"/>
      <c r="P167" s="236"/>
      <c r="Q167" s="159"/>
      <c r="R167" s="177"/>
    </row>
    <row r="168" spans="1:22" s="72" customFormat="1" ht="14.25" x14ac:dyDescent="0.2">
      <c r="A168" s="63"/>
      <c r="B168" s="121" t="s">
        <v>125</v>
      </c>
      <c r="C168" s="64">
        <v>1</v>
      </c>
      <c r="D168" s="75" t="s">
        <v>75</v>
      </c>
      <c r="E168" s="184" t="s">
        <v>76</v>
      </c>
      <c r="F168" s="134"/>
      <c r="G168" s="134"/>
      <c r="H168" s="135"/>
      <c r="I168" s="152"/>
      <c r="J168" s="135"/>
      <c r="K168" s="136"/>
      <c r="L168" s="135"/>
      <c r="M168" s="137"/>
      <c r="N168" s="144"/>
      <c r="O168" s="130"/>
      <c r="P168" s="236"/>
      <c r="Q168" s="159"/>
      <c r="R168" s="177"/>
    </row>
    <row r="169" spans="1:22" s="72" customFormat="1" ht="14.25" x14ac:dyDescent="0.2">
      <c r="A169" s="63"/>
      <c r="B169" s="143" t="s">
        <v>74</v>
      </c>
      <c r="C169" s="64">
        <v>1</v>
      </c>
      <c r="D169" s="75" t="s">
        <v>75</v>
      </c>
      <c r="E169" s="184" t="s">
        <v>77</v>
      </c>
      <c r="F169" s="134"/>
      <c r="G169" s="134"/>
      <c r="H169" s="135"/>
      <c r="I169" s="152"/>
      <c r="J169" s="135"/>
      <c r="K169" s="136"/>
      <c r="L169" s="135"/>
      <c r="M169" s="137"/>
      <c r="N169" s="144"/>
      <c r="O169" s="130"/>
      <c r="P169" s="236"/>
      <c r="Q169" s="159"/>
      <c r="R169" s="177"/>
    </row>
    <row r="170" spans="1:22" s="72" customFormat="1" ht="5.25" customHeight="1" x14ac:dyDescent="0.2">
      <c r="A170" s="63"/>
      <c r="B170" s="143"/>
      <c r="C170" s="64"/>
      <c r="D170" s="75"/>
      <c r="E170" s="134"/>
      <c r="F170" s="134"/>
      <c r="G170" s="134"/>
      <c r="H170" s="135"/>
      <c r="I170" s="152"/>
      <c r="J170" s="135"/>
      <c r="K170" s="136"/>
      <c r="L170" s="135"/>
      <c r="M170" s="137"/>
      <c r="N170" s="144"/>
      <c r="O170" s="130"/>
      <c r="P170" s="236"/>
      <c r="Q170" s="159"/>
      <c r="R170" s="159"/>
    </row>
    <row r="171" spans="1:22" s="72" customFormat="1" ht="25.5" x14ac:dyDescent="0.2">
      <c r="A171" s="63"/>
      <c r="B171" s="175" t="s">
        <v>126</v>
      </c>
      <c r="C171" s="64">
        <v>1</v>
      </c>
      <c r="D171" s="75" t="s">
        <v>75</v>
      </c>
      <c r="E171" s="134">
        <v>2</v>
      </c>
      <c r="F171" s="134">
        <f>C171*E171</f>
        <v>2</v>
      </c>
      <c r="G171" s="134">
        <f>$H$11*E171</f>
        <v>104</v>
      </c>
      <c r="H171" s="135">
        <f>F171*$H$11</f>
        <v>104</v>
      </c>
      <c r="I171" s="152">
        <f>V171</f>
        <v>3040</v>
      </c>
      <c r="J171" s="135">
        <f>C171*I171</f>
        <v>3040</v>
      </c>
      <c r="K171" s="136">
        <f>SUM(H171,J171)</f>
        <v>3144</v>
      </c>
      <c r="L171" s="135">
        <f>K171/C171</f>
        <v>3144</v>
      </c>
      <c r="M171" s="137">
        <f>C171*L171</f>
        <v>3144</v>
      </c>
      <c r="N171" s="144">
        <v>0</v>
      </c>
      <c r="O171" s="130">
        <f>M171*N171</f>
        <v>0</v>
      </c>
      <c r="P171" s="236"/>
      <c r="Q171" s="159"/>
      <c r="R171" s="388">
        <v>2973</v>
      </c>
      <c r="S171" s="388">
        <v>15</v>
      </c>
      <c r="T171" s="388"/>
      <c r="U171" s="388">
        <f>$H$11*$U$13</f>
        <v>52</v>
      </c>
      <c r="V171" s="389">
        <f>SUM(R171:U171)</f>
        <v>3040</v>
      </c>
    </row>
    <row r="172" spans="1:22" s="72" customFormat="1" ht="14.25" x14ac:dyDescent="0.2">
      <c r="A172" s="63"/>
      <c r="B172" s="143" t="s">
        <v>69</v>
      </c>
      <c r="C172" s="64"/>
      <c r="D172" s="75"/>
      <c r="E172" s="184"/>
      <c r="F172" s="134"/>
      <c r="G172" s="134"/>
      <c r="H172" s="135"/>
      <c r="I172" s="152"/>
      <c r="J172" s="135"/>
      <c r="K172" s="136"/>
      <c r="L172" s="135"/>
      <c r="M172" s="137"/>
      <c r="N172" s="144"/>
      <c r="O172" s="130"/>
      <c r="P172" s="236"/>
      <c r="Q172" s="159"/>
      <c r="R172" s="177"/>
    </row>
    <row r="173" spans="1:22" s="72" customFormat="1" ht="14.25" x14ac:dyDescent="0.2">
      <c r="A173" s="63"/>
      <c r="B173" s="316" t="s">
        <v>83</v>
      </c>
      <c r="C173" s="64">
        <v>1</v>
      </c>
      <c r="D173" s="75" t="s">
        <v>75</v>
      </c>
      <c r="E173" s="134">
        <v>1</v>
      </c>
      <c r="F173" s="134">
        <f>C173*E173</f>
        <v>1</v>
      </c>
      <c r="G173" s="134">
        <f>$H$11*E173</f>
        <v>52</v>
      </c>
      <c r="H173" s="135">
        <f>F173*$H$11</f>
        <v>52</v>
      </c>
      <c r="I173" s="229">
        <v>125</v>
      </c>
      <c r="J173" s="135">
        <f>C173*I173</f>
        <v>125</v>
      </c>
      <c r="K173" s="136">
        <f>SUM(H173,J173)</f>
        <v>177</v>
      </c>
      <c r="L173" s="135">
        <f>K173/C173</f>
        <v>177</v>
      </c>
      <c r="M173" s="137">
        <f>C173*L173</f>
        <v>177</v>
      </c>
      <c r="N173" s="144">
        <v>0</v>
      </c>
      <c r="O173" s="130">
        <f>M173*N173</f>
        <v>0</v>
      </c>
      <c r="P173" s="236"/>
      <c r="Q173" s="159"/>
      <c r="R173" s="177"/>
    </row>
    <row r="174" spans="1:22" s="72" customFormat="1" ht="9" customHeight="1" x14ac:dyDescent="0.2">
      <c r="A174" s="63"/>
      <c r="B174" s="143"/>
      <c r="C174" s="64"/>
      <c r="D174" s="75"/>
      <c r="E174" s="184"/>
      <c r="F174" s="134"/>
      <c r="G174" s="134"/>
      <c r="H174" s="135"/>
      <c r="I174" s="152"/>
      <c r="J174" s="135"/>
      <c r="K174" s="136"/>
      <c r="L174" s="135"/>
      <c r="M174" s="137"/>
      <c r="N174" s="144"/>
      <c r="O174" s="130"/>
      <c r="P174" s="236"/>
      <c r="Q174" s="159"/>
      <c r="R174" s="177"/>
    </row>
    <row r="175" spans="1:22" s="72" customFormat="1" ht="14.25" x14ac:dyDescent="0.2">
      <c r="A175" s="63"/>
      <c r="B175" s="121" t="s">
        <v>127</v>
      </c>
      <c r="C175" s="64">
        <v>1</v>
      </c>
      <c r="D175" s="75" t="s">
        <v>75</v>
      </c>
      <c r="E175" s="184" t="s">
        <v>76</v>
      </c>
      <c r="F175" s="134"/>
      <c r="G175" s="134"/>
      <c r="H175" s="135"/>
      <c r="I175" s="152"/>
      <c r="J175" s="135"/>
      <c r="K175" s="136"/>
      <c r="L175" s="135"/>
      <c r="M175" s="137"/>
      <c r="N175" s="144"/>
      <c r="O175" s="130"/>
      <c r="P175" s="236"/>
      <c r="Q175" s="159"/>
      <c r="R175" s="177"/>
    </row>
    <row r="176" spans="1:22" s="72" customFormat="1" ht="14.25" x14ac:dyDescent="0.2">
      <c r="A176" s="63"/>
      <c r="B176" s="143" t="s">
        <v>74</v>
      </c>
      <c r="C176" s="64">
        <v>1</v>
      </c>
      <c r="D176" s="75" t="s">
        <v>75</v>
      </c>
      <c r="E176" s="184" t="s">
        <v>77</v>
      </c>
      <c r="F176" s="134"/>
      <c r="G176" s="134"/>
      <c r="H176" s="135"/>
      <c r="I176" s="152"/>
      <c r="J176" s="135"/>
      <c r="K176" s="136"/>
      <c r="L176" s="135"/>
      <c r="M176" s="137"/>
      <c r="N176" s="144"/>
      <c r="O176" s="130"/>
      <c r="P176" s="236"/>
      <c r="Q176" s="159"/>
      <c r="R176" s="177"/>
    </row>
    <row r="177" spans="1:22" s="72" customFormat="1" ht="14.25" x14ac:dyDescent="0.2">
      <c r="A177" s="63"/>
      <c r="B177" s="143"/>
      <c r="C177" s="64"/>
      <c r="D177" s="75"/>
      <c r="E177" s="134"/>
      <c r="F177" s="134"/>
      <c r="G177" s="134"/>
      <c r="H177" s="135"/>
      <c r="I177" s="152"/>
      <c r="J177" s="135"/>
      <c r="K177" s="136"/>
      <c r="L177" s="135"/>
      <c r="M177" s="137"/>
      <c r="N177" s="144"/>
      <c r="O177" s="130"/>
      <c r="P177" s="236"/>
      <c r="Q177" s="159"/>
      <c r="R177" s="159"/>
    </row>
    <row r="178" spans="1:22" s="72" customFormat="1" ht="14.25" x14ac:dyDescent="0.2">
      <c r="A178" s="63"/>
      <c r="B178" s="143" t="s">
        <v>128</v>
      </c>
      <c r="C178" s="64">
        <v>1</v>
      </c>
      <c r="D178" s="75" t="s">
        <v>75</v>
      </c>
      <c r="E178" s="134">
        <v>2</v>
      </c>
      <c r="F178" s="134">
        <f>C178*E178</f>
        <v>2</v>
      </c>
      <c r="G178" s="134">
        <f>$H$11*E178</f>
        <v>104</v>
      </c>
      <c r="H178" s="135">
        <f>F178*$H$11</f>
        <v>104</v>
      </c>
      <c r="I178" s="152">
        <f>V178</f>
        <v>1592</v>
      </c>
      <c r="J178" s="135">
        <f>C178*I178</f>
        <v>1592</v>
      </c>
      <c r="K178" s="136">
        <f>SUM(H178,J178)</f>
        <v>1696</v>
      </c>
      <c r="L178" s="135">
        <f>K178/C178</f>
        <v>1696</v>
      </c>
      <c r="M178" s="137">
        <f>C178*L178</f>
        <v>1696</v>
      </c>
      <c r="N178" s="144">
        <v>0</v>
      </c>
      <c r="O178" s="130">
        <f>M178*N178</f>
        <v>0</v>
      </c>
      <c r="P178" s="587"/>
      <c r="Q178" s="159"/>
      <c r="R178" s="388">
        <v>1525</v>
      </c>
      <c r="S178" s="388">
        <v>15</v>
      </c>
      <c r="T178" s="388"/>
      <c r="U178" s="388">
        <f>$H$11*$U$13</f>
        <v>52</v>
      </c>
      <c r="V178" s="389">
        <f>SUM(R178:U178)</f>
        <v>1592</v>
      </c>
    </row>
    <row r="179" spans="1:22" s="72" customFormat="1" ht="14.25" x14ac:dyDescent="0.2">
      <c r="A179" s="63"/>
      <c r="B179" s="143" t="s">
        <v>69</v>
      </c>
      <c r="C179" s="64"/>
      <c r="D179" s="75"/>
      <c r="E179" s="134"/>
      <c r="F179" s="134"/>
      <c r="G179" s="134"/>
      <c r="H179" s="135"/>
      <c r="I179" s="152"/>
      <c r="J179" s="135"/>
      <c r="K179" s="136"/>
      <c r="L179" s="135"/>
      <c r="M179" s="137"/>
      <c r="N179" s="144"/>
      <c r="O179" s="130"/>
      <c r="P179" s="236"/>
      <c r="Q179" s="159"/>
      <c r="R179" s="177"/>
    </row>
    <row r="180" spans="1:22" s="72" customFormat="1" ht="14.25" x14ac:dyDescent="0.2">
      <c r="A180" s="63"/>
      <c r="B180" s="316" t="s">
        <v>534</v>
      </c>
      <c r="C180" s="64">
        <v>1</v>
      </c>
      <c r="D180" s="75" t="s">
        <v>75</v>
      </c>
      <c r="E180" s="134">
        <v>1</v>
      </c>
      <c r="F180" s="134">
        <f>C180*E180</f>
        <v>1</v>
      </c>
      <c r="G180" s="134">
        <f>$H$11*E180</f>
        <v>52</v>
      </c>
      <c r="H180" s="135">
        <f>F180*$H$11</f>
        <v>52</v>
      </c>
      <c r="I180" s="229">
        <v>125</v>
      </c>
      <c r="J180" s="135">
        <f>C180*I180</f>
        <v>125</v>
      </c>
      <c r="K180" s="136">
        <f>SUM(H180,J180)</f>
        <v>177</v>
      </c>
      <c r="L180" s="135">
        <f>K180/C180</f>
        <v>177</v>
      </c>
      <c r="M180" s="137">
        <f>C180*L180</f>
        <v>177</v>
      </c>
      <c r="N180" s="144">
        <v>0</v>
      </c>
      <c r="O180" s="130">
        <f>M180*N180</f>
        <v>0</v>
      </c>
      <c r="P180" s="236"/>
      <c r="Q180" s="159"/>
      <c r="R180" s="177"/>
    </row>
    <row r="181" spans="1:22" s="72" customFormat="1" ht="14.25" x14ac:dyDescent="0.2">
      <c r="A181" s="63"/>
      <c r="B181" s="143"/>
      <c r="C181" s="64"/>
      <c r="D181" s="75"/>
      <c r="E181" s="134"/>
      <c r="F181" s="134"/>
      <c r="G181" s="134"/>
      <c r="H181" s="135"/>
      <c r="I181" s="152"/>
      <c r="J181" s="135"/>
      <c r="K181" s="136"/>
      <c r="L181" s="135"/>
      <c r="M181" s="137"/>
      <c r="N181" s="144"/>
      <c r="O181" s="130"/>
      <c r="P181" s="236"/>
      <c r="Q181" s="159"/>
      <c r="R181" s="159"/>
    </row>
    <row r="182" spans="1:22" s="72" customFormat="1" ht="14.25" x14ac:dyDescent="0.2">
      <c r="A182" s="63"/>
      <c r="B182" s="121" t="s">
        <v>129</v>
      </c>
      <c r="C182" s="64">
        <v>1</v>
      </c>
      <c r="D182" s="75" t="s">
        <v>75</v>
      </c>
      <c r="E182" s="184" t="s">
        <v>76</v>
      </c>
      <c r="F182" s="134"/>
      <c r="G182" s="134"/>
      <c r="H182" s="135"/>
      <c r="I182" s="152"/>
      <c r="J182" s="135"/>
      <c r="K182" s="136"/>
      <c r="L182" s="135"/>
      <c r="M182" s="137"/>
      <c r="N182" s="144"/>
      <c r="O182" s="130"/>
      <c r="P182" s="236"/>
      <c r="Q182" s="159"/>
      <c r="R182" s="159"/>
    </row>
    <row r="183" spans="1:22" s="72" customFormat="1" ht="14.25" x14ac:dyDescent="0.2">
      <c r="A183" s="63"/>
      <c r="B183" s="143" t="s">
        <v>74</v>
      </c>
      <c r="C183" s="64">
        <v>1</v>
      </c>
      <c r="D183" s="75" t="s">
        <v>75</v>
      </c>
      <c r="E183" s="184" t="s">
        <v>77</v>
      </c>
      <c r="F183" s="134"/>
      <c r="G183" s="134"/>
      <c r="H183" s="135"/>
      <c r="I183" s="152"/>
      <c r="J183" s="135"/>
      <c r="K183" s="136"/>
      <c r="L183" s="135"/>
      <c r="M183" s="137"/>
      <c r="N183" s="144"/>
      <c r="O183" s="130"/>
      <c r="P183" s="236"/>
      <c r="Q183" s="159"/>
      <c r="R183" s="159"/>
    </row>
    <row r="184" spans="1:22" s="72" customFormat="1" ht="14.25" x14ac:dyDescent="0.2">
      <c r="A184" s="63"/>
      <c r="B184" s="143"/>
      <c r="C184" s="64"/>
      <c r="D184" s="75"/>
      <c r="E184" s="134"/>
      <c r="F184" s="134"/>
      <c r="G184" s="134"/>
      <c r="H184" s="135"/>
      <c r="I184" s="152"/>
      <c r="J184" s="135"/>
      <c r="K184" s="136"/>
      <c r="L184" s="135"/>
      <c r="M184" s="137"/>
      <c r="N184" s="144"/>
      <c r="O184" s="130"/>
      <c r="P184" s="236"/>
      <c r="Q184" s="159"/>
      <c r="R184" s="159"/>
    </row>
    <row r="185" spans="1:22" s="72" customFormat="1" ht="14.25" x14ac:dyDescent="0.2">
      <c r="A185" s="63"/>
      <c r="B185" s="143" t="s">
        <v>130</v>
      </c>
      <c r="C185" s="64">
        <v>1</v>
      </c>
      <c r="D185" s="75" t="s">
        <v>75</v>
      </c>
      <c r="E185" s="134">
        <v>2</v>
      </c>
      <c r="F185" s="134">
        <f>C185*E185</f>
        <v>2</v>
      </c>
      <c r="G185" s="134">
        <f>$H$11*E185</f>
        <v>104</v>
      </c>
      <c r="H185" s="135">
        <f>F185*$H$11</f>
        <v>104</v>
      </c>
      <c r="I185" s="152">
        <f>V185</f>
        <v>1592</v>
      </c>
      <c r="J185" s="135">
        <f>C185*I185</f>
        <v>1592</v>
      </c>
      <c r="K185" s="136">
        <f>SUM(H185,J185)</f>
        <v>1696</v>
      </c>
      <c r="L185" s="135">
        <f>K185/C185</f>
        <v>1696</v>
      </c>
      <c r="M185" s="137">
        <f>C185*L185</f>
        <v>1696</v>
      </c>
      <c r="N185" s="144">
        <v>0</v>
      </c>
      <c r="O185" s="130">
        <f>M185*N185</f>
        <v>0</v>
      </c>
      <c r="P185" s="587"/>
      <c r="Q185" s="159"/>
      <c r="R185" s="388">
        <v>1525</v>
      </c>
      <c r="S185" s="388">
        <v>15</v>
      </c>
      <c r="T185" s="388"/>
      <c r="U185" s="388">
        <f>$H$11*$U$13</f>
        <v>52</v>
      </c>
      <c r="V185" s="389">
        <f>SUM(R185:U185)</f>
        <v>1592</v>
      </c>
    </row>
    <row r="186" spans="1:22" s="72" customFormat="1" ht="14.25" x14ac:dyDescent="0.2">
      <c r="A186" s="63"/>
      <c r="B186" s="143" t="s">
        <v>69</v>
      </c>
      <c r="C186" s="64"/>
      <c r="D186" s="75"/>
      <c r="E186" s="134"/>
      <c r="F186" s="134"/>
      <c r="G186" s="134"/>
      <c r="H186" s="135"/>
      <c r="I186" s="152"/>
      <c r="J186" s="135"/>
      <c r="K186" s="136"/>
      <c r="L186" s="135"/>
      <c r="M186" s="137"/>
      <c r="N186" s="144"/>
      <c r="O186" s="130"/>
      <c r="P186" s="236"/>
      <c r="Q186" s="159"/>
      <c r="R186" s="177"/>
    </row>
    <row r="187" spans="1:22" s="72" customFormat="1" ht="14.25" x14ac:dyDescent="0.2">
      <c r="A187" s="63"/>
      <c r="B187" s="316" t="s">
        <v>534</v>
      </c>
      <c r="C187" s="64">
        <v>1</v>
      </c>
      <c r="D187" s="75" t="s">
        <v>75</v>
      </c>
      <c r="E187" s="134">
        <v>1</v>
      </c>
      <c r="F187" s="134">
        <f>C187*E187</f>
        <v>1</v>
      </c>
      <c r="G187" s="134">
        <f>$H$11*E187</f>
        <v>52</v>
      </c>
      <c r="H187" s="135">
        <f>F187*$H$11</f>
        <v>52</v>
      </c>
      <c r="I187" s="229">
        <v>125</v>
      </c>
      <c r="J187" s="135">
        <f>C187*I187</f>
        <v>125</v>
      </c>
      <c r="K187" s="136">
        <f>SUM(H187,J187)</f>
        <v>177</v>
      </c>
      <c r="L187" s="135">
        <f>K187/C187</f>
        <v>177</v>
      </c>
      <c r="M187" s="137">
        <f>C187*L187</f>
        <v>177</v>
      </c>
      <c r="N187" s="144">
        <v>0</v>
      </c>
      <c r="O187" s="130">
        <f>M187*N187</f>
        <v>0</v>
      </c>
      <c r="P187" s="236"/>
      <c r="Q187" s="159"/>
      <c r="R187" s="177"/>
    </row>
    <row r="188" spans="1:22" s="72" customFormat="1" ht="14.25" x14ac:dyDescent="0.2">
      <c r="A188" s="63"/>
      <c r="B188" s="143"/>
      <c r="C188" s="64"/>
      <c r="D188" s="75"/>
      <c r="E188" s="134"/>
      <c r="F188" s="134"/>
      <c r="G188" s="134"/>
      <c r="H188" s="135"/>
      <c r="I188" s="152"/>
      <c r="J188" s="135"/>
      <c r="K188" s="136"/>
      <c r="L188" s="135"/>
      <c r="M188" s="137"/>
      <c r="N188" s="144"/>
      <c r="O188" s="130"/>
      <c r="P188" s="236"/>
      <c r="Q188" s="159"/>
      <c r="R188" s="159"/>
    </row>
    <row r="189" spans="1:22" s="72" customFormat="1" ht="14.25" x14ac:dyDescent="0.2">
      <c r="A189" s="63"/>
      <c r="B189" s="121" t="s">
        <v>131</v>
      </c>
      <c r="C189" s="64">
        <v>1</v>
      </c>
      <c r="D189" s="75" t="s">
        <v>75</v>
      </c>
      <c r="E189" s="184" t="s">
        <v>76</v>
      </c>
      <c r="F189" s="134"/>
      <c r="G189" s="134"/>
      <c r="H189" s="135"/>
      <c r="I189" s="152"/>
      <c r="J189" s="135"/>
      <c r="K189" s="136"/>
      <c r="L189" s="135"/>
      <c r="M189" s="137"/>
      <c r="N189" s="144"/>
      <c r="O189" s="130"/>
      <c r="P189" s="236"/>
      <c r="Q189" s="159"/>
      <c r="R189" s="159"/>
    </row>
    <row r="190" spans="1:22" s="72" customFormat="1" ht="14.25" x14ac:dyDescent="0.2">
      <c r="A190" s="63"/>
      <c r="B190" s="143" t="s">
        <v>74</v>
      </c>
      <c r="C190" s="64">
        <v>1</v>
      </c>
      <c r="D190" s="75" t="s">
        <v>75</v>
      </c>
      <c r="E190" s="184" t="s">
        <v>77</v>
      </c>
      <c r="F190" s="134"/>
      <c r="G190" s="134"/>
      <c r="H190" s="135"/>
      <c r="I190" s="152"/>
      <c r="J190" s="135"/>
      <c r="K190" s="136"/>
      <c r="L190" s="135"/>
      <c r="M190" s="137"/>
      <c r="N190" s="144"/>
      <c r="O190" s="130"/>
      <c r="P190" s="236"/>
      <c r="Q190" s="159"/>
      <c r="R190" s="159"/>
    </row>
    <row r="191" spans="1:22" s="72" customFormat="1" ht="14.25" x14ac:dyDescent="0.2">
      <c r="A191" s="63"/>
      <c r="B191" s="143"/>
      <c r="C191" s="64"/>
      <c r="D191" s="75"/>
      <c r="E191" s="184"/>
      <c r="F191" s="134"/>
      <c r="G191" s="134"/>
      <c r="H191" s="135"/>
      <c r="I191" s="152"/>
      <c r="J191" s="135"/>
      <c r="K191" s="136"/>
      <c r="L191" s="135"/>
      <c r="M191" s="137"/>
      <c r="N191" s="144"/>
      <c r="O191" s="130"/>
      <c r="P191" s="236"/>
      <c r="Q191" s="159"/>
      <c r="R191" s="159"/>
    </row>
    <row r="192" spans="1:22" s="72" customFormat="1" ht="14.25" x14ac:dyDescent="0.2">
      <c r="A192" s="63"/>
      <c r="B192" s="143" t="s">
        <v>133</v>
      </c>
      <c r="C192" s="64">
        <v>1</v>
      </c>
      <c r="D192" s="75" t="s">
        <v>75</v>
      </c>
      <c r="E192" s="134">
        <v>4</v>
      </c>
      <c r="F192" s="134">
        <f>C192*E192</f>
        <v>4</v>
      </c>
      <c r="G192" s="134">
        <f>$H$11*E192</f>
        <v>208</v>
      </c>
      <c r="H192" s="135">
        <f>F192*$H$11</f>
        <v>208</v>
      </c>
      <c r="I192" s="152">
        <f>V192</f>
        <v>1029</v>
      </c>
      <c r="J192" s="135">
        <f>C192*I192</f>
        <v>1029</v>
      </c>
      <c r="K192" s="136">
        <f>SUM(H192,J192)</f>
        <v>1237</v>
      </c>
      <c r="L192" s="135">
        <f>K192/C192</f>
        <v>1237</v>
      </c>
      <c r="M192" s="137">
        <f>C192*L192</f>
        <v>1237</v>
      </c>
      <c r="N192" s="144">
        <v>0</v>
      </c>
      <c r="O192" s="130">
        <f>M192*N192</f>
        <v>0</v>
      </c>
      <c r="P192" s="236"/>
      <c r="Q192" s="159"/>
      <c r="R192" s="388">
        <v>962</v>
      </c>
      <c r="S192" s="388">
        <v>15</v>
      </c>
      <c r="T192" s="388"/>
      <c r="U192" s="388">
        <v>52</v>
      </c>
      <c r="V192" s="389">
        <f>SUM(R192:U192)</f>
        <v>1029</v>
      </c>
    </row>
    <row r="193" spans="1:22" s="72" customFormat="1" ht="14.25" x14ac:dyDescent="0.2">
      <c r="A193" s="63"/>
      <c r="B193" s="143" t="s">
        <v>132</v>
      </c>
      <c r="C193" s="64"/>
      <c r="D193" s="75"/>
      <c r="E193" s="184"/>
      <c r="F193" s="134"/>
      <c r="G193" s="134"/>
      <c r="H193" s="135"/>
      <c r="I193" s="152"/>
      <c r="J193" s="135"/>
      <c r="K193" s="136"/>
      <c r="L193" s="135"/>
      <c r="M193" s="137"/>
      <c r="N193" s="144"/>
      <c r="O193" s="130"/>
      <c r="P193" s="236"/>
      <c r="Q193" s="159"/>
      <c r="R193" s="159"/>
    </row>
    <row r="194" spans="1:22" s="72" customFormat="1" ht="14.25" x14ac:dyDescent="0.2">
      <c r="A194" s="63"/>
      <c r="B194" s="143"/>
      <c r="C194" s="64"/>
      <c r="D194" s="75"/>
      <c r="E194" s="184"/>
      <c r="F194" s="134"/>
      <c r="G194" s="134"/>
      <c r="H194" s="135"/>
      <c r="I194" s="152"/>
      <c r="J194" s="135"/>
      <c r="K194" s="136"/>
      <c r="L194" s="135"/>
      <c r="M194" s="137"/>
      <c r="N194" s="144"/>
      <c r="O194" s="130"/>
      <c r="P194" s="236"/>
      <c r="Q194" s="159"/>
      <c r="R194" s="159"/>
    </row>
    <row r="195" spans="1:22" s="72" customFormat="1" ht="14.25" x14ac:dyDescent="0.2">
      <c r="A195" s="63"/>
      <c r="B195" s="143" t="s">
        <v>134</v>
      </c>
      <c r="C195" s="64">
        <v>1</v>
      </c>
      <c r="D195" s="75" t="s">
        <v>75</v>
      </c>
      <c r="E195" s="134">
        <v>4</v>
      </c>
      <c r="F195" s="134">
        <f>C195*E195</f>
        <v>4</v>
      </c>
      <c r="G195" s="134">
        <f>$H$11*E195</f>
        <v>208</v>
      </c>
      <c r="H195" s="135">
        <f>F195*$H$11</f>
        <v>208</v>
      </c>
      <c r="I195" s="152">
        <f>V195</f>
        <v>1029</v>
      </c>
      <c r="J195" s="135">
        <f>C195*I195</f>
        <v>1029</v>
      </c>
      <c r="K195" s="136">
        <f>SUM(H195,J195)</f>
        <v>1237</v>
      </c>
      <c r="L195" s="135">
        <f>K195/C195</f>
        <v>1237</v>
      </c>
      <c r="M195" s="137">
        <f>C195*L195</f>
        <v>1237</v>
      </c>
      <c r="N195" s="144">
        <v>0</v>
      </c>
      <c r="O195" s="130">
        <f>M195*N195</f>
        <v>0</v>
      </c>
      <c r="P195" s="236"/>
      <c r="Q195" s="159"/>
      <c r="R195" s="388">
        <v>962</v>
      </c>
      <c r="S195" s="388">
        <v>15</v>
      </c>
      <c r="T195" s="388"/>
      <c r="U195" s="388">
        <v>52</v>
      </c>
      <c r="V195" s="389">
        <f>SUM(R195:U195)</f>
        <v>1029</v>
      </c>
    </row>
    <row r="196" spans="1:22" s="72" customFormat="1" ht="14.25" x14ac:dyDescent="0.2">
      <c r="A196" s="63"/>
      <c r="B196" s="143" t="s">
        <v>132</v>
      </c>
      <c r="C196" s="64"/>
      <c r="D196" s="75"/>
      <c r="E196" s="184"/>
      <c r="F196" s="134"/>
      <c r="G196" s="134"/>
      <c r="H196" s="135"/>
      <c r="I196" s="152"/>
      <c r="J196" s="135"/>
      <c r="K196" s="136"/>
      <c r="L196" s="135"/>
      <c r="M196" s="137"/>
      <c r="N196" s="144"/>
      <c r="O196" s="130"/>
      <c r="P196" s="236"/>
      <c r="Q196" s="159"/>
      <c r="R196" s="159"/>
    </row>
    <row r="197" spans="1:22" s="72" customFormat="1" ht="14.25" x14ac:dyDescent="0.2">
      <c r="A197" s="63"/>
      <c r="B197" s="143"/>
      <c r="C197" s="64"/>
      <c r="D197" s="75"/>
      <c r="E197" s="184"/>
      <c r="F197" s="134"/>
      <c r="G197" s="134"/>
      <c r="H197" s="135"/>
      <c r="I197" s="152"/>
      <c r="J197" s="135"/>
      <c r="K197" s="136"/>
      <c r="L197" s="135"/>
      <c r="M197" s="137"/>
      <c r="N197" s="144"/>
      <c r="O197" s="130"/>
      <c r="P197" s="236"/>
      <c r="Q197" s="159"/>
      <c r="R197" s="159"/>
    </row>
    <row r="198" spans="1:22" s="72" customFormat="1" ht="14.25" x14ac:dyDescent="0.2">
      <c r="A198" s="63"/>
      <c r="B198" s="143" t="s">
        <v>135</v>
      </c>
      <c r="C198" s="64">
        <v>1</v>
      </c>
      <c r="D198" s="75" t="s">
        <v>75</v>
      </c>
      <c r="E198" s="134">
        <v>2</v>
      </c>
      <c r="F198" s="134">
        <f>C198*E198</f>
        <v>2</v>
      </c>
      <c r="G198" s="134">
        <f>$H$11*E198</f>
        <v>104</v>
      </c>
      <c r="H198" s="135">
        <f>F198*$H$11</f>
        <v>104</v>
      </c>
      <c r="I198" s="152">
        <f>V198</f>
        <v>1592</v>
      </c>
      <c r="J198" s="135">
        <f>C198*I198</f>
        <v>1592</v>
      </c>
      <c r="K198" s="136">
        <f>SUM(H198,J198)</f>
        <v>1696</v>
      </c>
      <c r="L198" s="135">
        <f>K198/C198</f>
        <v>1696</v>
      </c>
      <c r="M198" s="137">
        <f>C198*L198</f>
        <v>1696</v>
      </c>
      <c r="N198" s="144">
        <v>0</v>
      </c>
      <c r="O198" s="130">
        <f>M198*N198</f>
        <v>0</v>
      </c>
      <c r="P198" s="587"/>
      <c r="Q198" s="159"/>
      <c r="R198" s="388">
        <v>1525</v>
      </c>
      <c r="S198" s="388">
        <v>15</v>
      </c>
      <c r="T198" s="388"/>
      <c r="U198" s="388">
        <v>52</v>
      </c>
      <c r="V198" s="389">
        <f>SUM(R198:U198)</f>
        <v>1592</v>
      </c>
    </row>
    <row r="199" spans="1:22" s="72" customFormat="1" ht="14.25" x14ac:dyDescent="0.2">
      <c r="A199" s="63"/>
      <c r="B199" s="143" t="s">
        <v>69</v>
      </c>
      <c r="C199" s="64"/>
      <c r="D199" s="75"/>
      <c r="E199" s="134"/>
      <c r="F199" s="134"/>
      <c r="G199" s="134"/>
      <c r="H199" s="135"/>
      <c r="I199" s="152"/>
      <c r="J199" s="135"/>
      <c r="K199" s="136"/>
      <c r="L199" s="135"/>
      <c r="M199" s="137"/>
      <c r="N199" s="144"/>
      <c r="O199" s="130"/>
      <c r="P199" s="236"/>
      <c r="Q199" s="159"/>
      <c r="R199" s="177"/>
    </row>
    <row r="200" spans="1:22" s="72" customFormat="1" ht="6" customHeight="1" x14ac:dyDescent="0.2">
      <c r="A200" s="63"/>
      <c r="B200" s="143"/>
      <c r="C200" s="64"/>
      <c r="D200" s="75"/>
      <c r="E200" s="184"/>
      <c r="F200" s="134"/>
      <c r="G200" s="134"/>
      <c r="H200" s="135"/>
      <c r="I200" s="152"/>
      <c r="J200" s="135"/>
      <c r="K200" s="136"/>
      <c r="L200" s="135"/>
      <c r="M200" s="137"/>
      <c r="N200" s="144"/>
      <c r="O200" s="130"/>
      <c r="P200" s="236"/>
      <c r="Q200" s="159"/>
      <c r="R200" s="159"/>
    </row>
    <row r="201" spans="1:22" s="72" customFormat="1" ht="15.75" customHeight="1" x14ac:dyDescent="0.2">
      <c r="A201" s="63"/>
      <c r="B201" s="121" t="s">
        <v>137</v>
      </c>
      <c r="C201" s="64">
        <v>1</v>
      </c>
      <c r="D201" s="75" t="s">
        <v>75</v>
      </c>
      <c r="E201" s="184" t="s">
        <v>76</v>
      </c>
      <c r="F201" s="134"/>
      <c r="G201" s="134"/>
      <c r="H201" s="135"/>
      <c r="I201" s="152"/>
      <c r="J201" s="135"/>
      <c r="K201" s="136"/>
      <c r="L201" s="135"/>
      <c r="M201" s="137"/>
      <c r="N201" s="144"/>
      <c r="O201" s="130"/>
      <c r="P201" s="236"/>
      <c r="Q201" s="159"/>
      <c r="R201" s="159"/>
    </row>
    <row r="202" spans="1:22" s="72" customFormat="1" ht="15.75" customHeight="1" x14ac:dyDescent="0.2">
      <c r="A202" s="63"/>
      <c r="B202" s="143" t="s">
        <v>74</v>
      </c>
      <c r="C202" s="64">
        <v>1</v>
      </c>
      <c r="D202" s="75" t="s">
        <v>75</v>
      </c>
      <c r="E202" s="184" t="s">
        <v>77</v>
      </c>
      <c r="F202" s="134"/>
      <c r="G202" s="134"/>
      <c r="H202" s="135"/>
      <c r="I202" s="152"/>
      <c r="J202" s="135"/>
      <c r="K202" s="136"/>
      <c r="L202" s="135"/>
      <c r="M202" s="137"/>
      <c r="N202" s="144"/>
      <c r="O202" s="130"/>
      <c r="P202" s="236"/>
      <c r="Q202" s="159"/>
      <c r="R202" s="159"/>
    </row>
    <row r="203" spans="1:22" s="72" customFormat="1" ht="15.75" customHeight="1" x14ac:dyDescent="0.2">
      <c r="A203" s="63"/>
      <c r="B203" s="143"/>
      <c r="C203" s="64"/>
      <c r="D203" s="75"/>
      <c r="E203" s="184"/>
      <c r="F203" s="134"/>
      <c r="G203" s="134"/>
      <c r="H203" s="135"/>
      <c r="I203" s="152"/>
      <c r="J203" s="135"/>
      <c r="K203" s="136"/>
      <c r="L203" s="135"/>
      <c r="M203" s="137"/>
      <c r="N203" s="144"/>
      <c r="O203" s="130"/>
      <c r="P203" s="236"/>
      <c r="Q203" s="159"/>
      <c r="R203" s="159"/>
    </row>
    <row r="204" spans="1:22" s="72" customFormat="1" ht="14.25" x14ac:dyDescent="0.2">
      <c r="A204" s="63"/>
      <c r="B204" s="143" t="s">
        <v>136</v>
      </c>
      <c r="C204" s="64">
        <v>1</v>
      </c>
      <c r="D204" s="75" t="s">
        <v>75</v>
      </c>
      <c r="E204" s="134">
        <v>2</v>
      </c>
      <c r="F204" s="134">
        <f>C204*E204</f>
        <v>2</v>
      </c>
      <c r="G204" s="134">
        <f>$H$11*E204</f>
        <v>104</v>
      </c>
      <c r="H204" s="135">
        <f>F204*$H$11</f>
        <v>104</v>
      </c>
      <c r="I204" s="152">
        <f>V204</f>
        <v>1592</v>
      </c>
      <c r="J204" s="135">
        <f>C204*I204</f>
        <v>1592</v>
      </c>
      <c r="K204" s="136">
        <f>SUM(H204,J204)</f>
        <v>1696</v>
      </c>
      <c r="L204" s="135">
        <f>K204/C204</f>
        <v>1696</v>
      </c>
      <c r="M204" s="137">
        <f>C204*L204</f>
        <v>1696</v>
      </c>
      <c r="N204" s="144">
        <v>0</v>
      </c>
      <c r="O204" s="130">
        <f>M204*N204</f>
        <v>0</v>
      </c>
      <c r="P204" s="587"/>
      <c r="Q204" s="159"/>
      <c r="R204" s="388">
        <v>1525</v>
      </c>
      <c r="S204" s="388">
        <v>15</v>
      </c>
      <c r="T204" s="388"/>
      <c r="U204" s="388">
        <v>52</v>
      </c>
      <c r="V204" s="389">
        <f>SUM(R204:U204)</f>
        <v>1592</v>
      </c>
    </row>
    <row r="205" spans="1:22" s="72" customFormat="1" ht="14.25" x14ac:dyDescent="0.2">
      <c r="A205" s="63"/>
      <c r="B205" s="143" t="s">
        <v>69</v>
      </c>
      <c r="C205" s="64"/>
      <c r="D205" s="75"/>
      <c r="E205" s="134"/>
      <c r="F205" s="134"/>
      <c r="G205" s="134"/>
      <c r="H205" s="135"/>
      <c r="I205" s="152"/>
      <c r="J205" s="135"/>
      <c r="K205" s="136"/>
      <c r="L205" s="135"/>
      <c r="M205" s="137"/>
      <c r="N205" s="144"/>
      <c r="O205" s="130"/>
      <c r="P205" s="236"/>
      <c r="Q205" s="159"/>
      <c r="R205" s="177"/>
    </row>
    <row r="206" spans="1:22" s="72" customFormat="1" ht="14.25" x14ac:dyDescent="0.2">
      <c r="A206" s="63"/>
      <c r="B206" s="316" t="s">
        <v>534</v>
      </c>
      <c r="C206" s="64">
        <v>1</v>
      </c>
      <c r="D206" s="75" t="s">
        <v>75</v>
      </c>
      <c r="E206" s="134">
        <v>1</v>
      </c>
      <c r="F206" s="134">
        <f>C206*E206</f>
        <v>1</v>
      </c>
      <c r="G206" s="134">
        <f>$H$11*E206</f>
        <v>52</v>
      </c>
      <c r="H206" s="135">
        <f>F206*$H$11</f>
        <v>52</v>
      </c>
      <c r="I206" s="229">
        <v>125</v>
      </c>
      <c r="J206" s="135">
        <f>C206*I206</f>
        <v>125</v>
      </c>
      <c r="K206" s="136">
        <f>SUM(H206,J206)</f>
        <v>177</v>
      </c>
      <c r="L206" s="135">
        <f>K206/C206</f>
        <v>177</v>
      </c>
      <c r="M206" s="137">
        <f>C206*L206</f>
        <v>177</v>
      </c>
      <c r="N206" s="144">
        <v>0</v>
      </c>
      <c r="O206" s="130">
        <f>M206*N206</f>
        <v>0</v>
      </c>
      <c r="P206" s="236"/>
      <c r="Q206" s="159"/>
      <c r="R206" s="159"/>
    </row>
    <row r="207" spans="1:22" s="72" customFormat="1" ht="14.25" x14ac:dyDescent="0.2">
      <c r="A207" s="63"/>
      <c r="B207" s="143"/>
      <c r="C207" s="64"/>
      <c r="D207" s="75"/>
      <c r="E207" s="134"/>
      <c r="F207" s="134"/>
      <c r="G207" s="134"/>
      <c r="H207" s="135"/>
      <c r="I207" s="152"/>
      <c r="J207" s="135"/>
      <c r="K207" s="136"/>
      <c r="L207" s="135"/>
      <c r="M207" s="137"/>
      <c r="N207" s="144"/>
      <c r="O207" s="130"/>
      <c r="P207" s="236"/>
      <c r="Q207" s="159"/>
      <c r="R207" s="159"/>
    </row>
    <row r="208" spans="1:22" s="72" customFormat="1" ht="14.25" x14ac:dyDescent="0.2">
      <c r="A208" s="63"/>
      <c r="B208" s="143" t="s">
        <v>138</v>
      </c>
      <c r="C208" s="64">
        <v>1</v>
      </c>
      <c r="D208" s="75" t="s">
        <v>75</v>
      </c>
      <c r="E208" s="134">
        <v>2</v>
      </c>
      <c r="F208" s="134">
        <f>C208*E208</f>
        <v>2</v>
      </c>
      <c r="G208" s="134">
        <f>$H$11*E208</f>
        <v>104</v>
      </c>
      <c r="H208" s="135">
        <f>F208*$H$11</f>
        <v>104</v>
      </c>
      <c r="I208" s="152">
        <f>V208</f>
        <v>1592</v>
      </c>
      <c r="J208" s="135">
        <f>C208*I208</f>
        <v>1592</v>
      </c>
      <c r="K208" s="136">
        <f>SUM(H208,J208)</f>
        <v>1696</v>
      </c>
      <c r="L208" s="135">
        <f>K208/C208</f>
        <v>1696</v>
      </c>
      <c r="M208" s="137">
        <f>C208*L208</f>
        <v>1696</v>
      </c>
      <c r="N208" s="144">
        <v>0</v>
      </c>
      <c r="O208" s="130">
        <f>M208*N208</f>
        <v>0</v>
      </c>
      <c r="P208" s="587"/>
      <c r="Q208" s="159"/>
      <c r="R208" s="388">
        <v>1525</v>
      </c>
      <c r="S208" s="388">
        <v>15</v>
      </c>
      <c r="T208" s="388"/>
      <c r="U208" s="388">
        <v>52</v>
      </c>
      <c r="V208" s="389">
        <f>SUM(R208:U208)</f>
        <v>1592</v>
      </c>
    </row>
    <row r="209" spans="1:22" s="72" customFormat="1" ht="14.25" x14ac:dyDescent="0.2">
      <c r="A209" s="63"/>
      <c r="B209" s="143" t="s">
        <v>69</v>
      </c>
      <c r="C209" s="64"/>
      <c r="D209" s="75"/>
      <c r="E209" s="134"/>
      <c r="F209" s="134"/>
      <c r="G209" s="134"/>
      <c r="H209" s="135"/>
      <c r="I209" s="152"/>
      <c r="J209" s="135"/>
      <c r="K209" s="136"/>
      <c r="L209" s="135"/>
      <c r="M209" s="137"/>
      <c r="N209" s="144"/>
      <c r="O209" s="130"/>
      <c r="P209" s="236"/>
      <c r="Q209" s="159"/>
      <c r="R209" s="177"/>
    </row>
    <row r="210" spans="1:22" s="72" customFormat="1" ht="14.25" x14ac:dyDescent="0.2">
      <c r="A210" s="63"/>
      <c r="B210" s="316" t="s">
        <v>534</v>
      </c>
      <c r="C210" s="64">
        <v>1</v>
      </c>
      <c r="D210" s="75" t="s">
        <v>75</v>
      </c>
      <c r="E210" s="134">
        <v>1</v>
      </c>
      <c r="F210" s="134">
        <f>C210*E210</f>
        <v>1</v>
      </c>
      <c r="G210" s="134">
        <f>$H$11*E210</f>
        <v>52</v>
      </c>
      <c r="H210" s="135">
        <f>F210*$H$11</f>
        <v>52</v>
      </c>
      <c r="I210" s="229">
        <v>125</v>
      </c>
      <c r="J210" s="135">
        <f>C210*I210</f>
        <v>125</v>
      </c>
      <c r="K210" s="136">
        <f>SUM(H210,J210)</f>
        <v>177</v>
      </c>
      <c r="L210" s="135">
        <f>K210/C210</f>
        <v>177</v>
      </c>
      <c r="M210" s="137">
        <f>C210*L210</f>
        <v>177</v>
      </c>
      <c r="N210" s="144">
        <v>0</v>
      </c>
      <c r="O210" s="130">
        <f>M210*N210</f>
        <v>0</v>
      </c>
      <c r="P210" s="236"/>
      <c r="Q210" s="159"/>
      <c r="R210" s="159"/>
    </row>
    <row r="211" spans="1:22" s="72" customFormat="1" ht="6" customHeight="1" x14ac:dyDescent="0.2">
      <c r="A211" s="63"/>
      <c r="B211" s="143"/>
      <c r="C211" s="64"/>
      <c r="D211" s="75"/>
      <c r="E211" s="134"/>
      <c r="F211" s="134"/>
      <c r="G211" s="134"/>
      <c r="H211" s="135"/>
      <c r="I211" s="152"/>
      <c r="J211" s="135"/>
      <c r="K211" s="136"/>
      <c r="L211" s="135"/>
      <c r="M211" s="137"/>
      <c r="N211" s="144"/>
      <c r="O211" s="130"/>
      <c r="P211" s="236"/>
      <c r="Q211" s="159"/>
      <c r="R211" s="159"/>
    </row>
    <row r="212" spans="1:22" s="72" customFormat="1" ht="14.25" x14ac:dyDescent="0.2">
      <c r="A212" s="63"/>
      <c r="B212" s="121" t="s">
        <v>140</v>
      </c>
      <c r="C212" s="64">
        <v>1</v>
      </c>
      <c r="D212" s="75" t="s">
        <v>75</v>
      </c>
      <c r="E212" s="184" t="s">
        <v>76</v>
      </c>
      <c r="F212" s="134"/>
      <c r="G212" s="134"/>
      <c r="H212" s="135"/>
      <c r="I212" s="152"/>
      <c r="J212" s="135"/>
      <c r="K212" s="136"/>
      <c r="L212" s="135"/>
      <c r="M212" s="137"/>
      <c r="N212" s="144"/>
      <c r="O212" s="130"/>
      <c r="P212" s="236"/>
      <c r="Q212" s="159"/>
      <c r="R212" s="159"/>
    </row>
    <row r="213" spans="1:22" s="72" customFormat="1" ht="14.25" x14ac:dyDescent="0.2">
      <c r="A213" s="63"/>
      <c r="B213" s="143" t="s">
        <v>74</v>
      </c>
      <c r="C213" s="64">
        <v>1</v>
      </c>
      <c r="D213" s="75" t="s">
        <v>75</v>
      </c>
      <c r="E213" s="184" t="s">
        <v>77</v>
      </c>
      <c r="F213" s="134"/>
      <c r="G213" s="134"/>
      <c r="H213" s="135"/>
      <c r="I213" s="152"/>
      <c r="J213" s="135"/>
      <c r="K213" s="136"/>
      <c r="L213" s="135"/>
      <c r="M213" s="137"/>
      <c r="N213" s="144"/>
      <c r="O213" s="130"/>
      <c r="P213" s="236"/>
      <c r="Q213" s="159"/>
      <c r="R213" s="159"/>
    </row>
    <row r="214" spans="1:22" s="72" customFormat="1" ht="14.25" x14ac:dyDescent="0.2">
      <c r="A214" s="63"/>
      <c r="B214" s="143"/>
      <c r="C214" s="64"/>
      <c r="D214" s="75"/>
      <c r="E214" s="134"/>
      <c r="F214" s="134"/>
      <c r="G214" s="134"/>
      <c r="H214" s="135"/>
      <c r="I214" s="152"/>
      <c r="J214" s="135"/>
      <c r="K214" s="136"/>
      <c r="L214" s="135"/>
      <c r="M214" s="137"/>
      <c r="N214" s="144"/>
      <c r="O214" s="130"/>
      <c r="P214" s="236"/>
      <c r="Q214" s="159"/>
      <c r="R214" s="159"/>
    </row>
    <row r="215" spans="1:22" s="72" customFormat="1" ht="14.25" x14ac:dyDescent="0.2">
      <c r="A215" s="63"/>
      <c r="B215" s="121" t="s">
        <v>139</v>
      </c>
      <c r="C215" s="64">
        <v>1</v>
      </c>
      <c r="D215" s="75" t="s">
        <v>75</v>
      </c>
      <c r="E215" s="184" t="s">
        <v>76</v>
      </c>
      <c r="F215" s="134"/>
      <c r="G215" s="134"/>
      <c r="H215" s="135"/>
      <c r="I215" s="152"/>
      <c r="J215" s="135"/>
      <c r="K215" s="136"/>
      <c r="L215" s="135"/>
      <c r="M215" s="137"/>
      <c r="N215" s="144"/>
      <c r="O215" s="130"/>
      <c r="P215" s="236"/>
      <c r="Q215" s="159"/>
      <c r="R215" s="159"/>
    </row>
    <row r="216" spans="1:22" s="72" customFormat="1" ht="14.25" x14ac:dyDescent="0.2">
      <c r="A216" s="63"/>
      <c r="B216" s="143" t="s">
        <v>74</v>
      </c>
      <c r="C216" s="64">
        <v>1</v>
      </c>
      <c r="D216" s="75" t="s">
        <v>75</v>
      </c>
      <c r="E216" s="184" t="s">
        <v>77</v>
      </c>
      <c r="F216" s="134"/>
      <c r="G216" s="134"/>
      <c r="H216" s="135"/>
      <c r="I216" s="152"/>
      <c r="J216" s="135"/>
      <c r="K216" s="136"/>
      <c r="L216" s="135"/>
      <c r="M216" s="137"/>
      <c r="N216" s="144"/>
      <c r="O216" s="130"/>
      <c r="P216" s="236"/>
      <c r="Q216" s="159"/>
      <c r="R216" s="159"/>
    </row>
    <row r="217" spans="1:22" s="72" customFormat="1" ht="14.25" x14ac:dyDescent="0.2">
      <c r="A217" s="63"/>
      <c r="B217" s="143"/>
      <c r="C217" s="64"/>
      <c r="D217" s="75"/>
      <c r="E217" s="134"/>
      <c r="F217" s="134"/>
      <c r="G217" s="134"/>
      <c r="H217" s="135"/>
      <c r="I217" s="152"/>
      <c r="J217" s="135"/>
      <c r="K217" s="136"/>
      <c r="L217" s="135"/>
      <c r="M217" s="137"/>
      <c r="N217" s="144"/>
      <c r="O217" s="130"/>
      <c r="P217" s="236"/>
      <c r="Q217" s="159"/>
      <c r="R217" s="159"/>
    </row>
    <row r="218" spans="1:22" s="72" customFormat="1" ht="14.25" x14ac:dyDescent="0.2">
      <c r="A218" s="63"/>
      <c r="B218" s="143" t="s">
        <v>141</v>
      </c>
      <c r="C218" s="64">
        <v>1</v>
      </c>
      <c r="D218" s="75" t="s">
        <v>75</v>
      </c>
      <c r="E218" s="134">
        <v>2</v>
      </c>
      <c r="F218" s="134">
        <f>C218*E218</f>
        <v>2</v>
      </c>
      <c r="G218" s="134">
        <f>$H$11*E218</f>
        <v>104</v>
      </c>
      <c r="H218" s="135">
        <f>F218*$H$11</f>
        <v>104</v>
      </c>
      <c r="I218" s="152">
        <f>V218</f>
        <v>1592</v>
      </c>
      <c r="J218" s="135">
        <f>C218*I218</f>
        <v>1592</v>
      </c>
      <c r="K218" s="136">
        <f>SUM(H218,J218)</f>
        <v>1696</v>
      </c>
      <c r="L218" s="135">
        <f>K218/C218</f>
        <v>1696</v>
      </c>
      <c r="M218" s="137">
        <f>C218*L218</f>
        <v>1696</v>
      </c>
      <c r="N218" s="144">
        <v>0</v>
      </c>
      <c r="O218" s="130">
        <f>M218*N218</f>
        <v>0</v>
      </c>
      <c r="P218" s="587"/>
      <c r="Q218" s="159"/>
      <c r="R218" s="388">
        <v>1525</v>
      </c>
      <c r="S218" s="388">
        <v>15</v>
      </c>
      <c r="T218" s="388"/>
      <c r="U218" s="388">
        <v>52</v>
      </c>
      <c r="V218" s="389">
        <f>SUM(R218:U218)</f>
        <v>1592</v>
      </c>
    </row>
    <row r="219" spans="1:22" s="72" customFormat="1" ht="14.25" x14ac:dyDescent="0.2">
      <c r="A219" s="63"/>
      <c r="B219" s="143" t="s">
        <v>69</v>
      </c>
      <c r="C219" s="64"/>
      <c r="D219" s="75"/>
      <c r="E219" s="134"/>
      <c r="F219" s="134"/>
      <c r="G219" s="134"/>
      <c r="H219" s="135"/>
      <c r="I219" s="152"/>
      <c r="J219" s="135"/>
      <c r="K219" s="136"/>
      <c r="L219" s="135"/>
      <c r="M219" s="137"/>
      <c r="N219" s="144"/>
      <c r="O219" s="130"/>
      <c r="P219" s="236"/>
      <c r="Q219" s="159"/>
      <c r="R219" s="177"/>
    </row>
    <row r="220" spans="1:22" s="72" customFormat="1" ht="14.25" x14ac:dyDescent="0.2">
      <c r="A220" s="63"/>
      <c r="B220" s="316" t="s">
        <v>534</v>
      </c>
      <c r="C220" s="64">
        <v>1</v>
      </c>
      <c r="D220" s="75" t="s">
        <v>75</v>
      </c>
      <c r="E220" s="134">
        <v>1</v>
      </c>
      <c r="F220" s="134">
        <f>C220*E220</f>
        <v>1</v>
      </c>
      <c r="G220" s="134">
        <f>$H$11*E220</f>
        <v>52</v>
      </c>
      <c r="H220" s="135">
        <f>F220*$H$11</f>
        <v>52</v>
      </c>
      <c r="I220" s="229">
        <v>125</v>
      </c>
      <c r="J220" s="135">
        <f>C220*I220</f>
        <v>125</v>
      </c>
      <c r="K220" s="136">
        <f>SUM(H220,J220)</f>
        <v>177</v>
      </c>
      <c r="L220" s="135">
        <f>K220/C220</f>
        <v>177</v>
      </c>
      <c r="M220" s="137">
        <f>C220*L220</f>
        <v>177</v>
      </c>
      <c r="N220" s="144">
        <v>0</v>
      </c>
      <c r="O220" s="130">
        <f>M220*N220</f>
        <v>0</v>
      </c>
      <c r="P220" s="236"/>
      <c r="Q220" s="159"/>
      <c r="R220" s="159"/>
    </row>
    <row r="221" spans="1:22" s="72" customFormat="1" ht="7.5" customHeight="1" x14ac:dyDescent="0.2">
      <c r="A221" s="63"/>
      <c r="B221" s="143"/>
      <c r="C221" s="64"/>
      <c r="D221" s="75"/>
      <c r="E221" s="134"/>
      <c r="F221" s="134"/>
      <c r="G221" s="134"/>
      <c r="H221" s="135"/>
      <c r="I221" s="152"/>
      <c r="J221" s="135"/>
      <c r="K221" s="136"/>
      <c r="L221" s="135"/>
      <c r="M221" s="137"/>
      <c r="N221" s="144"/>
      <c r="O221" s="130"/>
      <c r="P221" s="236"/>
      <c r="Q221" s="159"/>
      <c r="R221" s="159"/>
    </row>
    <row r="222" spans="1:22" s="72" customFormat="1" ht="14.25" x14ac:dyDescent="0.2">
      <c r="A222" s="63"/>
      <c r="B222" s="121" t="s">
        <v>142</v>
      </c>
      <c r="C222" s="64">
        <v>1</v>
      </c>
      <c r="D222" s="75" t="s">
        <v>75</v>
      </c>
      <c r="E222" s="184" t="s">
        <v>76</v>
      </c>
      <c r="F222" s="134"/>
      <c r="G222" s="134"/>
      <c r="H222" s="135"/>
      <c r="I222" s="152"/>
      <c r="J222" s="135"/>
      <c r="K222" s="136"/>
      <c r="L222" s="135"/>
      <c r="M222" s="137"/>
      <c r="N222" s="144"/>
      <c r="O222" s="130"/>
      <c r="P222" s="236"/>
      <c r="Q222" s="159"/>
      <c r="R222" s="159"/>
    </row>
    <row r="223" spans="1:22" s="72" customFormat="1" ht="14.25" x14ac:dyDescent="0.2">
      <c r="A223" s="63"/>
      <c r="B223" s="143" t="s">
        <v>74</v>
      </c>
      <c r="C223" s="64">
        <v>1</v>
      </c>
      <c r="D223" s="75" t="s">
        <v>75</v>
      </c>
      <c r="E223" s="184" t="s">
        <v>77</v>
      </c>
      <c r="F223" s="134"/>
      <c r="G223" s="134"/>
      <c r="H223" s="135"/>
      <c r="I223" s="152"/>
      <c r="J223" s="135"/>
      <c r="K223" s="136"/>
      <c r="L223" s="135"/>
      <c r="M223" s="137"/>
      <c r="N223" s="144"/>
      <c r="O223" s="130"/>
      <c r="P223" s="236"/>
      <c r="Q223" s="159"/>
      <c r="R223" s="159"/>
    </row>
    <row r="224" spans="1:22" s="72" customFormat="1" ht="14.25" x14ac:dyDescent="0.2">
      <c r="A224" s="63"/>
      <c r="B224" s="143"/>
      <c r="C224" s="64"/>
      <c r="D224" s="75"/>
      <c r="E224" s="134"/>
      <c r="F224" s="134"/>
      <c r="G224" s="134"/>
      <c r="H224" s="135"/>
      <c r="I224" s="152"/>
      <c r="J224" s="135"/>
      <c r="K224" s="136"/>
      <c r="L224" s="135"/>
      <c r="M224" s="137"/>
      <c r="N224" s="144"/>
      <c r="O224" s="130"/>
      <c r="P224" s="236"/>
      <c r="Q224" s="159"/>
      <c r="R224" s="159"/>
    </row>
    <row r="225" spans="1:22" s="72" customFormat="1" ht="14.25" x14ac:dyDescent="0.2">
      <c r="A225" s="63"/>
      <c r="B225" s="143" t="s">
        <v>143</v>
      </c>
      <c r="C225" s="64">
        <v>1</v>
      </c>
      <c r="D225" s="75" t="s">
        <v>75</v>
      </c>
      <c r="E225" s="134">
        <v>2</v>
      </c>
      <c r="F225" s="134">
        <f>C225*E225</f>
        <v>2</v>
      </c>
      <c r="G225" s="134">
        <f>$H$11*E225</f>
        <v>104</v>
      </c>
      <c r="H225" s="135">
        <f>F225*$H$11</f>
        <v>104</v>
      </c>
      <c r="I225" s="152">
        <f>V225</f>
        <v>1592</v>
      </c>
      <c r="J225" s="135">
        <f>C225*I225</f>
        <v>1592</v>
      </c>
      <c r="K225" s="136">
        <f>SUM(H225,J225)</f>
        <v>1696</v>
      </c>
      <c r="L225" s="135">
        <f>K225/C225</f>
        <v>1696</v>
      </c>
      <c r="M225" s="137">
        <f>C225*L225</f>
        <v>1696</v>
      </c>
      <c r="N225" s="144">
        <v>0</v>
      </c>
      <c r="O225" s="130">
        <f>M225*N225</f>
        <v>0</v>
      </c>
      <c r="P225" s="587"/>
      <c r="Q225" s="159"/>
      <c r="R225" s="388">
        <v>1525</v>
      </c>
      <c r="S225" s="388">
        <v>15</v>
      </c>
      <c r="T225" s="388"/>
      <c r="U225" s="388">
        <v>52</v>
      </c>
      <c r="V225" s="389">
        <f>SUM(R225:U225)</f>
        <v>1592</v>
      </c>
    </row>
    <row r="226" spans="1:22" s="72" customFormat="1" ht="14.25" x14ac:dyDescent="0.2">
      <c r="A226" s="63"/>
      <c r="B226" s="143" t="s">
        <v>69</v>
      </c>
      <c r="C226" s="64"/>
      <c r="D226" s="75"/>
      <c r="E226" s="134"/>
      <c r="F226" s="134"/>
      <c r="G226" s="134"/>
      <c r="H226" s="135"/>
      <c r="I226" s="152"/>
      <c r="J226" s="135"/>
      <c r="K226" s="136"/>
      <c r="L226" s="135"/>
      <c r="M226" s="137"/>
      <c r="N226" s="144"/>
      <c r="O226" s="130"/>
      <c r="P226" s="236"/>
      <c r="Q226" s="159"/>
      <c r="R226" s="177"/>
    </row>
    <row r="227" spans="1:22" s="72" customFormat="1" ht="14.25" x14ac:dyDescent="0.2">
      <c r="A227" s="63"/>
      <c r="B227" s="316" t="s">
        <v>534</v>
      </c>
      <c r="C227" s="64">
        <v>1</v>
      </c>
      <c r="D227" s="75" t="s">
        <v>75</v>
      </c>
      <c r="E227" s="134">
        <v>1</v>
      </c>
      <c r="F227" s="134">
        <f>C227*E227</f>
        <v>1</v>
      </c>
      <c r="G227" s="134">
        <f>$H$11*E227</f>
        <v>52</v>
      </c>
      <c r="H227" s="135">
        <f>F227*$H$11</f>
        <v>52</v>
      </c>
      <c r="I227" s="229">
        <v>125</v>
      </c>
      <c r="J227" s="135">
        <f>C227*I227</f>
        <v>125</v>
      </c>
      <c r="K227" s="136">
        <f>SUM(H227,J227)</f>
        <v>177</v>
      </c>
      <c r="L227" s="135">
        <f>K227/C227</f>
        <v>177</v>
      </c>
      <c r="M227" s="137">
        <f>C227*L227</f>
        <v>177</v>
      </c>
      <c r="N227" s="144">
        <v>0</v>
      </c>
      <c r="O227" s="130">
        <f>M227*N227</f>
        <v>0</v>
      </c>
      <c r="P227" s="236"/>
      <c r="Q227" s="159"/>
      <c r="R227" s="159"/>
    </row>
    <row r="228" spans="1:22" s="72" customFormat="1" ht="5.25" customHeight="1" x14ac:dyDescent="0.2">
      <c r="A228" s="63"/>
      <c r="B228" s="143"/>
      <c r="C228" s="64"/>
      <c r="D228" s="75"/>
      <c r="E228" s="134"/>
      <c r="F228" s="134"/>
      <c r="G228" s="134"/>
      <c r="H228" s="135"/>
      <c r="I228" s="152"/>
      <c r="J228" s="135"/>
      <c r="K228" s="136"/>
      <c r="L228" s="135"/>
      <c r="M228" s="137"/>
      <c r="N228" s="144"/>
      <c r="O228" s="130"/>
      <c r="P228" s="236"/>
      <c r="Q228" s="159"/>
      <c r="R228" s="159"/>
    </row>
    <row r="229" spans="1:22" s="72" customFormat="1" ht="14.25" x14ac:dyDescent="0.2">
      <c r="A229" s="63"/>
      <c r="B229" s="121" t="s">
        <v>144</v>
      </c>
      <c r="C229" s="64">
        <v>1</v>
      </c>
      <c r="D229" s="75" t="s">
        <v>75</v>
      </c>
      <c r="E229" s="184" t="s">
        <v>76</v>
      </c>
      <c r="F229" s="134"/>
      <c r="G229" s="134"/>
      <c r="H229" s="135"/>
      <c r="I229" s="152"/>
      <c r="J229" s="135"/>
      <c r="K229" s="136"/>
      <c r="L229" s="135"/>
      <c r="M229" s="137"/>
      <c r="N229" s="144"/>
      <c r="O229" s="130"/>
      <c r="P229" s="236"/>
      <c r="Q229" s="159"/>
      <c r="R229" s="159"/>
    </row>
    <row r="230" spans="1:22" s="72" customFormat="1" ht="14.25" x14ac:dyDescent="0.2">
      <c r="A230" s="63"/>
      <c r="B230" s="143" t="s">
        <v>74</v>
      </c>
      <c r="C230" s="64">
        <v>1</v>
      </c>
      <c r="D230" s="75" t="s">
        <v>75</v>
      </c>
      <c r="E230" s="184" t="s">
        <v>77</v>
      </c>
      <c r="F230" s="134"/>
      <c r="G230" s="134"/>
      <c r="H230" s="135"/>
      <c r="I230" s="152"/>
      <c r="J230" s="135"/>
      <c r="K230" s="136"/>
      <c r="L230" s="135"/>
      <c r="M230" s="137"/>
      <c r="N230" s="144"/>
      <c r="O230" s="130"/>
      <c r="P230" s="236"/>
      <c r="Q230" s="159"/>
      <c r="R230" s="159"/>
    </row>
    <row r="231" spans="1:22" s="72" customFormat="1" ht="14.25" x14ac:dyDescent="0.2">
      <c r="A231" s="63"/>
      <c r="B231" s="143"/>
      <c r="C231" s="64"/>
      <c r="D231" s="75"/>
      <c r="E231" s="184"/>
      <c r="F231" s="134"/>
      <c r="G231" s="134"/>
      <c r="H231" s="135"/>
      <c r="I231" s="152"/>
      <c r="J231" s="135"/>
      <c r="K231" s="136"/>
      <c r="L231" s="135"/>
      <c r="M231" s="137"/>
      <c r="N231" s="144"/>
      <c r="O231" s="130"/>
      <c r="P231" s="236"/>
      <c r="Q231" s="159"/>
      <c r="R231" s="159"/>
    </row>
    <row r="232" spans="1:22" s="72" customFormat="1" ht="14.25" x14ac:dyDescent="0.2">
      <c r="A232" s="63"/>
      <c r="B232" s="143" t="s">
        <v>145</v>
      </c>
      <c r="C232" s="64">
        <v>1</v>
      </c>
      <c r="D232" s="75" t="s">
        <v>75</v>
      </c>
      <c r="E232" s="134">
        <v>2</v>
      </c>
      <c r="F232" s="134">
        <f>C232*E232</f>
        <v>2</v>
      </c>
      <c r="G232" s="134">
        <f>$H$11*E232</f>
        <v>104</v>
      </c>
      <c r="H232" s="135">
        <f>F232*$H$11</f>
        <v>104</v>
      </c>
      <c r="I232" s="152">
        <f>V232</f>
        <v>1592</v>
      </c>
      <c r="J232" s="135">
        <f>C232*I232</f>
        <v>1592</v>
      </c>
      <c r="K232" s="136">
        <f>SUM(H232,J232)</f>
        <v>1696</v>
      </c>
      <c r="L232" s="135">
        <f>K232/C232</f>
        <v>1696</v>
      </c>
      <c r="M232" s="137">
        <f>C232*L232</f>
        <v>1696</v>
      </c>
      <c r="N232" s="144">
        <v>0</v>
      </c>
      <c r="O232" s="130">
        <f>M232*N232</f>
        <v>0</v>
      </c>
      <c r="P232" s="587"/>
      <c r="Q232" s="159"/>
      <c r="R232" s="388">
        <v>1525</v>
      </c>
      <c r="S232" s="388">
        <v>15</v>
      </c>
      <c r="T232" s="388"/>
      <c r="U232" s="388">
        <v>52</v>
      </c>
      <c r="V232" s="389">
        <f>SUM(R232:U232)</f>
        <v>1592</v>
      </c>
    </row>
    <row r="233" spans="1:22" s="72" customFormat="1" ht="14.25" x14ac:dyDescent="0.2">
      <c r="A233" s="63"/>
      <c r="B233" s="143" t="s">
        <v>69</v>
      </c>
      <c r="C233" s="64"/>
      <c r="D233" s="75"/>
      <c r="E233" s="134"/>
      <c r="F233" s="134"/>
      <c r="G233" s="134"/>
      <c r="H233" s="135"/>
      <c r="I233" s="152"/>
      <c r="J233" s="135"/>
      <c r="K233" s="136"/>
      <c r="L233" s="135"/>
      <c r="M233" s="137"/>
      <c r="N233" s="144"/>
      <c r="O233" s="130"/>
      <c r="P233" s="236"/>
      <c r="Q233" s="159"/>
      <c r="R233" s="177"/>
    </row>
    <row r="234" spans="1:22" s="72" customFormat="1" ht="14.25" x14ac:dyDescent="0.2">
      <c r="A234" s="63"/>
      <c r="B234" s="316" t="s">
        <v>534</v>
      </c>
      <c r="C234" s="64">
        <v>1</v>
      </c>
      <c r="D234" s="75" t="s">
        <v>75</v>
      </c>
      <c r="E234" s="134">
        <v>1</v>
      </c>
      <c r="F234" s="134">
        <f>C234*E234</f>
        <v>1</v>
      </c>
      <c r="G234" s="134">
        <f>$H$11*E234</f>
        <v>52</v>
      </c>
      <c r="H234" s="135">
        <f>F234*$H$11</f>
        <v>52</v>
      </c>
      <c r="I234" s="229">
        <v>125</v>
      </c>
      <c r="J234" s="135">
        <f>C234*I234</f>
        <v>125</v>
      </c>
      <c r="K234" s="136">
        <f>SUM(H234,J234)</f>
        <v>177</v>
      </c>
      <c r="L234" s="135">
        <f>K234/C234</f>
        <v>177</v>
      </c>
      <c r="M234" s="137">
        <f>C234*L234</f>
        <v>177</v>
      </c>
      <c r="N234" s="144">
        <v>0</v>
      </c>
      <c r="O234" s="130">
        <f>M234*N234</f>
        <v>0</v>
      </c>
      <c r="P234" s="236"/>
      <c r="Q234" s="159"/>
      <c r="R234" s="159"/>
    </row>
    <row r="235" spans="1:22" s="72" customFormat="1" ht="6" customHeight="1" x14ac:dyDescent="0.2">
      <c r="A235" s="63"/>
      <c r="B235" s="143"/>
      <c r="C235" s="64"/>
      <c r="D235" s="75"/>
      <c r="E235" s="184"/>
      <c r="F235" s="134"/>
      <c r="G235" s="134"/>
      <c r="H235" s="135"/>
      <c r="I235" s="152"/>
      <c r="J235" s="135"/>
      <c r="K235" s="136"/>
      <c r="L235" s="135"/>
      <c r="M235" s="137"/>
      <c r="N235" s="144"/>
      <c r="O235" s="130"/>
      <c r="P235" s="236"/>
      <c r="Q235" s="159"/>
      <c r="R235" s="159"/>
    </row>
    <row r="236" spans="1:22" s="72" customFormat="1" ht="14.25" x14ac:dyDescent="0.2">
      <c r="A236" s="63"/>
      <c r="B236" s="121" t="s">
        <v>146</v>
      </c>
      <c r="C236" s="64">
        <v>1</v>
      </c>
      <c r="D236" s="75" t="s">
        <v>75</v>
      </c>
      <c r="E236" s="184" t="s">
        <v>76</v>
      </c>
      <c r="F236" s="134"/>
      <c r="G236" s="134"/>
      <c r="H236" s="135"/>
      <c r="I236" s="152"/>
      <c r="J236" s="135"/>
      <c r="K236" s="136"/>
      <c r="L236" s="135"/>
      <c r="M236" s="137"/>
      <c r="N236" s="144"/>
      <c r="O236" s="130"/>
      <c r="P236" s="236"/>
      <c r="Q236" s="159"/>
      <c r="R236" s="159"/>
    </row>
    <row r="237" spans="1:22" s="72" customFormat="1" ht="14.25" x14ac:dyDescent="0.2">
      <c r="A237" s="63"/>
      <c r="B237" s="143" t="s">
        <v>74</v>
      </c>
      <c r="C237" s="64">
        <v>1</v>
      </c>
      <c r="D237" s="75" t="s">
        <v>75</v>
      </c>
      <c r="E237" s="184" t="s">
        <v>77</v>
      </c>
      <c r="F237" s="134"/>
      <c r="G237" s="134"/>
      <c r="H237" s="135"/>
      <c r="I237" s="152"/>
      <c r="J237" s="135"/>
      <c r="K237" s="136"/>
      <c r="L237" s="135"/>
      <c r="M237" s="137"/>
      <c r="N237" s="144"/>
      <c r="O237" s="130"/>
      <c r="P237" s="236"/>
      <c r="Q237" s="159"/>
      <c r="R237" s="159"/>
    </row>
    <row r="238" spans="1:22" s="72" customFormat="1" ht="14.25" x14ac:dyDescent="0.2">
      <c r="A238" s="63"/>
      <c r="B238" s="143"/>
      <c r="C238" s="64"/>
      <c r="D238" s="75"/>
      <c r="E238" s="184"/>
      <c r="F238" s="134"/>
      <c r="G238" s="134"/>
      <c r="H238" s="135"/>
      <c r="I238" s="152"/>
      <c r="J238" s="135"/>
      <c r="K238" s="136"/>
      <c r="L238" s="135"/>
      <c r="M238" s="137"/>
      <c r="N238" s="144"/>
      <c r="O238" s="130"/>
      <c r="P238" s="236"/>
      <c r="Q238" s="159"/>
      <c r="R238" s="159"/>
    </row>
    <row r="239" spans="1:22" s="72" customFormat="1" ht="14.25" x14ac:dyDescent="0.2">
      <c r="A239" s="63"/>
      <c r="B239" s="143" t="s">
        <v>147</v>
      </c>
      <c r="C239" s="64">
        <v>1</v>
      </c>
      <c r="D239" s="75" t="s">
        <v>75</v>
      </c>
      <c r="E239" s="134">
        <v>2</v>
      </c>
      <c r="F239" s="134">
        <f>C239*E239</f>
        <v>2</v>
      </c>
      <c r="G239" s="134">
        <f>$H$11*E239</f>
        <v>104</v>
      </c>
      <c r="H239" s="135">
        <f>F239*$H$11</f>
        <v>104</v>
      </c>
      <c r="I239" s="152">
        <f>V239</f>
        <v>1592</v>
      </c>
      <c r="J239" s="135">
        <f>C239*I239</f>
        <v>1592</v>
      </c>
      <c r="K239" s="136">
        <f>SUM(H239,J239)</f>
        <v>1696</v>
      </c>
      <c r="L239" s="135">
        <f>K239/C239</f>
        <v>1696</v>
      </c>
      <c r="M239" s="137">
        <f>C239*L239</f>
        <v>1696</v>
      </c>
      <c r="N239" s="144">
        <v>0</v>
      </c>
      <c r="O239" s="130">
        <f>M239*N239</f>
        <v>0</v>
      </c>
      <c r="P239" s="587"/>
      <c r="Q239" s="159"/>
      <c r="R239" s="388">
        <v>1525</v>
      </c>
      <c r="S239" s="388">
        <v>15</v>
      </c>
      <c r="T239" s="388"/>
      <c r="U239" s="388">
        <v>52</v>
      </c>
      <c r="V239" s="389">
        <f>SUM(R239:U239)</f>
        <v>1592</v>
      </c>
    </row>
    <row r="240" spans="1:22" s="72" customFormat="1" ht="14.25" x14ac:dyDescent="0.2">
      <c r="A240" s="63"/>
      <c r="B240" s="143" t="s">
        <v>113</v>
      </c>
      <c r="C240" s="64"/>
      <c r="D240" s="75"/>
      <c r="E240" s="134"/>
      <c r="F240" s="134"/>
      <c r="G240" s="134"/>
      <c r="H240" s="135"/>
      <c r="I240" s="152"/>
      <c r="J240" s="135"/>
      <c r="K240" s="136"/>
      <c r="L240" s="135"/>
      <c r="M240" s="137"/>
      <c r="N240" s="144"/>
      <c r="O240" s="130"/>
      <c r="P240" s="236"/>
      <c r="Q240" s="159"/>
      <c r="R240" s="177"/>
    </row>
    <row r="241" spans="1:22" s="72" customFormat="1" ht="14.25" x14ac:dyDescent="0.2">
      <c r="A241" s="63"/>
      <c r="B241" s="143"/>
      <c r="C241" s="64"/>
      <c r="D241" s="75"/>
      <c r="E241" s="134"/>
      <c r="F241" s="134"/>
      <c r="G241" s="134"/>
      <c r="H241" s="135"/>
      <c r="I241" s="152"/>
      <c r="J241" s="135"/>
      <c r="K241" s="136"/>
      <c r="L241" s="135"/>
      <c r="M241" s="137"/>
      <c r="N241" s="144"/>
      <c r="O241" s="130"/>
      <c r="P241" s="236"/>
      <c r="Q241" s="159"/>
      <c r="R241" s="177"/>
    </row>
    <row r="242" spans="1:22" s="72" customFormat="1" ht="14.25" x14ac:dyDescent="0.2">
      <c r="A242" s="63"/>
      <c r="B242" s="143" t="s">
        <v>733</v>
      </c>
      <c r="C242" s="555">
        <f>'WORKINGS_Ali L5'!AK2</f>
        <v>85.25</v>
      </c>
      <c r="D242" s="75" t="s">
        <v>116</v>
      </c>
      <c r="E242" s="134">
        <v>0.05</v>
      </c>
      <c r="F242" s="134">
        <f>C242*E242</f>
        <v>4.2625000000000002</v>
      </c>
      <c r="G242" s="134">
        <f>$H$11*E242</f>
        <v>2.6</v>
      </c>
      <c r="H242" s="135">
        <f>F242*$H$11</f>
        <v>221.65</v>
      </c>
      <c r="I242" s="152">
        <v>2.1</v>
      </c>
      <c r="J242" s="135">
        <f>C242*I242</f>
        <v>179.02500000000001</v>
      </c>
      <c r="K242" s="136">
        <f>SUM(H242,J242)</f>
        <v>400.67500000000001</v>
      </c>
      <c r="L242" s="135">
        <f>K242/C242</f>
        <v>4.7</v>
      </c>
      <c r="M242" s="137">
        <f>C242*L242</f>
        <v>400.67500000000001</v>
      </c>
      <c r="N242" s="144">
        <v>0</v>
      </c>
      <c r="O242" s="130">
        <f>M242*N242</f>
        <v>0</v>
      </c>
      <c r="P242" s="236"/>
      <c r="Q242" s="159"/>
      <c r="R242" s="177"/>
    </row>
    <row r="243" spans="1:22" s="72" customFormat="1" ht="14.25" x14ac:dyDescent="0.2">
      <c r="A243" s="63"/>
      <c r="B243" s="175"/>
      <c r="C243" s="64"/>
      <c r="D243" s="75"/>
      <c r="E243" s="134"/>
      <c r="F243" s="134"/>
      <c r="G243" s="134"/>
      <c r="H243" s="135"/>
      <c r="I243" s="152"/>
      <c r="J243" s="135"/>
      <c r="K243" s="136"/>
      <c r="L243" s="135"/>
      <c r="M243" s="137"/>
      <c r="N243" s="144"/>
      <c r="O243" s="130"/>
      <c r="P243" s="236"/>
      <c r="Q243" s="159"/>
      <c r="R243" s="159"/>
    </row>
    <row r="244" spans="1:22" s="72" customFormat="1" ht="14.25" x14ac:dyDescent="0.2">
      <c r="A244" s="63"/>
      <c r="B244" s="175" t="s">
        <v>114</v>
      </c>
      <c r="C244" s="64">
        <v>196</v>
      </c>
      <c r="D244" s="75" t="s">
        <v>116</v>
      </c>
      <c r="E244" s="134">
        <v>0.2</v>
      </c>
      <c r="F244" s="134">
        <f>C244*E244</f>
        <v>39.200000000000003</v>
      </c>
      <c r="G244" s="134">
        <f>$H$11*E244</f>
        <v>10.4</v>
      </c>
      <c r="H244" s="135">
        <f>F244*$H$11</f>
        <v>2038.4</v>
      </c>
      <c r="I244" s="152">
        <v>5.7</v>
      </c>
      <c r="J244" s="135">
        <f>C244*I244</f>
        <v>1117.2</v>
      </c>
      <c r="K244" s="136">
        <f>SUM(H244,J244)</f>
        <v>3155.6000000000004</v>
      </c>
      <c r="L244" s="135">
        <f>K244/C244</f>
        <v>16.100000000000001</v>
      </c>
      <c r="M244" s="137">
        <f>C244*L244</f>
        <v>3155.6000000000004</v>
      </c>
      <c r="N244" s="144">
        <v>0</v>
      </c>
      <c r="O244" s="130">
        <f>M244*N244</f>
        <v>0</v>
      </c>
      <c r="P244" s="236"/>
      <c r="Q244" s="159"/>
      <c r="R244" s="159"/>
    </row>
    <row r="245" spans="1:22" s="72" customFormat="1" ht="25.5" x14ac:dyDescent="0.2">
      <c r="A245" s="63"/>
      <c r="B245" s="175" t="s">
        <v>832</v>
      </c>
      <c r="C245" s="64">
        <v>23</v>
      </c>
      <c r="D245" s="75" t="s">
        <v>116</v>
      </c>
      <c r="E245" s="134">
        <v>0.2</v>
      </c>
      <c r="F245" s="134">
        <f>C245*E245</f>
        <v>4.6000000000000005</v>
      </c>
      <c r="G245" s="134">
        <f>$H$11*E245</f>
        <v>10.4</v>
      </c>
      <c r="H245" s="135">
        <f>F245*$H$11</f>
        <v>239.20000000000002</v>
      </c>
      <c r="I245" s="152">
        <v>14.9</v>
      </c>
      <c r="J245" s="135">
        <f>C245*I245</f>
        <v>342.7</v>
      </c>
      <c r="K245" s="136">
        <f>SUM(H245,J245)</f>
        <v>581.9</v>
      </c>
      <c r="L245" s="135">
        <f>K245/C245</f>
        <v>25.3</v>
      </c>
      <c r="M245" s="137">
        <f>C245*L245</f>
        <v>581.9</v>
      </c>
      <c r="N245" s="144">
        <v>0</v>
      </c>
      <c r="O245" s="130">
        <f>M245*N245</f>
        <v>0</v>
      </c>
      <c r="P245" s="236"/>
      <c r="Q245" s="159"/>
      <c r="R245" s="159"/>
    </row>
    <row r="246" spans="1:22" s="72" customFormat="1" ht="14.25" x14ac:dyDescent="0.2">
      <c r="A246" s="63"/>
      <c r="B246" s="175" t="s">
        <v>115</v>
      </c>
      <c r="C246" s="64">
        <v>9</v>
      </c>
      <c r="D246" s="75" t="s">
        <v>116</v>
      </c>
      <c r="E246" s="134">
        <v>0</v>
      </c>
      <c r="F246" s="134">
        <f>C246*E246</f>
        <v>0</v>
      </c>
      <c r="G246" s="134">
        <f>$H$11*E246</f>
        <v>0</v>
      </c>
      <c r="H246" s="135">
        <f>F246*$H$11</f>
        <v>0</v>
      </c>
      <c r="I246" s="152">
        <v>30</v>
      </c>
      <c r="J246" s="135">
        <f>C246*I246</f>
        <v>270</v>
      </c>
      <c r="K246" s="136">
        <f>SUM(H246,J246)</f>
        <v>270</v>
      </c>
      <c r="L246" s="135">
        <f>K246/C246</f>
        <v>30</v>
      </c>
      <c r="M246" s="137">
        <f>C246*L246</f>
        <v>270</v>
      </c>
      <c r="N246" s="144">
        <v>0</v>
      </c>
      <c r="O246" s="130">
        <f>M246*N246</f>
        <v>0</v>
      </c>
      <c r="P246" s="236"/>
      <c r="Q246" s="159"/>
      <c r="R246" s="159"/>
    </row>
    <row r="247" spans="1:22" s="72" customFormat="1" ht="14.25" x14ac:dyDescent="0.2">
      <c r="A247" s="63"/>
      <c r="B247" s="175"/>
      <c r="C247" s="64"/>
      <c r="D247" s="75"/>
      <c r="E247" s="134"/>
      <c r="F247" s="134"/>
      <c r="G247" s="134"/>
      <c r="H247" s="135"/>
      <c r="I247" s="152"/>
      <c r="J247" s="135"/>
      <c r="K247" s="136"/>
      <c r="L247" s="135"/>
      <c r="M247" s="137"/>
      <c r="N247" s="144"/>
      <c r="O247" s="130"/>
      <c r="P247" s="236"/>
      <c r="Q247" s="159"/>
      <c r="R247" s="159"/>
    </row>
    <row r="248" spans="1:22" s="72" customFormat="1" ht="14.25" x14ac:dyDescent="0.2">
      <c r="A248" s="63"/>
      <c r="B248" s="175" t="s">
        <v>326</v>
      </c>
      <c r="C248" s="64">
        <v>3</v>
      </c>
      <c r="D248" s="75" t="s">
        <v>148</v>
      </c>
      <c r="E248" s="134">
        <v>1.25</v>
      </c>
      <c r="F248" s="134">
        <f>C248*E248</f>
        <v>3.75</v>
      </c>
      <c r="G248" s="134">
        <f>$H$11*E248</f>
        <v>65</v>
      </c>
      <c r="H248" s="135">
        <f>F248*$H$11</f>
        <v>195</v>
      </c>
      <c r="I248" s="152">
        <v>205</v>
      </c>
      <c r="J248" s="135">
        <f>C248*I248</f>
        <v>615</v>
      </c>
      <c r="K248" s="136">
        <f>SUM(H248,J248)</f>
        <v>810</v>
      </c>
      <c r="L248" s="135">
        <f>K248/C248</f>
        <v>270</v>
      </c>
      <c r="M248" s="137">
        <f>C248*L248</f>
        <v>810</v>
      </c>
      <c r="N248" s="144">
        <v>0</v>
      </c>
      <c r="O248" s="130">
        <f>M248*N248</f>
        <v>0</v>
      </c>
      <c r="P248" s="236"/>
      <c r="Q248" s="159"/>
      <c r="R248" s="159"/>
    </row>
    <row r="249" spans="1:22" s="72" customFormat="1" ht="14.25" x14ac:dyDescent="0.2">
      <c r="A249" s="63"/>
      <c r="B249" s="175"/>
      <c r="C249" s="64"/>
      <c r="D249" s="75"/>
      <c r="E249" s="134"/>
      <c r="F249" s="134"/>
      <c r="G249" s="134"/>
      <c r="H249" s="135"/>
      <c r="I249" s="152"/>
      <c r="J249" s="135"/>
      <c r="K249" s="136"/>
      <c r="L249" s="135"/>
      <c r="M249" s="137"/>
      <c r="N249" s="144"/>
      <c r="O249" s="130"/>
      <c r="P249" s="236"/>
      <c r="Q249" s="159"/>
      <c r="R249" s="159"/>
    </row>
    <row r="250" spans="1:22" s="72" customFormat="1" ht="14.25" x14ac:dyDescent="0.2">
      <c r="A250" s="225"/>
      <c r="B250" s="200" t="s">
        <v>324</v>
      </c>
      <c r="C250" s="201">
        <v>1</v>
      </c>
      <c r="D250" s="226" t="s">
        <v>75</v>
      </c>
      <c r="E250" s="227"/>
      <c r="F250" s="227">
        <f>C250*E250</f>
        <v>0</v>
      </c>
      <c r="G250" s="227">
        <f>$H$11*E250</f>
        <v>0</v>
      </c>
      <c r="H250" s="228">
        <f>F250*$H$11</f>
        <v>0</v>
      </c>
      <c r="I250" s="229">
        <f>'WORKINGS_Ali L5 (2)'!AP55</f>
        <v>25918.073892999997</v>
      </c>
      <c r="J250" s="228">
        <f>C250*I250</f>
        <v>25918.073892999997</v>
      </c>
      <c r="K250" s="230">
        <f>SUM(H250,J250)</f>
        <v>25918.073892999997</v>
      </c>
      <c r="L250" s="228">
        <f>K250/C250</f>
        <v>25918.073892999997</v>
      </c>
      <c r="M250" s="231">
        <f>C250*L250</f>
        <v>25918.073892999997</v>
      </c>
      <c r="N250" s="232">
        <v>0</v>
      </c>
      <c r="O250" s="233">
        <f>M250*N250</f>
        <v>0</v>
      </c>
      <c r="P250" s="236"/>
      <c r="Q250" s="159"/>
      <c r="R250" s="159"/>
    </row>
    <row r="251" spans="1:22" s="72" customFormat="1" ht="14.25" x14ac:dyDescent="0.2">
      <c r="A251" s="225"/>
      <c r="B251" s="200" t="s">
        <v>797</v>
      </c>
      <c r="C251" s="201">
        <v>1</v>
      </c>
      <c r="D251" s="226" t="s">
        <v>75</v>
      </c>
      <c r="E251" s="227"/>
      <c r="F251" s="227">
        <f>C251*E251</f>
        <v>0</v>
      </c>
      <c r="G251" s="227">
        <f>$H$11*E251</f>
        <v>0</v>
      </c>
      <c r="H251" s="228">
        <f>F251*$H$11</f>
        <v>0</v>
      </c>
      <c r="I251" s="390">
        <v>11550</v>
      </c>
      <c r="J251" s="228">
        <f>C251*I251</f>
        <v>11550</v>
      </c>
      <c r="K251" s="230">
        <f>SUM(H251,J251)</f>
        <v>11550</v>
      </c>
      <c r="L251" s="228">
        <f>K251/C251</f>
        <v>11550</v>
      </c>
      <c r="M251" s="231">
        <f>C251*L251</f>
        <v>11550</v>
      </c>
      <c r="N251" s="232">
        <v>0</v>
      </c>
      <c r="O251" s="233">
        <f>M251*N251</f>
        <v>0</v>
      </c>
      <c r="P251" s="236"/>
      <c r="Q251" s="159"/>
      <c r="R251" s="159"/>
    </row>
    <row r="252" spans="1:22" s="72" customFormat="1" ht="14.25" x14ac:dyDescent="0.2">
      <c r="A252" s="225"/>
      <c r="B252" s="200" t="s">
        <v>524</v>
      </c>
      <c r="C252" s="384" t="s">
        <v>523</v>
      </c>
      <c r="D252" s="226"/>
      <c r="E252" s="227"/>
      <c r="F252" s="227"/>
      <c r="G252" s="227"/>
      <c r="H252" s="228"/>
      <c r="I252" s="229"/>
      <c r="J252" s="228"/>
      <c r="K252" s="230"/>
      <c r="L252" s="228"/>
      <c r="M252" s="231"/>
      <c r="N252" s="232"/>
      <c r="O252" s="233"/>
      <c r="P252" s="236"/>
      <c r="Q252" s="159"/>
      <c r="R252" s="159"/>
    </row>
    <row r="253" spans="1:22" s="72" customFormat="1" ht="14.25" x14ac:dyDescent="0.2">
      <c r="A253" s="225"/>
      <c r="B253" s="200" t="s">
        <v>537</v>
      </c>
      <c r="C253" s="201">
        <v>9</v>
      </c>
      <c r="D253" s="226" t="s">
        <v>75</v>
      </c>
      <c r="E253" s="227">
        <v>0</v>
      </c>
      <c r="F253" s="227">
        <f>C253*E253</f>
        <v>0</v>
      </c>
      <c r="G253" s="227">
        <f>$H$11*E253</f>
        <v>0</v>
      </c>
      <c r="H253" s="228">
        <f>F253*$H$11</f>
        <v>0</v>
      </c>
      <c r="I253" s="229">
        <v>200</v>
      </c>
      <c r="J253" s="228">
        <f>C253*I253</f>
        <v>1800</v>
      </c>
      <c r="K253" s="230">
        <f>SUM(H253,J253)</f>
        <v>1800</v>
      </c>
      <c r="L253" s="228">
        <f>K253/C253</f>
        <v>200</v>
      </c>
      <c r="M253" s="231">
        <f>C253*L253</f>
        <v>1800</v>
      </c>
      <c r="N253" s="232">
        <v>0</v>
      </c>
      <c r="O253" s="233">
        <f>M253*N253</f>
        <v>0</v>
      </c>
      <c r="P253" s="236"/>
      <c r="Q253" s="159"/>
      <c r="R253" s="388">
        <v>1800</v>
      </c>
      <c r="S253" s="388"/>
      <c r="T253" s="388"/>
      <c r="U253" s="388"/>
      <c r="V253" s="389">
        <f>SUM(R253:U253)</f>
        <v>1800</v>
      </c>
    </row>
    <row r="254" spans="1:22" s="72" customFormat="1" ht="14.25" x14ac:dyDescent="0.2">
      <c r="A254" s="63"/>
      <c r="B254" s="143"/>
      <c r="C254" s="64"/>
      <c r="D254" s="75"/>
      <c r="E254" s="134"/>
      <c r="F254" s="134"/>
      <c r="G254" s="134"/>
      <c r="H254" s="135"/>
      <c r="I254" s="152"/>
      <c r="J254" s="135"/>
      <c r="K254" s="136"/>
      <c r="L254" s="135"/>
      <c r="M254" s="137"/>
      <c r="N254" s="144"/>
      <c r="O254" s="130"/>
      <c r="P254" s="236"/>
      <c r="Q254" s="159"/>
      <c r="R254" s="159"/>
    </row>
    <row r="255" spans="1:22" s="72" customFormat="1" ht="14.25" x14ac:dyDescent="0.2">
      <c r="A255" s="63"/>
      <c r="B255" s="143"/>
      <c r="C255" s="64"/>
      <c r="D255" s="75"/>
      <c r="E255" s="134"/>
      <c r="F255" s="134"/>
      <c r="G255" s="134"/>
      <c r="H255" s="135"/>
      <c r="I255" s="152"/>
      <c r="J255" s="135"/>
      <c r="K255" s="136"/>
      <c r="L255" s="135"/>
      <c r="M255" s="137"/>
      <c r="N255" s="144"/>
      <c r="O255" s="130"/>
      <c r="P255" s="236"/>
      <c r="Q255" s="159"/>
      <c r="R255" s="159"/>
    </row>
    <row r="256" spans="1:22" s="72" customFormat="1" ht="15" x14ac:dyDescent="0.2">
      <c r="A256" s="63"/>
      <c r="B256" s="176" t="s">
        <v>60</v>
      </c>
      <c r="C256" s="64"/>
      <c r="D256" s="75"/>
      <c r="E256" s="128"/>
      <c r="F256" s="129"/>
      <c r="G256" s="129"/>
      <c r="H256" s="129"/>
      <c r="I256" s="153"/>
      <c r="J256" s="128"/>
      <c r="K256" s="128"/>
      <c r="L256" s="128"/>
      <c r="M256" s="120"/>
      <c r="N256" s="126"/>
      <c r="O256" s="127"/>
      <c r="P256" s="235"/>
      <c r="Q256" s="159"/>
      <c r="R256" s="159"/>
    </row>
    <row r="257" spans="1:22" s="72" customFormat="1" ht="15" x14ac:dyDescent="0.2">
      <c r="A257" s="63"/>
      <c r="B257" s="176"/>
      <c r="C257" s="64"/>
      <c r="D257" s="75"/>
      <c r="E257" s="128"/>
      <c r="F257" s="129"/>
      <c r="G257" s="129"/>
      <c r="H257" s="129"/>
      <c r="I257" s="153"/>
      <c r="J257" s="128"/>
      <c r="K257" s="128"/>
      <c r="L257" s="128"/>
      <c r="M257" s="120"/>
      <c r="N257" s="126"/>
      <c r="O257" s="127"/>
      <c r="P257" s="235"/>
      <c r="Q257" s="159"/>
      <c r="R257" s="159"/>
    </row>
    <row r="258" spans="1:22" s="72" customFormat="1" ht="14.25" x14ac:dyDescent="0.2">
      <c r="A258" s="63"/>
      <c r="B258" s="143" t="s">
        <v>185</v>
      </c>
      <c r="C258" s="64">
        <v>1</v>
      </c>
      <c r="D258" s="75" t="s">
        <v>75</v>
      </c>
      <c r="E258" s="184" t="s">
        <v>76</v>
      </c>
      <c r="F258" s="134"/>
      <c r="G258" s="134"/>
      <c r="H258" s="197"/>
      <c r="I258" s="152"/>
      <c r="J258" s="135"/>
      <c r="K258" s="136"/>
      <c r="L258" s="135"/>
      <c r="M258" s="137"/>
      <c r="N258" s="144"/>
      <c r="O258" s="130"/>
      <c r="P258" s="236"/>
      <c r="Q258" s="159"/>
      <c r="R258" s="159"/>
    </row>
    <row r="259" spans="1:22" s="72" customFormat="1" ht="14.25" x14ac:dyDescent="0.2">
      <c r="A259" s="63"/>
      <c r="B259" s="143" t="s">
        <v>172</v>
      </c>
      <c r="C259" s="64">
        <v>1</v>
      </c>
      <c r="D259" s="75" t="s">
        <v>75</v>
      </c>
      <c r="E259" s="134"/>
      <c r="F259" s="134"/>
      <c r="G259" s="134"/>
      <c r="H259" s="135"/>
      <c r="I259" s="152"/>
      <c r="J259" s="135"/>
      <c r="K259" s="136"/>
      <c r="L259" s="135"/>
      <c r="M259" s="137"/>
      <c r="N259" s="144"/>
      <c r="O259" s="130"/>
      <c r="P259" s="236"/>
      <c r="Q259" s="159"/>
      <c r="R259" s="159"/>
    </row>
    <row r="260" spans="1:22" s="72" customFormat="1" ht="14.25" x14ac:dyDescent="0.2">
      <c r="A260" s="63"/>
      <c r="B260" s="143" t="s">
        <v>74</v>
      </c>
      <c r="C260" s="64">
        <v>1</v>
      </c>
      <c r="D260" s="75" t="s">
        <v>75</v>
      </c>
      <c r="E260" s="134"/>
      <c r="F260" s="134"/>
      <c r="G260" s="134"/>
      <c r="H260" s="135"/>
      <c r="I260" s="152"/>
      <c r="J260" s="135"/>
      <c r="K260" s="136"/>
      <c r="L260" s="135"/>
      <c r="M260" s="137"/>
      <c r="N260" s="144"/>
      <c r="O260" s="130"/>
      <c r="P260" s="236"/>
      <c r="Q260" s="159"/>
      <c r="R260" s="159"/>
    </row>
    <row r="261" spans="1:22" s="72" customFormat="1" ht="14.25" x14ac:dyDescent="0.2">
      <c r="A261" s="63"/>
      <c r="B261" s="143"/>
      <c r="C261" s="64"/>
      <c r="D261" s="75"/>
      <c r="E261" s="134"/>
      <c r="F261" s="134"/>
      <c r="G261" s="134"/>
      <c r="H261" s="135"/>
      <c r="I261" s="152"/>
      <c r="J261" s="135"/>
      <c r="K261" s="136"/>
      <c r="L261" s="135"/>
      <c r="M261" s="137"/>
      <c r="N261" s="144"/>
      <c r="O261" s="130"/>
      <c r="P261" s="236"/>
      <c r="Q261" s="159"/>
      <c r="R261" s="159"/>
    </row>
    <row r="262" spans="1:22" s="72" customFormat="1" ht="14.25" x14ac:dyDescent="0.2">
      <c r="A262" s="63"/>
      <c r="B262" s="121" t="s">
        <v>173</v>
      </c>
      <c r="C262" s="64">
        <v>2</v>
      </c>
      <c r="D262" s="75" t="s">
        <v>75</v>
      </c>
      <c r="E262" s="184" t="s">
        <v>76</v>
      </c>
      <c r="F262" s="134"/>
      <c r="G262" s="134"/>
      <c r="H262" s="135"/>
      <c r="I262" s="152"/>
      <c r="J262" s="135"/>
      <c r="K262" s="136"/>
      <c r="L262" s="135"/>
      <c r="M262" s="137"/>
      <c r="N262" s="144"/>
      <c r="O262" s="130"/>
      <c r="P262" s="236"/>
      <c r="Q262" s="159"/>
      <c r="R262" s="159"/>
    </row>
    <row r="263" spans="1:22" s="72" customFormat="1" ht="14.25" x14ac:dyDescent="0.2">
      <c r="A263" s="63"/>
      <c r="B263" s="143" t="s">
        <v>174</v>
      </c>
      <c r="C263" s="64">
        <v>2</v>
      </c>
      <c r="D263" s="75" t="s">
        <v>75</v>
      </c>
      <c r="E263" s="184" t="s">
        <v>77</v>
      </c>
      <c r="F263" s="134"/>
      <c r="G263" s="134"/>
      <c r="H263" s="135"/>
      <c r="I263" s="152"/>
      <c r="J263" s="135"/>
      <c r="K263" s="136"/>
      <c r="L263" s="135"/>
      <c r="M263" s="137"/>
      <c r="N263" s="144"/>
      <c r="O263" s="130"/>
      <c r="P263" s="236"/>
      <c r="Q263" s="159"/>
      <c r="R263" s="159"/>
    </row>
    <row r="264" spans="1:22" s="72" customFormat="1" ht="14.25" x14ac:dyDescent="0.2">
      <c r="A264" s="63"/>
      <c r="B264" s="143"/>
      <c r="C264" s="64"/>
      <c r="D264" s="75"/>
      <c r="E264" s="134"/>
      <c r="F264" s="134"/>
      <c r="G264" s="134"/>
      <c r="H264" s="135"/>
      <c r="I264" s="152"/>
      <c r="J264" s="135"/>
      <c r="K264" s="136"/>
      <c r="L264" s="135"/>
      <c r="M264" s="137"/>
      <c r="N264" s="144"/>
      <c r="O264" s="130"/>
      <c r="P264" s="236"/>
      <c r="Q264" s="159"/>
      <c r="R264" s="159"/>
    </row>
    <row r="265" spans="1:22" s="72" customFormat="1" ht="14.25" customHeight="1" x14ac:dyDescent="0.2">
      <c r="A265" s="63"/>
      <c r="B265" s="175" t="s">
        <v>175</v>
      </c>
      <c r="C265" s="64">
        <v>1</v>
      </c>
      <c r="D265" s="75" t="s">
        <v>75</v>
      </c>
      <c r="E265" s="134">
        <v>2</v>
      </c>
      <c r="F265" s="134">
        <f>C265*E265</f>
        <v>2</v>
      </c>
      <c r="G265" s="134">
        <f>$H$11*E265</f>
        <v>104</v>
      </c>
      <c r="H265" s="135">
        <f>F265*$H$11</f>
        <v>104</v>
      </c>
      <c r="I265" s="152">
        <f>V265</f>
        <v>1642</v>
      </c>
      <c r="J265" s="135">
        <f>C265*I265</f>
        <v>1642</v>
      </c>
      <c r="K265" s="136">
        <f>SUM(H265,J265)</f>
        <v>1746</v>
      </c>
      <c r="L265" s="135">
        <f>K265/C265</f>
        <v>1746</v>
      </c>
      <c r="M265" s="137">
        <f>C265*L265</f>
        <v>1746</v>
      </c>
      <c r="N265" s="144">
        <v>0</v>
      </c>
      <c r="O265" s="130">
        <f>M265*N265</f>
        <v>0</v>
      </c>
      <c r="P265" s="587"/>
      <c r="Q265" s="159"/>
      <c r="R265" s="388">
        <v>1575</v>
      </c>
      <c r="S265" s="388">
        <v>15</v>
      </c>
      <c r="T265" s="388"/>
      <c r="U265" s="388">
        <v>52</v>
      </c>
      <c r="V265" s="389">
        <f>SUM(R265:U265)</f>
        <v>1642</v>
      </c>
    </row>
    <row r="266" spans="1:22" s="72" customFormat="1" ht="14.25" x14ac:dyDescent="0.2">
      <c r="A266" s="63"/>
      <c r="B266" s="143" t="s">
        <v>176</v>
      </c>
      <c r="C266" s="64"/>
      <c r="D266" s="75"/>
      <c r="E266" s="134"/>
      <c r="F266" s="134"/>
      <c r="G266" s="134"/>
      <c r="H266" s="135"/>
      <c r="I266" s="152"/>
      <c r="J266" s="135"/>
      <c r="K266" s="136"/>
      <c r="L266" s="135"/>
      <c r="M266" s="137"/>
      <c r="N266" s="144"/>
      <c r="O266" s="130"/>
      <c r="P266" s="236"/>
      <c r="Q266" s="159"/>
      <c r="R266" s="177"/>
    </row>
    <row r="267" spans="1:22" s="72" customFormat="1" ht="14.25" x14ac:dyDescent="0.2">
      <c r="A267" s="63"/>
      <c r="B267" s="316" t="s">
        <v>534</v>
      </c>
      <c r="C267" s="64">
        <v>1</v>
      </c>
      <c r="D267" s="75" t="s">
        <v>75</v>
      </c>
      <c r="E267" s="134">
        <v>1</v>
      </c>
      <c r="F267" s="134">
        <f>C267*E267</f>
        <v>1</v>
      </c>
      <c r="G267" s="134">
        <f>$H$11*E267</f>
        <v>52</v>
      </c>
      <c r="H267" s="135">
        <f>F267*$H$11</f>
        <v>52</v>
      </c>
      <c r="I267" s="229">
        <v>125</v>
      </c>
      <c r="J267" s="135">
        <f>C267*I267</f>
        <v>125</v>
      </c>
      <c r="K267" s="136">
        <f>SUM(H267,J267)</f>
        <v>177</v>
      </c>
      <c r="L267" s="135">
        <f>K267/C267</f>
        <v>177</v>
      </c>
      <c r="M267" s="137">
        <f>C267*L267</f>
        <v>177</v>
      </c>
      <c r="N267" s="144">
        <v>0</v>
      </c>
      <c r="O267" s="130">
        <f>M267*N267</f>
        <v>0</v>
      </c>
      <c r="P267" s="236"/>
      <c r="Q267" s="159"/>
      <c r="R267" s="177"/>
    </row>
    <row r="268" spans="1:22" s="72" customFormat="1" ht="14.25" x14ac:dyDescent="0.2">
      <c r="A268" s="63"/>
      <c r="B268" s="143"/>
      <c r="C268" s="64"/>
      <c r="D268" s="75"/>
      <c r="E268" s="134"/>
      <c r="F268" s="134"/>
      <c r="G268" s="134"/>
      <c r="H268" s="135"/>
      <c r="I268" s="152"/>
      <c r="J268" s="135"/>
      <c r="K268" s="136"/>
      <c r="L268" s="135"/>
      <c r="M268" s="137"/>
      <c r="N268" s="144"/>
      <c r="O268" s="130"/>
      <c r="P268" s="236"/>
      <c r="Q268" s="159"/>
      <c r="R268" s="177"/>
    </row>
    <row r="269" spans="1:22" s="72" customFormat="1" ht="14.25" x14ac:dyDescent="0.2">
      <c r="A269" s="63"/>
      <c r="B269" s="121" t="s">
        <v>337</v>
      </c>
      <c r="C269" s="64">
        <v>1</v>
      </c>
      <c r="D269" s="75" t="s">
        <v>75</v>
      </c>
      <c r="E269" s="184" t="s">
        <v>76</v>
      </c>
      <c r="F269" s="134"/>
      <c r="G269" s="134"/>
      <c r="H269" s="135"/>
      <c r="I269" s="152"/>
      <c r="J269" s="135"/>
      <c r="K269" s="136"/>
      <c r="L269" s="135"/>
      <c r="M269" s="137"/>
      <c r="N269" s="144"/>
      <c r="O269" s="130"/>
      <c r="P269" s="236"/>
      <c r="Q269" s="159"/>
      <c r="R269" s="159"/>
    </row>
    <row r="270" spans="1:22" s="72" customFormat="1" ht="14.25" x14ac:dyDescent="0.2">
      <c r="A270" s="63"/>
      <c r="B270" s="143" t="s">
        <v>74</v>
      </c>
      <c r="C270" s="64">
        <v>1</v>
      </c>
      <c r="D270" s="75" t="s">
        <v>75</v>
      </c>
      <c r="E270" s="184" t="s">
        <v>77</v>
      </c>
      <c r="F270" s="134"/>
      <c r="G270" s="134"/>
      <c r="H270" s="135"/>
      <c r="I270" s="152"/>
      <c r="J270" s="135"/>
      <c r="K270" s="136"/>
      <c r="L270" s="135"/>
      <c r="M270" s="137"/>
      <c r="N270" s="144"/>
      <c r="O270" s="130"/>
      <c r="P270" s="236"/>
      <c r="Q270" s="159"/>
      <c r="R270" s="159"/>
    </row>
    <row r="271" spans="1:22" s="72" customFormat="1" ht="14.25" x14ac:dyDescent="0.2">
      <c r="A271" s="63"/>
      <c r="B271" s="143"/>
      <c r="C271" s="64"/>
      <c r="D271" s="75"/>
      <c r="E271" s="134"/>
      <c r="F271" s="134"/>
      <c r="G271" s="134"/>
      <c r="H271" s="135"/>
      <c r="I271" s="152"/>
      <c r="J271" s="135"/>
      <c r="K271" s="136"/>
      <c r="L271" s="135"/>
      <c r="M271" s="137"/>
      <c r="N271" s="144"/>
      <c r="O271" s="130"/>
      <c r="P271" s="236"/>
      <c r="Q271" s="159"/>
      <c r="R271" s="177"/>
    </row>
    <row r="272" spans="1:22" s="72" customFormat="1" ht="25.5" x14ac:dyDescent="0.2">
      <c r="A272" s="63"/>
      <c r="B272" s="175" t="s">
        <v>177</v>
      </c>
      <c r="C272" s="192" t="s">
        <v>794</v>
      </c>
      <c r="D272" s="75"/>
      <c r="E272" s="184"/>
      <c r="F272" s="134"/>
      <c r="G272" s="134"/>
      <c r="H272" s="135"/>
      <c r="I272" s="152"/>
      <c r="J272" s="135"/>
      <c r="K272" s="136"/>
      <c r="L272" s="135"/>
      <c r="M272" s="137"/>
      <c r="N272" s="144"/>
      <c r="O272" s="130"/>
      <c r="P272" s="236"/>
      <c r="Q272" s="159"/>
      <c r="R272" s="190"/>
      <c r="S272" s="191"/>
      <c r="T272" s="191"/>
      <c r="U272" s="191"/>
      <c r="V272" s="187">
        <f>SUM(R272:U272)</f>
        <v>0</v>
      </c>
    </row>
    <row r="273" spans="1:22" s="72" customFormat="1" ht="14.25" x14ac:dyDescent="0.2">
      <c r="A273" s="63"/>
      <c r="B273" s="143" t="s">
        <v>178</v>
      </c>
      <c r="C273" s="192" t="s">
        <v>794</v>
      </c>
      <c r="D273" s="75"/>
      <c r="E273" s="134"/>
      <c r="F273" s="134"/>
      <c r="G273" s="134"/>
      <c r="H273" s="135"/>
      <c r="I273" s="152"/>
      <c r="J273" s="135"/>
      <c r="K273" s="136"/>
      <c r="L273" s="135"/>
      <c r="M273" s="137"/>
      <c r="N273" s="144"/>
      <c r="O273" s="130"/>
      <c r="P273" s="236"/>
      <c r="Q273" s="159"/>
      <c r="R273" s="177"/>
      <c r="V273" s="187"/>
    </row>
    <row r="274" spans="1:22" s="72" customFormat="1" ht="14.25" x14ac:dyDescent="0.2">
      <c r="A274" s="63"/>
      <c r="B274" s="143"/>
      <c r="C274" s="64"/>
      <c r="D274" s="75"/>
      <c r="E274" s="134"/>
      <c r="F274" s="134"/>
      <c r="G274" s="134"/>
      <c r="H274" s="135"/>
      <c r="I274" s="152"/>
      <c r="J274" s="135"/>
      <c r="K274" s="136"/>
      <c r="L274" s="135"/>
      <c r="M274" s="137"/>
      <c r="N274" s="144"/>
      <c r="O274" s="130"/>
      <c r="P274" s="236"/>
      <c r="Q274" s="159"/>
      <c r="R274" s="159"/>
    </row>
    <row r="275" spans="1:22" s="72" customFormat="1" ht="25.5" x14ac:dyDescent="0.2">
      <c r="A275" s="63"/>
      <c r="B275" s="175" t="s">
        <v>180</v>
      </c>
      <c r="C275" s="192" t="s">
        <v>794</v>
      </c>
      <c r="D275" s="75"/>
      <c r="E275" s="184"/>
      <c r="F275" s="134"/>
      <c r="G275" s="134"/>
      <c r="H275" s="135"/>
      <c r="I275" s="152"/>
      <c r="J275" s="135"/>
      <c r="K275" s="136"/>
      <c r="L275" s="135"/>
      <c r="M275" s="137"/>
      <c r="N275" s="144"/>
      <c r="O275" s="130"/>
      <c r="P275" s="236"/>
      <c r="Q275" s="159"/>
      <c r="R275" s="190"/>
      <c r="S275" s="191"/>
      <c r="T275" s="191"/>
      <c r="U275" s="191"/>
      <c r="V275" s="187">
        <f>SUM(R275:U275)</f>
        <v>0</v>
      </c>
    </row>
    <row r="276" spans="1:22" s="72" customFormat="1" ht="14.25" x14ac:dyDescent="0.2">
      <c r="A276" s="63"/>
      <c r="B276" s="143" t="s">
        <v>178</v>
      </c>
      <c r="C276" s="192" t="s">
        <v>794</v>
      </c>
      <c r="D276" s="75"/>
      <c r="E276" s="134"/>
      <c r="F276" s="134"/>
      <c r="G276" s="134"/>
      <c r="H276" s="135"/>
      <c r="I276" s="152"/>
      <c r="J276" s="135"/>
      <c r="K276" s="136"/>
      <c r="L276" s="135"/>
      <c r="M276" s="137"/>
      <c r="N276" s="144"/>
      <c r="O276" s="130"/>
      <c r="P276" s="236"/>
      <c r="Q276" s="159"/>
      <c r="R276" s="177"/>
      <c r="V276" s="187"/>
    </row>
    <row r="277" spans="1:22" s="72" customFormat="1" ht="14.25" x14ac:dyDescent="0.2">
      <c r="A277" s="63"/>
      <c r="B277" s="143"/>
      <c r="C277" s="64"/>
      <c r="D277" s="75"/>
      <c r="E277" s="134"/>
      <c r="F277" s="134"/>
      <c r="G277" s="134"/>
      <c r="H277" s="135"/>
      <c r="I277" s="152"/>
      <c r="J277" s="135"/>
      <c r="K277" s="136"/>
      <c r="L277" s="135"/>
      <c r="M277" s="137"/>
      <c r="N277" s="144"/>
      <c r="O277" s="130"/>
      <c r="P277" s="236"/>
      <c r="Q277" s="159"/>
      <c r="R277" s="159"/>
    </row>
    <row r="278" spans="1:22" s="72" customFormat="1" ht="14.25" x14ac:dyDescent="0.2">
      <c r="A278" s="63"/>
      <c r="B278" s="143" t="s">
        <v>183</v>
      </c>
      <c r="C278" s="64">
        <v>1</v>
      </c>
      <c r="D278" s="75" t="s">
        <v>75</v>
      </c>
      <c r="E278" s="134">
        <v>4</v>
      </c>
      <c r="F278" s="134">
        <f>C278*E278</f>
        <v>4</v>
      </c>
      <c r="G278" s="134">
        <f>$H$11*E278</f>
        <v>208</v>
      </c>
      <c r="H278" s="135">
        <f>F278*$H$11</f>
        <v>208</v>
      </c>
      <c r="I278" s="152">
        <f>V278</f>
        <v>3475</v>
      </c>
      <c r="J278" s="135">
        <f>C278*I278</f>
        <v>3475</v>
      </c>
      <c r="K278" s="136">
        <f>SUM(H278,J278)</f>
        <v>3683</v>
      </c>
      <c r="L278" s="135">
        <f>K278/C278</f>
        <v>3683</v>
      </c>
      <c r="M278" s="137">
        <f>C278*L278</f>
        <v>3683</v>
      </c>
      <c r="N278" s="144">
        <v>0</v>
      </c>
      <c r="O278" s="130">
        <f>M278*N278</f>
        <v>0</v>
      </c>
      <c r="P278" s="236"/>
      <c r="Q278" s="159"/>
      <c r="R278" s="388">
        <v>3408</v>
      </c>
      <c r="S278" s="388">
        <v>15</v>
      </c>
      <c r="T278" s="388"/>
      <c r="U278" s="388">
        <v>52</v>
      </c>
      <c r="V278" s="389">
        <f>SUM(R278:U278)</f>
        <v>3475</v>
      </c>
    </row>
    <row r="279" spans="1:22" s="72" customFormat="1" ht="14.25" x14ac:dyDescent="0.2">
      <c r="A279" s="63"/>
      <c r="B279" s="143" t="s">
        <v>186</v>
      </c>
      <c r="C279" s="64"/>
      <c r="D279" s="75"/>
      <c r="E279" s="134"/>
      <c r="F279" s="134"/>
      <c r="G279" s="134"/>
      <c r="H279" s="135"/>
      <c r="I279" s="152"/>
      <c r="J279" s="135"/>
      <c r="K279" s="136"/>
      <c r="L279" s="135"/>
      <c r="M279" s="137"/>
      <c r="N279" s="144"/>
      <c r="O279" s="130"/>
      <c r="P279" s="236"/>
      <c r="Q279" s="159"/>
      <c r="R279" s="159"/>
    </row>
    <row r="280" spans="1:22" s="72" customFormat="1" ht="14.25" x14ac:dyDescent="0.2">
      <c r="A280" s="63"/>
      <c r="B280" s="316" t="s">
        <v>182</v>
      </c>
      <c r="C280" s="64"/>
      <c r="D280" s="75"/>
      <c r="E280" s="134"/>
      <c r="F280" s="134" t="s">
        <v>29</v>
      </c>
      <c r="G280" s="134"/>
      <c r="H280" s="135"/>
      <c r="I280" s="152"/>
      <c r="J280" s="135"/>
      <c r="K280" s="136"/>
      <c r="L280" s="135"/>
      <c r="M280" s="137"/>
      <c r="N280" s="144"/>
      <c r="O280" s="130"/>
      <c r="P280" s="236"/>
      <c r="Q280" s="159"/>
      <c r="R280" s="159"/>
    </row>
    <row r="281" spans="1:22" s="72" customFormat="1" ht="14.25" x14ac:dyDescent="0.2">
      <c r="A281" s="63"/>
      <c r="B281" s="143" t="s">
        <v>181</v>
      </c>
      <c r="C281" s="192" t="s">
        <v>938</v>
      </c>
      <c r="D281" s="75"/>
      <c r="E281" s="184"/>
      <c r="F281" s="134"/>
      <c r="G281" s="134"/>
      <c r="H281" s="135"/>
      <c r="I281" s="152"/>
      <c r="J281" s="135"/>
      <c r="K281" s="136"/>
      <c r="L281" s="135"/>
      <c r="M281" s="137"/>
      <c r="N281" s="144"/>
      <c r="O281" s="130"/>
      <c r="P281" s="236"/>
      <c r="Q281" s="159"/>
      <c r="R281" s="159"/>
    </row>
    <row r="282" spans="1:22" s="72" customFormat="1" ht="14.25" x14ac:dyDescent="0.2">
      <c r="A282" s="63"/>
      <c r="B282" s="143"/>
      <c r="C282" s="64"/>
      <c r="D282" s="75"/>
      <c r="E282" s="134"/>
      <c r="F282" s="134"/>
      <c r="G282" s="134"/>
      <c r="H282" s="135"/>
      <c r="I282" s="152"/>
      <c r="J282" s="135"/>
      <c r="K282" s="136"/>
      <c r="L282" s="135"/>
      <c r="M282" s="137"/>
      <c r="N282" s="144"/>
      <c r="O282" s="130"/>
      <c r="P282" s="236"/>
      <c r="Q282" s="159"/>
      <c r="R282" s="159"/>
    </row>
    <row r="283" spans="1:22" s="72" customFormat="1" ht="14.25" x14ac:dyDescent="0.2">
      <c r="A283" s="63"/>
      <c r="B283" s="143" t="s">
        <v>184</v>
      </c>
      <c r="C283" s="64">
        <v>1</v>
      </c>
      <c r="D283" s="75" t="s">
        <v>75</v>
      </c>
      <c r="E283" s="134">
        <v>4</v>
      </c>
      <c r="F283" s="134">
        <f>C283*E283</f>
        <v>4</v>
      </c>
      <c r="G283" s="134">
        <f>$H$11*E283</f>
        <v>208</v>
      </c>
      <c r="H283" s="135">
        <f>F283*$H$11</f>
        <v>208</v>
      </c>
      <c r="I283" s="152">
        <f>V283</f>
        <v>3475</v>
      </c>
      <c r="J283" s="135">
        <f>C283*I283</f>
        <v>3475</v>
      </c>
      <c r="K283" s="136">
        <f>SUM(H283,J283)</f>
        <v>3683</v>
      </c>
      <c r="L283" s="135">
        <f>K283/C283</f>
        <v>3683</v>
      </c>
      <c r="M283" s="137">
        <f>C283*L283</f>
        <v>3683</v>
      </c>
      <c r="N283" s="144">
        <v>0</v>
      </c>
      <c r="O283" s="130">
        <f>M283*N283</f>
        <v>0</v>
      </c>
      <c r="P283" s="236"/>
      <c r="Q283" s="159"/>
      <c r="R283" s="388">
        <v>3408</v>
      </c>
      <c r="S283" s="388">
        <v>15</v>
      </c>
      <c r="T283" s="388"/>
      <c r="U283" s="388">
        <v>52</v>
      </c>
      <c r="V283" s="389">
        <f>SUM(R283:U283)</f>
        <v>3475</v>
      </c>
    </row>
    <row r="284" spans="1:22" s="72" customFormat="1" ht="14.25" x14ac:dyDescent="0.2">
      <c r="A284" s="63"/>
      <c r="B284" s="143" t="s">
        <v>187</v>
      </c>
      <c r="C284" s="64"/>
      <c r="D284" s="75"/>
      <c r="E284" s="134"/>
      <c r="F284" s="134"/>
      <c r="G284" s="134"/>
      <c r="H284" s="135"/>
      <c r="I284" s="152"/>
      <c r="J284" s="135"/>
      <c r="K284" s="136"/>
      <c r="L284" s="135"/>
      <c r="M284" s="137"/>
      <c r="N284" s="144"/>
      <c r="O284" s="130"/>
      <c r="P284" s="236"/>
      <c r="Q284" s="159"/>
      <c r="R284" s="159"/>
    </row>
    <row r="285" spans="1:22" s="72" customFormat="1" ht="14.25" x14ac:dyDescent="0.2">
      <c r="A285" s="63"/>
      <c r="B285" s="316" t="s">
        <v>182</v>
      </c>
      <c r="C285" s="64"/>
      <c r="D285" s="75"/>
      <c r="E285" s="134"/>
      <c r="F285" s="134"/>
      <c r="G285" s="134"/>
      <c r="H285" s="135"/>
      <c r="I285" s="152"/>
      <c r="J285" s="135"/>
      <c r="K285" s="136"/>
      <c r="L285" s="135"/>
      <c r="M285" s="137"/>
      <c r="N285" s="144"/>
      <c r="O285" s="130"/>
      <c r="P285" s="236"/>
      <c r="Q285" s="159"/>
      <c r="R285" s="159"/>
    </row>
    <row r="286" spans="1:22" s="72" customFormat="1" ht="14.25" x14ac:dyDescent="0.2">
      <c r="A286" s="63"/>
      <c r="B286" s="143" t="s">
        <v>181</v>
      </c>
      <c r="C286" s="192" t="s">
        <v>938</v>
      </c>
      <c r="D286" s="75"/>
      <c r="E286" s="184"/>
      <c r="F286" s="134"/>
      <c r="G286" s="134"/>
      <c r="H286" s="135"/>
      <c r="I286" s="152"/>
      <c r="J286" s="135"/>
      <c r="K286" s="136"/>
      <c r="L286" s="135"/>
      <c r="M286" s="137"/>
      <c r="N286" s="144"/>
      <c r="O286" s="130"/>
      <c r="P286" s="236"/>
      <c r="Q286" s="159"/>
      <c r="R286" s="159"/>
    </row>
    <row r="287" spans="1:22" s="72" customFormat="1" ht="14.25" x14ac:dyDescent="0.2">
      <c r="A287" s="63"/>
      <c r="B287" s="143"/>
      <c r="C287" s="64"/>
      <c r="D287" s="75"/>
      <c r="E287" s="134"/>
      <c r="F287" s="134"/>
      <c r="G287" s="134"/>
      <c r="H287" s="135"/>
      <c r="I287" s="152"/>
      <c r="J287" s="135"/>
      <c r="K287" s="136"/>
      <c r="L287" s="135"/>
      <c r="M287" s="137"/>
      <c r="N287" s="144"/>
      <c r="O287" s="130"/>
      <c r="P287" s="236"/>
      <c r="Q287" s="159"/>
      <c r="R287" s="159"/>
    </row>
    <row r="288" spans="1:22" s="72" customFormat="1" ht="13.5" customHeight="1" x14ac:dyDescent="0.2">
      <c r="A288" s="63"/>
      <c r="B288" s="175" t="s">
        <v>189</v>
      </c>
      <c r="C288" s="64">
        <v>1</v>
      </c>
      <c r="D288" s="75" t="s">
        <v>75</v>
      </c>
      <c r="E288" s="134">
        <v>2</v>
      </c>
      <c r="F288" s="134">
        <f>C288*E288</f>
        <v>2</v>
      </c>
      <c r="G288" s="134">
        <f>$H$11*E288</f>
        <v>104</v>
      </c>
      <c r="H288" s="135">
        <f>F288*$H$11</f>
        <v>104</v>
      </c>
      <c r="I288" s="152">
        <f>V288</f>
        <v>3266</v>
      </c>
      <c r="J288" s="135">
        <f>C288*I288</f>
        <v>3266</v>
      </c>
      <c r="K288" s="136">
        <f>SUM(H288,J288)</f>
        <v>3370</v>
      </c>
      <c r="L288" s="135">
        <f>K288/C288</f>
        <v>3370</v>
      </c>
      <c r="M288" s="137">
        <f>C288*L288</f>
        <v>3370</v>
      </c>
      <c r="N288" s="144">
        <v>0</v>
      </c>
      <c r="O288" s="130">
        <f>M288*N288</f>
        <v>0</v>
      </c>
      <c r="P288" s="236"/>
      <c r="Q288" s="159"/>
      <c r="R288" s="388">
        <v>3199</v>
      </c>
      <c r="S288" s="388">
        <v>15</v>
      </c>
      <c r="T288" s="388"/>
      <c r="U288" s="388">
        <v>52</v>
      </c>
      <c r="V288" s="389">
        <f>SUM(R288:U288)</f>
        <v>3266</v>
      </c>
    </row>
    <row r="289" spans="1:22" s="72" customFormat="1" ht="14.25" x14ac:dyDescent="0.2">
      <c r="A289" s="63"/>
      <c r="B289" s="143" t="s">
        <v>188</v>
      </c>
      <c r="C289" s="64"/>
      <c r="D289" s="75"/>
      <c r="E289" s="134"/>
      <c r="F289" s="134"/>
      <c r="G289" s="134"/>
      <c r="H289" s="135"/>
      <c r="I289" s="152"/>
      <c r="J289" s="135"/>
      <c r="K289" s="136"/>
      <c r="L289" s="135"/>
      <c r="M289" s="137"/>
      <c r="N289" s="144"/>
      <c r="O289" s="130"/>
      <c r="P289" s="236"/>
      <c r="Q289" s="159"/>
      <c r="R289" s="177"/>
    </row>
    <row r="290" spans="1:22" s="72" customFormat="1" ht="14.25" x14ac:dyDescent="0.2">
      <c r="A290" s="63"/>
      <c r="B290" s="143"/>
      <c r="C290" s="64"/>
      <c r="D290" s="75"/>
      <c r="E290" s="134"/>
      <c r="F290" s="134"/>
      <c r="G290" s="134"/>
      <c r="H290" s="135"/>
      <c r="I290" s="152"/>
      <c r="J290" s="135"/>
      <c r="K290" s="136"/>
      <c r="L290" s="135"/>
      <c r="M290" s="137"/>
      <c r="N290" s="144"/>
      <c r="O290" s="130"/>
      <c r="P290" s="236"/>
      <c r="Q290" s="159"/>
      <c r="R290" s="159"/>
    </row>
    <row r="291" spans="1:22" s="72" customFormat="1" ht="14.25" customHeight="1" x14ac:dyDescent="0.2">
      <c r="A291" s="63"/>
      <c r="B291" s="175" t="s">
        <v>190</v>
      </c>
      <c r="C291" s="64">
        <v>1</v>
      </c>
      <c r="D291" s="75" t="s">
        <v>75</v>
      </c>
      <c r="E291" s="134">
        <v>2</v>
      </c>
      <c r="F291" s="134">
        <f>C291*E291</f>
        <v>2</v>
      </c>
      <c r="G291" s="134">
        <f>$H$11*E291</f>
        <v>104</v>
      </c>
      <c r="H291" s="135">
        <f>F291*$H$11</f>
        <v>104</v>
      </c>
      <c r="I291" s="152">
        <f>V291</f>
        <v>1642</v>
      </c>
      <c r="J291" s="135">
        <f>C291*I291</f>
        <v>1642</v>
      </c>
      <c r="K291" s="136">
        <f>SUM(H291,J291)</f>
        <v>1746</v>
      </c>
      <c r="L291" s="135">
        <f>K291/C291</f>
        <v>1746</v>
      </c>
      <c r="M291" s="137">
        <f>C291*L291</f>
        <v>1746</v>
      </c>
      <c r="N291" s="144">
        <v>0</v>
      </c>
      <c r="O291" s="130">
        <f>M291*N291</f>
        <v>0</v>
      </c>
      <c r="P291" s="587"/>
      <c r="Q291" s="159"/>
      <c r="R291" s="388">
        <v>1575</v>
      </c>
      <c r="S291" s="388">
        <v>15</v>
      </c>
      <c r="T291" s="388"/>
      <c r="U291" s="388">
        <v>52</v>
      </c>
      <c r="V291" s="389">
        <f>SUM(R291:U291)</f>
        <v>1642</v>
      </c>
    </row>
    <row r="292" spans="1:22" s="72" customFormat="1" ht="14.25" x14ac:dyDescent="0.2">
      <c r="A292" s="63"/>
      <c r="B292" s="143" t="s">
        <v>176</v>
      </c>
      <c r="C292" s="64"/>
      <c r="D292" s="75"/>
      <c r="E292" s="134"/>
      <c r="F292" s="134"/>
      <c r="G292" s="134"/>
      <c r="H292" s="135"/>
      <c r="I292" s="152"/>
      <c r="J292" s="135"/>
      <c r="K292" s="136"/>
      <c r="L292" s="135"/>
      <c r="M292" s="137"/>
      <c r="N292" s="144"/>
      <c r="O292" s="130"/>
      <c r="P292" s="236"/>
      <c r="Q292" s="159"/>
      <c r="R292" s="177"/>
    </row>
    <row r="293" spans="1:22" s="72" customFormat="1" ht="14.25" x14ac:dyDescent="0.2">
      <c r="A293" s="63"/>
      <c r="B293" s="316" t="s">
        <v>534</v>
      </c>
      <c r="C293" s="64">
        <v>1</v>
      </c>
      <c r="D293" s="75" t="s">
        <v>75</v>
      </c>
      <c r="E293" s="134">
        <v>1</v>
      </c>
      <c r="F293" s="134">
        <f>C293*E293</f>
        <v>1</v>
      </c>
      <c r="G293" s="134">
        <f>$H$11*E293</f>
        <v>52</v>
      </c>
      <c r="H293" s="135">
        <f>F293*$H$11</f>
        <v>52</v>
      </c>
      <c r="I293" s="229">
        <v>125</v>
      </c>
      <c r="J293" s="135">
        <f>C293*I293</f>
        <v>125</v>
      </c>
      <c r="K293" s="136">
        <f>SUM(H293,J293)</f>
        <v>177</v>
      </c>
      <c r="L293" s="135">
        <f>K293/C293</f>
        <v>177</v>
      </c>
      <c r="M293" s="137">
        <f>C293*L293</f>
        <v>177</v>
      </c>
      <c r="N293" s="144">
        <v>0</v>
      </c>
      <c r="O293" s="130">
        <f>M293*N293</f>
        <v>0</v>
      </c>
      <c r="P293" s="236"/>
      <c r="Q293" s="159"/>
      <c r="R293" s="159"/>
    </row>
    <row r="294" spans="1:22" s="72" customFormat="1" ht="7.5" customHeight="1" x14ac:dyDescent="0.2">
      <c r="A294" s="63"/>
      <c r="B294" s="143"/>
      <c r="C294" s="64"/>
      <c r="D294" s="75"/>
      <c r="E294" s="134"/>
      <c r="F294" s="134"/>
      <c r="G294" s="134"/>
      <c r="H294" s="135"/>
      <c r="I294" s="152"/>
      <c r="J294" s="135"/>
      <c r="K294" s="136"/>
      <c r="L294" s="135"/>
      <c r="M294" s="137"/>
      <c r="N294" s="144"/>
      <c r="O294" s="130"/>
      <c r="P294" s="236"/>
      <c r="Q294" s="159"/>
      <c r="R294" s="159"/>
    </row>
    <row r="295" spans="1:22" s="72" customFormat="1" ht="14.25" x14ac:dyDescent="0.2">
      <c r="A295" s="63"/>
      <c r="B295" s="121" t="s">
        <v>191</v>
      </c>
      <c r="C295" s="64">
        <v>1</v>
      </c>
      <c r="D295" s="75" t="s">
        <v>75</v>
      </c>
      <c r="E295" s="184" t="s">
        <v>76</v>
      </c>
      <c r="F295" s="134"/>
      <c r="G295" s="134"/>
      <c r="H295" s="135"/>
      <c r="I295" s="152"/>
      <c r="J295" s="135"/>
      <c r="K295" s="136"/>
      <c r="L295" s="135"/>
      <c r="M295" s="137"/>
      <c r="N295" s="144"/>
      <c r="O295" s="130"/>
      <c r="P295" s="236"/>
      <c r="Q295" s="159"/>
      <c r="R295" s="159"/>
    </row>
    <row r="296" spans="1:22" s="72" customFormat="1" ht="14.25" x14ac:dyDescent="0.2">
      <c r="A296" s="63"/>
      <c r="B296" s="143" t="s">
        <v>74</v>
      </c>
      <c r="C296" s="64">
        <v>1</v>
      </c>
      <c r="D296" s="75" t="s">
        <v>75</v>
      </c>
      <c r="E296" s="184" t="s">
        <v>77</v>
      </c>
      <c r="F296" s="134"/>
      <c r="G296" s="134"/>
      <c r="H296" s="135"/>
      <c r="I296" s="152"/>
      <c r="J296" s="135"/>
      <c r="K296" s="136"/>
      <c r="L296" s="135"/>
      <c r="M296" s="137"/>
      <c r="N296" s="144"/>
      <c r="O296" s="130"/>
      <c r="P296" s="236"/>
      <c r="Q296" s="159"/>
      <c r="R296" s="159"/>
    </row>
    <row r="297" spans="1:22" s="72" customFormat="1" ht="14.25" x14ac:dyDescent="0.2">
      <c r="A297" s="63"/>
      <c r="B297" s="143"/>
      <c r="C297" s="64"/>
      <c r="D297" s="75"/>
      <c r="E297" s="134"/>
      <c r="F297" s="134"/>
      <c r="G297" s="134"/>
      <c r="H297" s="135"/>
      <c r="I297" s="152"/>
      <c r="J297" s="135"/>
      <c r="K297" s="136"/>
      <c r="L297" s="135"/>
      <c r="M297" s="137"/>
      <c r="N297" s="144"/>
      <c r="O297" s="130"/>
      <c r="P297" s="236"/>
      <c r="Q297" s="159"/>
      <c r="R297" s="159"/>
    </row>
    <row r="298" spans="1:22" s="72" customFormat="1" ht="18.75" customHeight="1" x14ac:dyDescent="0.2">
      <c r="A298" s="63"/>
      <c r="B298" s="175" t="s">
        <v>192</v>
      </c>
      <c r="C298" s="64">
        <v>1</v>
      </c>
      <c r="D298" s="75" t="s">
        <v>75</v>
      </c>
      <c r="E298" s="134">
        <v>2</v>
      </c>
      <c r="F298" s="134">
        <f>C298*E298</f>
        <v>2</v>
      </c>
      <c r="G298" s="134">
        <f>$H$11*E298</f>
        <v>104</v>
      </c>
      <c r="H298" s="135">
        <f>F298*$H$11</f>
        <v>104</v>
      </c>
      <c r="I298" s="152">
        <f>V298</f>
        <v>1642</v>
      </c>
      <c r="J298" s="135">
        <f>C298*I298</f>
        <v>1642</v>
      </c>
      <c r="K298" s="136">
        <f>SUM(H298,J298)</f>
        <v>1746</v>
      </c>
      <c r="L298" s="135">
        <f>K298/C298</f>
        <v>1746</v>
      </c>
      <c r="M298" s="137">
        <f>C298*L298</f>
        <v>1746</v>
      </c>
      <c r="N298" s="144">
        <v>0</v>
      </c>
      <c r="O298" s="130">
        <f>M298*N298</f>
        <v>0</v>
      </c>
      <c r="P298" s="587"/>
      <c r="Q298" s="159"/>
      <c r="R298" s="388">
        <v>1575</v>
      </c>
      <c r="S298" s="388">
        <v>15</v>
      </c>
      <c r="T298" s="388"/>
      <c r="U298" s="388">
        <v>52</v>
      </c>
      <c r="V298" s="389">
        <f>SUM(R298:U298)</f>
        <v>1642</v>
      </c>
    </row>
    <row r="299" spans="1:22" s="72" customFormat="1" ht="14.25" x14ac:dyDescent="0.2">
      <c r="A299" s="63"/>
      <c r="B299" s="143" t="s">
        <v>176</v>
      </c>
      <c r="C299" s="64"/>
      <c r="D299" s="75"/>
      <c r="E299" s="134"/>
      <c r="F299" s="134"/>
      <c r="G299" s="134"/>
      <c r="H299" s="135"/>
      <c r="I299" s="152"/>
      <c r="J299" s="135"/>
      <c r="K299" s="136"/>
      <c r="L299" s="135"/>
      <c r="M299" s="137"/>
      <c r="N299" s="144"/>
      <c r="O299" s="130"/>
      <c r="P299" s="236"/>
      <c r="Q299" s="159"/>
      <c r="R299" s="177"/>
    </row>
    <row r="300" spans="1:22" s="72" customFormat="1" ht="14.25" x14ac:dyDescent="0.2">
      <c r="A300" s="63"/>
      <c r="B300" s="316" t="s">
        <v>534</v>
      </c>
      <c r="C300" s="64">
        <v>1</v>
      </c>
      <c r="D300" s="75" t="s">
        <v>75</v>
      </c>
      <c r="E300" s="134">
        <v>1</v>
      </c>
      <c r="F300" s="134">
        <f>C300*E300</f>
        <v>1</v>
      </c>
      <c r="G300" s="134">
        <f>$H$11*E300</f>
        <v>52</v>
      </c>
      <c r="H300" s="135">
        <f>F300*$H$11</f>
        <v>52</v>
      </c>
      <c r="I300" s="229">
        <v>125</v>
      </c>
      <c r="J300" s="135">
        <f>C300*I300</f>
        <v>125</v>
      </c>
      <c r="K300" s="136">
        <f>SUM(H300,J300)</f>
        <v>177</v>
      </c>
      <c r="L300" s="135">
        <f>K300/C300</f>
        <v>177</v>
      </c>
      <c r="M300" s="137">
        <f>C300*L300</f>
        <v>177</v>
      </c>
      <c r="N300" s="144">
        <v>0</v>
      </c>
      <c r="O300" s="130">
        <f>M300*N300</f>
        <v>0</v>
      </c>
      <c r="P300" s="236"/>
      <c r="Q300" s="159"/>
      <c r="R300" s="159"/>
    </row>
    <row r="301" spans="1:22" s="72" customFormat="1" ht="6" customHeight="1" x14ac:dyDescent="0.2">
      <c r="A301" s="63"/>
      <c r="B301" s="143"/>
      <c r="C301" s="64"/>
      <c r="D301" s="75"/>
      <c r="E301" s="134"/>
      <c r="F301" s="134"/>
      <c r="G301" s="134"/>
      <c r="H301" s="135"/>
      <c r="I301" s="152"/>
      <c r="J301" s="135"/>
      <c r="K301" s="136"/>
      <c r="L301" s="135"/>
      <c r="M301" s="137"/>
      <c r="N301" s="144"/>
      <c r="O301" s="130"/>
      <c r="P301" s="236"/>
      <c r="Q301" s="159"/>
      <c r="R301" s="159"/>
    </row>
    <row r="302" spans="1:22" s="72" customFormat="1" ht="14.25" x14ac:dyDescent="0.2">
      <c r="A302" s="63"/>
      <c r="B302" s="121" t="s">
        <v>193</v>
      </c>
      <c r="C302" s="64">
        <v>1</v>
      </c>
      <c r="D302" s="75" t="s">
        <v>75</v>
      </c>
      <c r="E302" s="184" t="s">
        <v>76</v>
      </c>
      <c r="F302" s="134"/>
      <c r="G302" s="134"/>
      <c r="H302" s="135"/>
      <c r="I302" s="152"/>
      <c r="J302" s="135"/>
      <c r="K302" s="136"/>
      <c r="L302" s="135"/>
      <c r="M302" s="137"/>
      <c r="N302" s="144"/>
      <c r="O302" s="130"/>
      <c r="P302" s="236"/>
      <c r="Q302" s="159"/>
      <c r="R302" s="159"/>
    </row>
    <row r="303" spans="1:22" s="72" customFormat="1" ht="14.25" x14ac:dyDescent="0.2">
      <c r="A303" s="63"/>
      <c r="B303" s="143" t="s">
        <v>74</v>
      </c>
      <c r="C303" s="64">
        <v>1</v>
      </c>
      <c r="D303" s="75" t="s">
        <v>75</v>
      </c>
      <c r="E303" s="184" t="s">
        <v>77</v>
      </c>
      <c r="F303" s="134"/>
      <c r="G303" s="134"/>
      <c r="H303" s="135"/>
      <c r="I303" s="152"/>
      <c r="J303" s="135"/>
      <c r="K303" s="136"/>
      <c r="L303" s="135"/>
      <c r="M303" s="137"/>
      <c r="N303" s="144"/>
      <c r="O303" s="130"/>
      <c r="P303" s="236"/>
      <c r="Q303" s="159"/>
      <c r="R303" s="159"/>
    </row>
    <row r="304" spans="1:22" s="72" customFormat="1" ht="14.25" x14ac:dyDescent="0.2">
      <c r="A304" s="63"/>
      <c r="B304" s="143"/>
      <c r="C304" s="64"/>
      <c r="D304" s="75"/>
      <c r="E304" s="184"/>
      <c r="F304" s="134"/>
      <c r="G304" s="134"/>
      <c r="H304" s="135"/>
      <c r="I304" s="152"/>
      <c r="J304" s="135"/>
      <c r="K304" s="136"/>
      <c r="L304" s="135"/>
      <c r="M304" s="137"/>
      <c r="N304" s="144"/>
      <c r="O304" s="130"/>
      <c r="P304" s="236"/>
      <c r="Q304" s="159"/>
      <c r="R304" s="159"/>
    </row>
    <row r="305" spans="1:22" s="72" customFormat="1" ht="16.5" customHeight="1" x14ac:dyDescent="0.2">
      <c r="A305" s="63"/>
      <c r="B305" s="175" t="s">
        <v>195</v>
      </c>
      <c r="C305" s="64">
        <v>1</v>
      </c>
      <c r="D305" s="75" t="s">
        <v>75</v>
      </c>
      <c r="E305" s="134">
        <v>2</v>
      </c>
      <c r="F305" s="134">
        <f>C305*E305</f>
        <v>2</v>
      </c>
      <c r="G305" s="134">
        <f>$H$11*E305</f>
        <v>104</v>
      </c>
      <c r="H305" s="135">
        <f>F305*$H$11</f>
        <v>104</v>
      </c>
      <c r="I305" s="152">
        <f>V305</f>
        <v>1642</v>
      </c>
      <c r="J305" s="135">
        <f>C305*I305</f>
        <v>1642</v>
      </c>
      <c r="K305" s="136">
        <f>SUM(H305,J305)</f>
        <v>1746</v>
      </c>
      <c r="L305" s="135">
        <f>K305/C305</f>
        <v>1746</v>
      </c>
      <c r="M305" s="137">
        <f>C305*L305</f>
        <v>1746</v>
      </c>
      <c r="N305" s="144">
        <v>0</v>
      </c>
      <c r="O305" s="130">
        <f>M305*N305</f>
        <v>0</v>
      </c>
      <c r="P305" s="587"/>
      <c r="Q305" s="159"/>
      <c r="R305" s="388">
        <v>1575</v>
      </c>
      <c r="S305" s="388">
        <v>15</v>
      </c>
      <c r="T305" s="388"/>
      <c r="U305" s="388">
        <v>52</v>
      </c>
      <c r="V305" s="389">
        <f>SUM(R305:U305)</f>
        <v>1642</v>
      </c>
    </row>
    <row r="306" spans="1:22" s="72" customFormat="1" ht="14.25" x14ac:dyDescent="0.2">
      <c r="A306" s="63"/>
      <c r="B306" s="143" t="s">
        <v>176</v>
      </c>
      <c r="C306" s="64"/>
      <c r="D306" s="75"/>
      <c r="E306" s="134"/>
      <c r="F306" s="134"/>
      <c r="G306" s="134"/>
      <c r="H306" s="135"/>
      <c r="I306" s="152"/>
      <c r="J306" s="135"/>
      <c r="K306" s="136"/>
      <c r="L306" s="135"/>
      <c r="M306" s="137"/>
      <c r="N306" s="144"/>
      <c r="O306" s="130"/>
      <c r="P306" s="236"/>
      <c r="Q306" s="159"/>
      <c r="R306" s="177"/>
    </row>
    <row r="307" spans="1:22" s="72" customFormat="1" ht="14.25" x14ac:dyDescent="0.2">
      <c r="A307" s="63"/>
      <c r="B307" s="316" t="s">
        <v>534</v>
      </c>
      <c r="C307" s="64">
        <v>1</v>
      </c>
      <c r="D307" s="75" t="s">
        <v>75</v>
      </c>
      <c r="E307" s="134">
        <v>1</v>
      </c>
      <c r="F307" s="134">
        <f>C307*E307</f>
        <v>1</v>
      </c>
      <c r="G307" s="134">
        <f>$H$11*E307</f>
        <v>52</v>
      </c>
      <c r="H307" s="135">
        <f>F307*$H$11</f>
        <v>52</v>
      </c>
      <c r="I307" s="229">
        <v>125</v>
      </c>
      <c r="J307" s="135">
        <f>C307*I307</f>
        <v>125</v>
      </c>
      <c r="K307" s="136">
        <f>SUM(H307,J307)</f>
        <v>177</v>
      </c>
      <c r="L307" s="135">
        <f>K307/C307</f>
        <v>177</v>
      </c>
      <c r="M307" s="137">
        <f>C307*L307</f>
        <v>177</v>
      </c>
      <c r="N307" s="144">
        <v>0</v>
      </c>
      <c r="O307" s="130">
        <f>M307*N307</f>
        <v>0</v>
      </c>
      <c r="P307" s="236"/>
      <c r="Q307" s="159"/>
      <c r="R307" s="159"/>
    </row>
    <row r="308" spans="1:22" s="72" customFormat="1" ht="4.5" customHeight="1" x14ac:dyDescent="0.2">
      <c r="A308" s="63"/>
      <c r="B308" s="143"/>
      <c r="C308" s="64"/>
      <c r="D308" s="75"/>
      <c r="E308" s="134"/>
      <c r="F308" s="134"/>
      <c r="G308" s="134"/>
      <c r="H308" s="135"/>
      <c r="I308" s="152"/>
      <c r="J308" s="135"/>
      <c r="K308" s="136"/>
      <c r="L308" s="135"/>
      <c r="M308" s="137"/>
      <c r="N308" s="144"/>
      <c r="O308" s="130"/>
      <c r="P308" s="236"/>
      <c r="Q308" s="159"/>
      <c r="R308" s="159"/>
    </row>
    <row r="309" spans="1:22" s="72" customFormat="1" ht="14.25" x14ac:dyDescent="0.2">
      <c r="A309" s="63"/>
      <c r="B309" s="121" t="s">
        <v>194</v>
      </c>
      <c r="C309" s="64">
        <v>1</v>
      </c>
      <c r="D309" s="75" t="s">
        <v>75</v>
      </c>
      <c r="E309" s="184" t="s">
        <v>76</v>
      </c>
      <c r="F309" s="134"/>
      <c r="G309" s="134"/>
      <c r="H309" s="135"/>
      <c r="I309" s="152"/>
      <c r="J309" s="135"/>
      <c r="K309" s="136"/>
      <c r="L309" s="135"/>
      <c r="M309" s="137"/>
      <c r="N309" s="144"/>
      <c r="O309" s="130"/>
      <c r="P309" s="236"/>
      <c r="Q309" s="159"/>
      <c r="R309" s="159"/>
    </row>
    <row r="310" spans="1:22" s="72" customFormat="1" ht="14.25" x14ac:dyDescent="0.2">
      <c r="A310" s="63"/>
      <c r="B310" s="143" t="s">
        <v>74</v>
      </c>
      <c r="C310" s="64">
        <v>1</v>
      </c>
      <c r="D310" s="75" t="s">
        <v>75</v>
      </c>
      <c r="E310" s="184" t="s">
        <v>77</v>
      </c>
      <c r="F310" s="134"/>
      <c r="G310" s="134"/>
      <c r="H310" s="135"/>
      <c r="I310" s="152"/>
      <c r="J310" s="135"/>
      <c r="K310" s="136"/>
      <c r="L310" s="135"/>
      <c r="M310" s="137"/>
      <c r="N310" s="144"/>
      <c r="O310" s="130"/>
      <c r="P310" s="236"/>
      <c r="Q310" s="159"/>
      <c r="R310" s="159"/>
    </row>
    <row r="311" spans="1:22" s="72" customFormat="1" ht="14.25" x14ac:dyDescent="0.2">
      <c r="A311" s="63"/>
      <c r="B311" s="143"/>
      <c r="C311" s="64"/>
      <c r="D311" s="75"/>
      <c r="E311" s="184"/>
      <c r="F311" s="134"/>
      <c r="G311" s="134"/>
      <c r="H311" s="135"/>
      <c r="I311" s="152"/>
      <c r="J311" s="135"/>
      <c r="K311" s="136"/>
      <c r="L311" s="135"/>
      <c r="M311" s="137"/>
      <c r="N311" s="144"/>
      <c r="O311" s="130"/>
      <c r="P311" s="236"/>
      <c r="Q311" s="159"/>
      <c r="R311" s="159"/>
    </row>
    <row r="312" spans="1:22" s="72" customFormat="1" ht="17.25" customHeight="1" x14ac:dyDescent="0.2">
      <c r="A312" s="63"/>
      <c r="B312" s="175" t="s">
        <v>196</v>
      </c>
      <c r="C312" s="64">
        <v>1</v>
      </c>
      <c r="D312" s="75" t="s">
        <v>75</v>
      </c>
      <c r="E312" s="134">
        <v>2</v>
      </c>
      <c r="F312" s="134">
        <f>C312*E312</f>
        <v>2</v>
      </c>
      <c r="G312" s="134">
        <f>$H$11*E312</f>
        <v>104</v>
      </c>
      <c r="H312" s="135">
        <f>F312*$H$11</f>
        <v>104</v>
      </c>
      <c r="I312" s="152">
        <f>V312</f>
        <v>1642</v>
      </c>
      <c r="J312" s="135">
        <f>C312*I312</f>
        <v>1642</v>
      </c>
      <c r="K312" s="136">
        <f>SUM(H312,J312)</f>
        <v>1746</v>
      </c>
      <c r="L312" s="135">
        <f>K312/C312</f>
        <v>1746</v>
      </c>
      <c r="M312" s="137">
        <f>C312*L312</f>
        <v>1746</v>
      </c>
      <c r="N312" s="144">
        <v>0</v>
      </c>
      <c r="O312" s="130">
        <f>M312*N312</f>
        <v>0</v>
      </c>
      <c r="P312" s="587"/>
      <c r="Q312" s="159"/>
      <c r="R312" s="388">
        <v>1575</v>
      </c>
      <c r="S312" s="388">
        <v>15</v>
      </c>
      <c r="T312" s="388"/>
      <c r="U312" s="388">
        <v>52</v>
      </c>
      <c r="V312" s="389">
        <f>SUM(R312:U312)</f>
        <v>1642</v>
      </c>
    </row>
    <row r="313" spans="1:22" s="72" customFormat="1" ht="14.25" x14ac:dyDescent="0.2">
      <c r="A313" s="63"/>
      <c r="B313" s="143" t="s">
        <v>176</v>
      </c>
      <c r="C313" s="64"/>
      <c r="D313" s="75"/>
      <c r="E313" s="134"/>
      <c r="F313" s="134"/>
      <c r="G313" s="134"/>
      <c r="H313" s="135"/>
      <c r="I313" s="152"/>
      <c r="J313" s="135"/>
      <c r="K313" s="136"/>
      <c r="L313" s="135"/>
      <c r="M313" s="137"/>
      <c r="N313" s="144"/>
      <c r="O313" s="130"/>
      <c r="P313" s="236"/>
      <c r="Q313" s="159"/>
      <c r="R313" s="177"/>
    </row>
    <row r="314" spans="1:22" s="72" customFormat="1" ht="14.25" x14ac:dyDescent="0.2">
      <c r="A314" s="63"/>
      <c r="B314" s="316" t="s">
        <v>534</v>
      </c>
      <c r="C314" s="64">
        <v>1</v>
      </c>
      <c r="D314" s="75" t="s">
        <v>75</v>
      </c>
      <c r="E314" s="134">
        <v>1</v>
      </c>
      <c r="F314" s="134">
        <f>C314*E314</f>
        <v>1</v>
      </c>
      <c r="G314" s="134">
        <f>$H$11*E314</f>
        <v>52</v>
      </c>
      <c r="H314" s="135">
        <f>F314*$H$11</f>
        <v>52</v>
      </c>
      <c r="I314" s="229">
        <v>125</v>
      </c>
      <c r="J314" s="135">
        <f>C314*I314</f>
        <v>125</v>
      </c>
      <c r="K314" s="136">
        <f>SUM(H314,J314)</f>
        <v>177</v>
      </c>
      <c r="L314" s="135">
        <f>K314/C314</f>
        <v>177</v>
      </c>
      <c r="M314" s="137">
        <f>C314*L314</f>
        <v>177</v>
      </c>
      <c r="N314" s="144">
        <v>0</v>
      </c>
      <c r="O314" s="130">
        <f>M314*N314</f>
        <v>0</v>
      </c>
      <c r="P314" s="236"/>
      <c r="Q314" s="159"/>
      <c r="R314" s="159"/>
    </row>
    <row r="315" spans="1:22" s="72" customFormat="1" ht="7.5" customHeight="1" x14ac:dyDescent="0.2">
      <c r="A315" s="63"/>
      <c r="B315" s="143"/>
      <c r="C315" s="64"/>
      <c r="D315" s="75"/>
      <c r="E315" s="134"/>
      <c r="F315" s="134"/>
      <c r="G315" s="134"/>
      <c r="H315" s="135"/>
      <c r="I315" s="152"/>
      <c r="J315" s="135"/>
      <c r="K315" s="136"/>
      <c r="L315" s="135"/>
      <c r="M315" s="137"/>
      <c r="N315" s="144"/>
      <c r="O315" s="130"/>
      <c r="P315" s="236"/>
      <c r="Q315" s="159"/>
      <c r="R315" s="159"/>
    </row>
    <row r="316" spans="1:22" s="72" customFormat="1" ht="14.25" x14ac:dyDescent="0.2">
      <c r="A316" s="63"/>
      <c r="B316" s="121" t="s">
        <v>197</v>
      </c>
      <c r="C316" s="64">
        <v>1</v>
      </c>
      <c r="D316" s="75" t="s">
        <v>75</v>
      </c>
      <c r="E316" s="184" t="s">
        <v>76</v>
      </c>
      <c r="F316" s="134"/>
      <c r="G316" s="134"/>
      <c r="H316" s="135"/>
      <c r="I316" s="152"/>
      <c r="J316" s="135"/>
      <c r="K316" s="136"/>
      <c r="L316" s="135"/>
      <c r="M316" s="137"/>
      <c r="N316" s="144"/>
      <c r="O316" s="130"/>
      <c r="P316" s="236"/>
      <c r="Q316" s="159"/>
      <c r="R316" s="159"/>
    </row>
    <row r="317" spans="1:22" s="72" customFormat="1" ht="14.25" x14ac:dyDescent="0.2">
      <c r="A317" s="63"/>
      <c r="B317" s="143" t="s">
        <v>74</v>
      </c>
      <c r="C317" s="64">
        <v>1</v>
      </c>
      <c r="D317" s="75" t="s">
        <v>75</v>
      </c>
      <c r="E317" s="184" t="s">
        <v>77</v>
      </c>
      <c r="F317" s="134"/>
      <c r="G317" s="134"/>
      <c r="H317" s="135"/>
      <c r="I317" s="152"/>
      <c r="J317" s="135"/>
      <c r="K317" s="136"/>
      <c r="L317" s="135"/>
      <c r="M317" s="137"/>
      <c r="N317" s="144"/>
      <c r="O317" s="130"/>
      <c r="P317" s="236"/>
      <c r="Q317" s="159"/>
      <c r="R317" s="159"/>
    </row>
    <row r="318" spans="1:22" s="72" customFormat="1" ht="14.25" x14ac:dyDescent="0.2">
      <c r="A318" s="63"/>
      <c r="B318" s="143"/>
      <c r="C318" s="64"/>
      <c r="D318" s="75"/>
      <c r="E318" s="184"/>
      <c r="F318" s="134"/>
      <c r="G318" s="134"/>
      <c r="H318" s="135"/>
      <c r="I318" s="152"/>
      <c r="J318" s="135"/>
      <c r="K318" s="136"/>
      <c r="L318" s="135"/>
      <c r="M318" s="137"/>
      <c r="N318" s="144"/>
      <c r="O318" s="130"/>
      <c r="P318" s="236"/>
      <c r="Q318" s="159"/>
      <c r="R318" s="159"/>
    </row>
    <row r="319" spans="1:22" s="72" customFormat="1" ht="19.5" customHeight="1" x14ac:dyDescent="0.2">
      <c r="A319" s="63"/>
      <c r="B319" s="175" t="s">
        <v>199</v>
      </c>
      <c r="C319" s="64">
        <v>1</v>
      </c>
      <c r="D319" s="75" t="s">
        <v>75</v>
      </c>
      <c r="E319" s="134">
        <v>2</v>
      </c>
      <c r="F319" s="134">
        <f>C319*E319</f>
        <v>2</v>
      </c>
      <c r="G319" s="134">
        <f>$H$11*E319</f>
        <v>104</v>
      </c>
      <c r="H319" s="135">
        <f>F319*$H$11</f>
        <v>104</v>
      </c>
      <c r="I319" s="152">
        <f>V319</f>
        <v>1642</v>
      </c>
      <c r="J319" s="135">
        <f>C319*I319</f>
        <v>1642</v>
      </c>
      <c r="K319" s="136">
        <f>SUM(H319,J319)</f>
        <v>1746</v>
      </c>
      <c r="L319" s="135">
        <f>K319/C319</f>
        <v>1746</v>
      </c>
      <c r="M319" s="137">
        <f>C319*L319</f>
        <v>1746</v>
      </c>
      <c r="N319" s="144">
        <v>0</v>
      </c>
      <c r="O319" s="130">
        <f>M319*N319</f>
        <v>0</v>
      </c>
      <c r="P319" s="587"/>
      <c r="Q319" s="159"/>
      <c r="R319" s="388">
        <v>1575</v>
      </c>
      <c r="S319" s="388">
        <v>15</v>
      </c>
      <c r="T319" s="388"/>
      <c r="U319" s="388">
        <v>52</v>
      </c>
      <c r="V319" s="389">
        <f>SUM(R319:U319)</f>
        <v>1642</v>
      </c>
    </row>
    <row r="320" spans="1:22" s="72" customFormat="1" ht="14.25" x14ac:dyDescent="0.2">
      <c r="A320" s="63"/>
      <c r="B320" s="143" t="s">
        <v>176</v>
      </c>
      <c r="C320" s="64"/>
      <c r="D320" s="75"/>
      <c r="E320" s="134"/>
      <c r="F320" s="134"/>
      <c r="G320" s="134"/>
      <c r="H320" s="135"/>
      <c r="I320" s="152"/>
      <c r="J320" s="135"/>
      <c r="K320" s="136"/>
      <c r="L320" s="135"/>
      <c r="M320" s="137"/>
      <c r="N320" s="144"/>
      <c r="O320" s="130"/>
      <c r="P320" s="236"/>
      <c r="Q320" s="159"/>
      <c r="R320" s="177"/>
    </row>
    <row r="321" spans="1:22" s="72" customFormat="1" ht="14.25" x14ac:dyDescent="0.2">
      <c r="A321" s="63"/>
      <c r="B321" s="316" t="s">
        <v>534</v>
      </c>
      <c r="C321" s="64">
        <v>1</v>
      </c>
      <c r="D321" s="75" t="s">
        <v>75</v>
      </c>
      <c r="E321" s="134">
        <v>1</v>
      </c>
      <c r="F321" s="134">
        <f>C321*E321</f>
        <v>1</v>
      </c>
      <c r="G321" s="134">
        <f>$H$11*E321</f>
        <v>52</v>
      </c>
      <c r="H321" s="135">
        <f>F321*$H$11</f>
        <v>52</v>
      </c>
      <c r="I321" s="229">
        <v>125</v>
      </c>
      <c r="J321" s="135">
        <f>C321*I321</f>
        <v>125</v>
      </c>
      <c r="K321" s="136">
        <f>SUM(H321,J321)</f>
        <v>177</v>
      </c>
      <c r="L321" s="135">
        <f>K321/C321</f>
        <v>177</v>
      </c>
      <c r="M321" s="137">
        <f>C321*L321</f>
        <v>177</v>
      </c>
      <c r="N321" s="144">
        <v>0</v>
      </c>
      <c r="O321" s="130">
        <f>M321*N321</f>
        <v>0</v>
      </c>
      <c r="P321" s="236"/>
      <c r="Q321" s="159"/>
      <c r="R321" s="159"/>
    </row>
    <row r="322" spans="1:22" s="72" customFormat="1" ht="14.25" x14ac:dyDescent="0.2">
      <c r="A322" s="63"/>
      <c r="B322" s="143"/>
      <c r="C322" s="64"/>
      <c r="D322" s="75"/>
      <c r="E322" s="134"/>
      <c r="F322" s="134"/>
      <c r="G322" s="134"/>
      <c r="H322" s="135"/>
      <c r="I322" s="152"/>
      <c r="J322" s="135"/>
      <c r="K322" s="136"/>
      <c r="L322" s="135"/>
      <c r="M322" s="137"/>
      <c r="N322" s="144"/>
      <c r="O322" s="130"/>
      <c r="P322" s="236"/>
      <c r="Q322" s="159"/>
      <c r="R322" s="159"/>
    </row>
    <row r="323" spans="1:22" s="72" customFormat="1" ht="14.25" x14ac:dyDescent="0.2">
      <c r="A323" s="63"/>
      <c r="B323" s="121" t="s">
        <v>198</v>
      </c>
      <c r="C323" s="64">
        <v>1</v>
      </c>
      <c r="D323" s="75" t="s">
        <v>75</v>
      </c>
      <c r="E323" s="184" t="s">
        <v>76</v>
      </c>
      <c r="F323" s="134"/>
      <c r="G323" s="134"/>
      <c r="H323" s="135"/>
      <c r="I323" s="152"/>
      <c r="J323" s="135"/>
      <c r="K323" s="136"/>
      <c r="L323" s="135"/>
      <c r="M323" s="137"/>
      <c r="N323" s="144"/>
      <c r="O323" s="130"/>
      <c r="P323" s="236"/>
      <c r="Q323" s="159"/>
      <c r="R323" s="159"/>
    </row>
    <row r="324" spans="1:22" s="72" customFormat="1" ht="14.25" x14ac:dyDescent="0.2">
      <c r="A324" s="63"/>
      <c r="B324" s="143" t="s">
        <v>74</v>
      </c>
      <c r="C324" s="64">
        <v>1</v>
      </c>
      <c r="D324" s="75" t="s">
        <v>75</v>
      </c>
      <c r="E324" s="184" t="s">
        <v>77</v>
      </c>
      <c r="F324" s="134"/>
      <c r="G324" s="134"/>
      <c r="H324" s="135"/>
      <c r="I324" s="152"/>
      <c r="J324" s="135"/>
      <c r="K324" s="136"/>
      <c r="L324" s="135"/>
      <c r="M324" s="137"/>
      <c r="N324" s="144"/>
      <c r="O324" s="130"/>
      <c r="P324" s="236"/>
      <c r="Q324" s="159"/>
      <c r="R324" s="159"/>
    </row>
    <row r="325" spans="1:22" s="72" customFormat="1" ht="14.25" x14ac:dyDescent="0.2">
      <c r="A325" s="63"/>
      <c r="B325" s="143"/>
      <c r="C325" s="64"/>
      <c r="D325" s="75"/>
      <c r="E325" s="184"/>
      <c r="F325" s="134"/>
      <c r="G325" s="134"/>
      <c r="H325" s="135"/>
      <c r="I325" s="152"/>
      <c r="J325" s="135"/>
      <c r="K325" s="136"/>
      <c r="L325" s="135"/>
      <c r="M325" s="137"/>
      <c r="N325" s="144"/>
      <c r="O325" s="130"/>
      <c r="P325" s="236"/>
      <c r="Q325" s="159"/>
      <c r="R325" s="159"/>
    </row>
    <row r="326" spans="1:22" s="72" customFormat="1" ht="20.25" customHeight="1" x14ac:dyDescent="0.2">
      <c r="A326" s="63"/>
      <c r="B326" s="175" t="s">
        <v>200</v>
      </c>
      <c r="C326" s="64">
        <v>1</v>
      </c>
      <c r="D326" s="75" t="s">
        <v>75</v>
      </c>
      <c r="E326" s="134">
        <v>2</v>
      </c>
      <c r="F326" s="134">
        <f>C326*E326</f>
        <v>2</v>
      </c>
      <c r="G326" s="134">
        <f>$H$11*E326</f>
        <v>104</v>
      </c>
      <c r="H326" s="135">
        <f>F326*$H$11</f>
        <v>104</v>
      </c>
      <c r="I326" s="152">
        <f>V326</f>
        <v>1642</v>
      </c>
      <c r="J326" s="135">
        <f>C326*I326</f>
        <v>1642</v>
      </c>
      <c r="K326" s="136">
        <f>SUM(H326,J326)</f>
        <v>1746</v>
      </c>
      <c r="L326" s="135">
        <f>K326/C326</f>
        <v>1746</v>
      </c>
      <c r="M326" s="137">
        <f>C326*L326</f>
        <v>1746</v>
      </c>
      <c r="N326" s="144">
        <v>0</v>
      </c>
      <c r="O326" s="130">
        <f>M326*N326</f>
        <v>0</v>
      </c>
      <c r="P326" s="587"/>
      <c r="Q326" s="159"/>
      <c r="R326" s="388">
        <v>1575</v>
      </c>
      <c r="S326" s="388">
        <v>15</v>
      </c>
      <c r="T326" s="388"/>
      <c r="U326" s="388">
        <v>52</v>
      </c>
      <c r="V326" s="389">
        <f>SUM(R326:U326)</f>
        <v>1642</v>
      </c>
    </row>
    <row r="327" spans="1:22" s="72" customFormat="1" ht="14.25" x14ac:dyDescent="0.2">
      <c r="A327" s="63"/>
      <c r="B327" s="143" t="s">
        <v>176</v>
      </c>
      <c r="C327" s="64"/>
      <c r="D327" s="75"/>
      <c r="E327" s="134"/>
      <c r="F327" s="134"/>
      <c r="G327" s="134"/>
      <c r="H327" s="135"/>
      <c r="I327" s="152"/>
      <c r="J327" s="135"/>
      <c r="K327" s="136"/>
      <c r="L327" s="135"/>
      <c r="M327" s="137"/>
      <c r="N327" s="144"/>
      <c r="O327" s="130"/>
      <c r="P327" s="236"/>
      <c r="Q327" s="159"/>
      <c r="R327" s="177"/>
    </row>
    <row r="328" spans="1:22" s="72" customFormat="1" ht="14.25" x14ac:dyDescent="0.2">
      <c r="A328" s="63"/>
      <c r="B328" s="143"/>
      <c r="C328" s="64"/>
      <c r="D328" s="75"/>
      <c r="E328" s="184"/>
      <c r="F328" s="134"/>
      <c r="G328" s="134"/>
      <c r="H328" s="135"/>
      <c r="I328" s="152"/>
      <c r="J328" s="135"/>
      <c r="K328" s="136"/>
      <c r="L328" s="135"/>
      <c r="M328" s="137"/>
      <c r="N328" s="144"/>
      <c r="O328" s="130"/>
      <c r="P328" s="236"/>
      <c r="Q328" s="159"/>
      <c r="R328" s="159"/>
    </row>
    <row r="329" spans="1:22" s="72" customFormat="1" ht="14.25" x14ac:dyDescent="0.2">
      <c r="A329" s="63"/>
      <c r="B329" s="175" t="s">
        <v>201</v>
      </c>
      <c r="C329" s="64">
        <v>1</v>
      </c>
      <c r="D329" s="75" t="s">
        <v>75</v>
      </c>
      <c r="E329" s="134">
        <v>2</v>
      </c>
      <c r="F329" s="134">
        <f>C329*E329</f>
        <v>2</v>
      </c>
      <c r="G329" s="134">
        <f>$H$11*E329</f>
        <v>104</v>
      </c>
      <c r="H329" s="135">
        <f>F329*$H$11</f>
        <v>104</v>
      </c>
      <c r="I329" s="152">
        <f>V329</f>
        <v>1642</v>
      </c>
      <c r="J329" s="135">
        <f>C329*I329</f>
        <v>1642</v>
      </c>
      <c r="K329" s="136">
        <f>SUM(H329,J329)</f>
        <v>1746</v>
      </c>
      <c r="L329" s="135">
        <f>K329/C329</f>
        <v>1746</v>
      </c>
      <c r="M329" s="137">
        <f>C329*L329</f>
        <v>1746</v>
      </c>
      <c r="N329" s="144">
        <v>0</v>
      </c>
      <c r="O329" s="130">
        <f>M329*N329</f>
        <v>0</v>
      </c>
      <c r="P329" s="587"/>
      <c r="Q329" s="159"/>
      <c r="R329" s="388">
        <v>1575</v>
      </c>
      <c r="S329" s="388">
        <v>15</v>
      </c>
      <c r="T329" s="388"/>
      <c r="U329" s="388">
        <v>52</v>
      </c>
      <c r="V329" s="389">
        <f>SUM(R329:U329)</f>
        <v>1642</v>
      </c>
    </row>
    <row r="330" spans="1:22" s="72" customFormat="1" ht="14.25" x14ac:dyDescent="0.2">
      <c r="A330" s="63"/>
      <c r="B330" s="143" t="s">
        <v>176</v>
      </c>
      <c r="C330" s="64"/>
      <c r="D330" s="75"/>
      <c r="E330" s="134"/>
      <c r="F330" s="134"/>
      <c r="G330" s="134"/>
      <c r="H330" s="135"/>
      <c r="I330" s="152"/>
      <c r="J330" s="135"/>
      <c r="K330" s="136"/>
      <c r="L330" s="135"/>
      <c r="M330" s="137"/>
      <c r="N330" s="144"/>
      <c r="O330" s="130"/>
      <c r="P330" s="236"/>
      <c r="Q330" s="159"/>
      <c r="R330" s="177"/>
    </row>
    <row r="331" spans="1:22" s="72" customFormat="1" ht="14.25" x14ac:dyDescent="0.2">
      <c r="A331" s="63"/>
      <c r="B331" s="143"/>
      <c r="C331" s="64"/>
      <c r="D331" s="75"/>
      <c r="E331" s="134"/>
      <c r="F331" s="134"/>
      <c r="G331" s="134"/>
      <c r="H331" s="135"/>
      <c r="I331" s="152"/>
      <c r="J331" s="135"/>
      <c r="K331" s="136"/>
      <c r="L331" s="135"/>
      <c r="M331" s="137"/>
      <c r="N331" s="144"/>
      <c r="O331" s="130"/>
      <c r="P331" s="236"/>
      <c r="Q331" s="159"/>
      <c r="R331" s="177"/>
    </row>
    <row r="332" spans="1:22" s="72" customFormat="1" ht="14.25" x14ac:dyDescent="0.2">
      <c r="A332" s="63"/>
      <c r="B332" s="143" t="s">
        <v>202</v>
      </c>
      <c r="C332" s="64">
        <v>1</v>
      </c>
      <c r="D332" s="75" t="s">
        <v>75</v>
      </c>
      <c r="E332" s="134">
        <v>3</v>
      </c>
      <c r="F332" s="134">
        <f>C332*E332</f>
        <v>3</v>
      </c>
      <c r="G332" s="134">
        <f>$H$11*E332</f>
        <v>156</v>
      </c>
      <c r="H332" s="135">
        <f>F332*$H$11</f>
        <v>156</v>
      </c>
      <c r="I332" s="152">
        <f>V332</f>
        <v>2288</v>
      </c>
      <c r="J332" s="135">
        <f>C332*I332</f>
        <v>2288</v>
      </c>
      <c r="K332" s="136">
        <f>SUM(H332,J332)</f>
        <v>2444</v>
      </c>
      <c r="L332" s="135">
        <f>K332/C332</f>
        <v>2444</v>
      </c>
      <c r="M332" s="137">
        <f>C332*L332</f>
        <v>2444</v>
      </c>
      <c r="N332" s="144">
        <v>0</v>
      </c>
      <c r="O332" s="130">
        <f>M332*N332</f>
        <v>0</v>
      </c>
      <c r="P332" s="236"/>
      <c r="Q332" s="159"/>
      <c r="R332" s="388">
        <v>2221</v>
      </c>
      <c r="S332" s="388">
        <v>15</v>
      </c>
      <c r="T332" s="388"/>
      <c r="U332" s="388">
        <v>52</v>
      </c>
      <c r="V332" s="389">
        <f>SUM(R332:U332)</f>
        <v>2288</v>
      </c>
    </row>
    <row r="333" spans="1:22" s="72" customFormat="1" ht="14.25" x14ac:dyDescent="0.2">
      <c r="A333" s="63"/>
      <c r="B333" s="143" t="s">
        <v>203</v>
      </c>
      <c r="C333" s="64"/>
      <c r="D333" s="75"/>
      <c r="E333" s="134"/>
      <c r="F333" s="134"/>
      <c r="G333" s="134"/>
      <c r="H333" s="135"/>
      <c r="I333" s="152"/>
      <c r="J333" s="135"/>
      <c r="K333" s="136"/>
      <c r="L333" s="135"/>
      <c r="M333" s="137"/>
      <c r="N333" s="144"/>
      <c r="O333" s="130"/>
      <c r="P333" s="236"/>
      <c r="Q333" s="159"/>
      <c r="R333" s="177"/>
    </row>
    <row r="334" spans="1:22" s="72" customFormat="1" ht="14.25" x14ac:dyDescent="0.2">
      <c r="A334" s="63"/>
      <c r="B334" s="143"/>
      <c r="C334" s="64"/>
      <c r="D334" s="75"/>
      <c r="E334" s="134"/>
      <c r="F334" s="134"/>
      <c r="G334" s="134"/>
      <c r="H334" s="135"/>
      <c r="I334" s="152"/>
      <c r="J334" s="135"/>
      <c r="K334" s="136"/>
      <c r="L334" s="135"/>
      <c r="M334" s="137"/>
      <c r="N334" s="144"/>
      <c r="O334" s="130"/>
      <c r="P334" s="236"/>
      <c r="Q334" s="159"/>
      <c r="R334" s="177"/>
    </row>
    <row r="335" spans="1:22" s="72" customFormat="1" ht="14.25" x14ac:dyDescent="0.2">
      <c r="A335" s="63"/>
      <c r="B335" s="143" t="s">
        <v>204</v>
      </c>
      <c r="C335" s="64">
        <v>1</v>
      </c>
      <c r="D335" s="75" t="s">
        <v>75</v>
      </c>
      <c r="E335" s="134">
        <v>2</v>
      </c>
      <c r="F335" s="134">
        <f>C335*E335</f>
        <v>2</v>
      </c>
      <c r="G335" s="134">
        <f>$H$11*E335</f>
        <v>104</v>
      </c>
      <c r="H335" s="135">
        <f>F335*$H$11</f>
        <v>104</v>
      </c>
      <c r="I335" s="152">
        <f>V335</f>
        <v>2390</v>
      </c>
      <c r="J335" s="135">
        <f>C335*I335</f>
        <v>2390</v>
      </c>
      <c r="K335" s="136">
        <f>SUM(H335,J335)</f>
        <v>2494</v>
      </c>
      <c r="L335" s="135">
        <f>K335/C335</f>
        <v>2494</v>
      </c>
      <c r="M335" s="137">
        <f>C335*L335</f>
        <v>2494</v>
      </c>
      <c r="N335" s="144">
        <v>0</v>
      </c>
      <c r="O335" s="130">
        <f>M335*N335</f>
        <v>0</v>
      </c>
      <c r="P335" s="236"/>
      <c r="Q335" s="159"/>
      <c r="R335" s="388">
        <v>2323</v>
      </c>
      <c r="S335" s="388">
        <v>15</v>
      </c>
      <c r="T335" s="388"/>
      <c r="U335" s="388">
        <v>52</v>
      </c>
      <c r="V335" s="389">
        <f>SUM(R335:U335)</f>
        <v>2390</v>
      </c>
    </row>
    <row r="336" spans="1:22" s="72" customFormat="1" ht="14.25" x14ac:dyDescent="0.2">
      <c r="A336" s="63"/>
      <c r="B336" s="143" t="s">
        <v>176</v>
      </c>
      <c r="C336" s="64"/>
      <c r="D336" s="75"/>
      <c r="E336" s="184"/>
      <c r="F336" s="134"/>
      <c r="G336" s="134"/>
      <c r="H336" s="135"/>
      <c r="I336" s="152"/>
      <c r="J336" s="135"/>
      <c r="K336" s="136"/>
      <c r="L336" s="135"/>
      <c r="M336" s="137"/>
      <c r="N336" s="144"/>
      <c r="O336" s="130"/>
      <c r="P336" s="236"/>
      <c r="Q336" s="159"/>
      <c r="R336" s="159"/>
    </row>
    <row r="337" spans="1:22" s="72" customFormat="1" ht="14.25" x14ac:dyDescent="0.2">
      <c r="A337" s="63"/>
      <c r="B337" s="143" t="s">
        <v>181</v>
      </c>
      <c r="C337" s="192" t="s">
        <v>938</v>
      </c>
      <c r="D337" s="75"/>
      <c r="E337" s="184"/>
      <c r="F337" s="134"/>
      <c r="G337" s="134"/>
      <c r="H337" s="135"/>
      <c r="I337" s="152"/>
      <c r="J337" s="135"/>
      <c r="K337" s="136"/>
      <c r="L337" s="135"/>
      <c r="M337" s="137"/>
      <c r="N337" s="144"/>
      <c r="O337" s="130"/>
      <c r="P337" s="236"/>
      <c r="Q337" s="159"/>
      <c r="R337" s="159"/>
    </row>
    <row r="338" spans="1:22" s="72" customFormat="1" ht="14.25" x14ac:dyDescent="0.2">
      <c r="A338" s="63"/>
      <c r="B338" s="143"/>
      <c r="C338" s="192"/>
      <c r="D338" s="75"/>
      <c r="E338" s="184"/>
      <c r="F338" s="134"/>
      <c r="G338" s="134"/>
      <c r="H338" s="135"/>
      <c r="I338" s="152"/>
      <c r="J338" s="135"/>
      <c r="K338" s="136"/>
      <c r="L338" s="135"/>
      <c r="M338" s="137"/>
      <c r="N338" s="144"/>
      <c r="O338" s="130"/>
      <c r="P338" s="236"/>
      <c r="Q338" s="159"/>
      <c r="R338" s="159"/>
    </row>
    <row r="339" spans="1:22" s="72" customFormat="1" ht="25.5" x14ac:dyDescent="0.2">
      <c r="A339" s="63"/>
      <c r="B339" s="175" t="s">
        <v>208</v>
      </c>
      <c r="C339" s="64">
        <v>1</v>
      </c>
      <c r="D339" s="75" t="s">
        <v>75</v>
      </c>
      <c r="E339" s="134">
        <v>2</v>
      </c>
      <c r="F339" s="134">
        <f>C339*E339</f>
        <v>2</v>
      </c>
      <c r="G339" s="134">
        <f>$H$11*E339</f>
        <v>104</v>
      </c>
      <c r="H339" s="135">
        <f>F339*$H$11</f>
        <v>104</v>
      </c>
      <c r="I339" s="152">
        <f>V339</f>
        <v>1642</v>
      </c>
      <c r="J339" s="135">
        <f>C339*I339</f>
        <v>1642</v>
      </c>
      <c r="K339" s="136">
        <f>SUM(H339,J339)</f>
        <v>1746</v>
      </c>
      <c r="L339" s="135">
        <f>K339/C339</f>
        <v>1746</v>
      </c>
      <c r="M339" s="137">
        <f>C339*L339</f>
        <v>1746</v>
      </c>
      <c r="N339" s="144">
        <v>0</v>
      </c>
      <c r="O339" s="130">
        <f>M339*N339</f>
        <v>0</v>
      </c>
      <c r="P339" s="587"/>
      <c r="Q339" s="159"/>
      <c r="R339" s="388">
        <v>1575</v>
      </c>
      <c r="S339" s="388">
        <v>15</v>
      </c>
      <c r="T339" s="388"/>
      <c r="U339" s="388">
        <v>52</v>
      </c>
      <c r="V339" s="389">
        <f>SUM(R339:U339)</f>
        <v>1642</v>
      </c>
    </row>
    <row r="340" spans="1:22" s="72" customFormat="1" ht="14.25" x14ac:dyDescent="0.2">
      <c r="A340" s="63"/>
      <c r="B340" s="143" t="s">
        <v>176</v>
      </c>
      <c r="C340" s="64"/>
      <c r="D340" s="75"/>
      <c r="E340" s="134"/>
      <c r="F340" s="134"/>
      <c r="G340" s="134"/>
      <c r="H340" s="135"/>
      <c r="I340" s="152"/>
      <c r="J340" s="135"/>
      <c r="K340" s="136"/>
      <c r="L340" s="135"/>
      <c r="M340" s="137"/>
      <c r="N340" s="144"/>
      <c r="O340" s="130"/>
      <c r="P340" s="236"/>
      <c r="Q340" s="159"/>
      <c r="R340" s="177"/>
    </row>
    <row r="341" spans="1:22" s="72" customFormat="1" ht="14.25" x14ac:dyDescent="0.2">
      <c r="A341" s="63"/>
      <c r="B341" s="316" t="s">
        <v>534</v>
      </c>
      <c r="C341" s="64">
        <v>1</v>
      </c>
      <c r="D341" s="75" t="s">
        <v>75</v>
      </c>
      <c r="E341" s="134">
        <v>1</v>
      </c>
      <c r="F341" s="134">
        <f>C341*E341</f>
        <v>1</v>
      </c>
      <c r="G341" s="134">
        <f>$H$11*E341</f>
        <v>52</v>
      </c>
      <c r="H341" s="135">
        <f>F341*$H$11</f>
        <v>52</v>
      </c>
      <c r="I341" s="229">
        <v>125</v>
      </c>
      <c r="J341" s="135">
        <f>C341*I341</f>
        <v>125</v>
      </c>
      <c r="K341" s="136">
        <f>SUM(H341,J341)</f>
        <v>177</v>
      </c>
      <c r="L341" s="135">
        <f>K341/C341</f>
        <v>177</v>
      </c>
      <c r="M341" s="137">
        <f>C341*L341</f>
        <v>177</v>
      </c>
      <c r="N341" s="144">
        <v>0</v>
      </c>
      <c r="O341" s="130">
        <f>M341*N341</f>
        <v>0</v>
      </c>
      <c r="P341" s="236"/>
      <c r="Q341" s="159"/>
      <c r="R341" s="159"/>
    </row>
    <row r="342" spans="1:22" s="72" customFormat="1" ht="7.5" customHeight="1" x14ac:dyDescent="0.2">
      <c r="A342" s="63"/>
      <c r="B342" s="143"/>
      <c r="C342" s="192"/>
      <c r="D342" s="75"/>
      <c r="E342" s="184"/>
      <c r="F342" s="134"/>
      <c r="G342" s="134"/>
      <c r="H342" s="135"/>
      <c r="I342" s="152"/>
      <c r="J342" s="135"/>
      <c r="K342" s="136"/>
      <c r="L342" s="135"/>
      <c r="M342" s="137"/>
      <c r="N342" s="144"/>
      <c r="O342" s="130"/>
      <c r="P342" s="236"/>
      <c r="Q342" s="159"/>
      <c r="R342" s="159"/>
    </row>
    <row r="343" spans="1:22" s="72" customFormat="1" ht="14.25" x14ac:dyDescent="0.2">
      <c r="A343" s="63"/>
      <c r="B343" s="121" t="s">
        <v>205</v>
      </c>
      <c r="C343" s="64">
        <v>1</v>
      </c>
      <c r="D343" s="75" t="s">
        <v>75</v>
      </c>
      <c r="E343" s="184" t="s">
        <v>76</v>
      </c>
      <c r="F343" s="134"/>
      <c r="G343" s="134"/>
      <c r="H343" s="135"/>
      <c r="I343" s="152"/>
      <c r="J343" s="135"/>
      <c r="K343" s="136"/>
      <c r="L343" s="135"/>
      <c r="M343" s="137"/>
      <c r="N343" s="144"/>
      <c r="O343" s="130"/>
      <c r="P343" s="236"/>
      <c r="Q343" s="159"/>
      <c r="R343" s="159"/>
    </row>
    <row r="344" spans="1:22" s="72" customFormat="1" ht="14.25" x14ac:dyDescent="0.2">
      <c r="A344" s="63"/>
      <c r="B344" s="143" t="s">
        <v>74</v>
      </c>
      <c r="C344" s="64">
        <v>1</v>
      </c>
      <c r="D344" s="75" t="s">
        <v>75</v>
      </c>
      <c r="E344" s="184" t="s">
        <v>77</v>
      </c>
      <c r="F344" s="134"/>
      <c r="G344" s="134"/>
      <c r="H344" s="135"/>
      <c r="I344" s="152"/>
      <c r="J344" s="135"/>
      <c r="K344" s="136"/>
      <c r="L344" s="135"/>
      <c r="M344" s="137"/>
      <c r="N344" s="144"/>
      <c r="O344" s="130"/>
      <c r="P344" s="236"/>
      <c r="Q344" s="159"/>
      <c r="R344" s="159"/>
    </row>
    <row r="345" spans="1:22" s="72" customFormat="1" ht="14.25" x14ac:dyDescent="0.2">
      <c r="A345" s="63"/>
      <c r="B345" s="143"/>
      <c r="C345" s="192"/>
      <c r="D345" s="75"/>
      <c r="E345" s="184"/>
      <c r="F345" s="134"/>
      <c r="G345" s="134"/>
      <c r="H345" s="135"/>
      <c r="I345" s="152"/>
      <c r="J345" s="135"/>
      <c r="K345" s="136"/>
      <c r="L345" s="135"/>
      <c r="M345" s="137"/>
      <c r="N345" s="144"/>
      <c r="O345" s="130"/>
      <c r="P345" s="236"/>
      <c r="Q345" s="159"/>
      <c r="R345" s="159"/>
    </row>
    <row r="346" spans="1:22" s="72" customFormat="1" ht="17.25" customHeight="1" x14ac:dyDescent="0.2">
      <c r="A346" s="63"/>
      <c r="B346" s="175" t="s">
        <v>207</v>
      </c>
      <c r="C346" s="64">
        <v>1</v>
      </c>
      <c r="D346" s="75" t="s">
        <v>75</v>
      </c>
      <c r="E346" s="134">
        <v>2</v>
      </c>
      <c r="F346" s="134">
        <f>C346*E346</f>
        <v>2</v>
      </c>
      <c r="G346" s="134">
        <f>$H$11*E346</f>
        <v>104</v>
      </c>
      <c r="H346" s="135">
        <f>F346*$H$11</f>
        <v>104</v>
      </c>
      <c r="I346" s="152">
        <f>V346</f>
        <v>1642</v>
      </c>
      <c r="J346" s="135">
        <f>C346*I346</f>
        <v>1642</v>
      </c>
      <c r="K346" s="136">
        <f>SUM(H346,J346)</f>
        <v>1746</v>
      </c>
      <c r="L346" s="135">
        <f>K346/C346</f>
        <v>1746</v>
      </c>
      <c r="M346" s="137">
        <f>C346*L346</f>
        <v>1746</v>
      </c>
      <c r="N346" s="144">
        <v>0</v>
      </c>
      <c r="O346" s="130">
        <f>M346*N346</f>
        <v>0</v>
      </c>
      <c r="P346" s="587"/>
      <c r="Q346" s="159"/>
      <c r="R346" s="388">
        <v>1575</v>
      </c>
      <c r="S346" s="388">
        <v>15</v>
      </c>
      <c r="T346" s="388"/>
      <c r="U346" s="388">
        <v>52</v>
      </c>
      <c r="V346" s="177">
        <f>SUM(R346:U346)</f>
        <v>1642</v>
      </c>
    </row>
    <row r="347" spans="1:22" s="72" customFormat="1" ht="14.25" x14ac:dyDescent="0.2">
      <c r="A347" s="63"/>
      <c r="B347" s="143" t="s">
        <v>176</v>
      </c>
      <c r="C347" s="64"/>
      <c r="D347" s="75"/>
      <c r="E347" s="134"/>
      <c r="F347" s="134"/>
      <c r="G347" s="134"/>
      <c r="H347" s="135"/>
      <c r="I347" s="152"/>
      <c r="J347" s="135"/>
      <c r="K347" s="136"/>
      <c r="L347" s="135"/>
      <c r="M347" s="137"/>
      <c r="N347" s="144"/>
      <c r="O347" s="130"/>
      <c r="P347" s="236"/>
      <c r="Q347" s="159"/>
      <c r="R347" s="177"/>
    </row>
    <row r="348" spans="1:22" s="72" customFormat="1" ht="14.25" x14ac:dyDescent="0.2">
      <c r="A348" s="63"/>
      <c r="B348" s="316" t="s">
        <v>534</v>
      </c>
      <c r="C348" s="64">
        <v>1</v>
      </c>
      <c r="D348" s="75" t="s">
        <v>75</v>
      </c>
      <c r="E348" s="134">
        <v>1</v>
      </c>
      <c r="F348" s="134">
        <f>C348*E348</f>
        <v>1</v>
      </c>
      <c r="G348" s="134">
        <f>$H$11*E348</f>
        <v>52</v>
      </c>
      <c r="H348" s="135">
        <f>F348*$H$11</f>
        <v>52</v>
      </c>
      <c r="I348" s="229">
        <v>125</v>
      </c>
      <c r="J348" s="135">
        <f>C348*I348</f>
        <v>125</v>
      </c>
      <c r="K348" s="136">
        <f>SUM(H348,J348)</f>
        <v>177</v>
      </c>
      <c r="L348" s="135">
        <f>K348/C348</f>
        <v>177</v>
      </c>
      <c r="M348" s="137">
        <f>C348*L348</f>
        <v>177</v>
      </c>
      <c r="N348" s="144">
        <v>0</v>
      </c>
      <c r="O348" s="130">
        <f>M348*N348</f>
        <v>0</v>
      </c>
      <c r="P348" s="236"/>
      <c r="Q348" s="159"/>
      <c r="R348" s="159"/>
    </row>
    <row r="349" spans="1:22" s="72" customFormat="1" ht="7.5" customHeight="1" x14ac:dyDescent="0.2">
      <c r="A349" s="63"/>
      <c r="B349" s="143"/>
      <c r="C349" s="192"/>
      <c r="D349" s="75"/>
      <c r="E349" s="184"/>
      <c r="F349" s="134"/>
      <c r="G349" s="134"/>
      <c r="H349" s="135"/>
      <c r="I349" s="152"/>
      <c r="J349" s="135"/>
      <c r="K349" s="136"/>
      <c r="L349" s="135"/>
      <c r="M349" s="137"/>
      <c r="N349" s="144"/>
      <c r="O349" s="130"/>
      <c r="P349" s="236"/>
      <c r="Q349" s="159"/>
      <c r="R349" s="159"/>
    </row>
    <row r="350" spans="1:22" s="72" customFormat="1" ht="14.25" x14ac:dyDescent="0.2">
      <c r="A350" s="63"/>
      <c r="B350" s="121" t="s">
        <v>206</v>
      </c>
      <c r="C350" s="64">
        <v>1</v>
      </c>
      <c r="D350" s="75" t="s">
        <v>75</v>
      </c>
      <c r="E350" s="184" t="s">
        <v>76</v>
      </c>
      <c r="F350" s="134"/>
      <c r="G350" s="134"/>
      <c r="H350" s="135"/>
      <c r="I350" s="152"/>
      <c r="J350" s="135"/>
      <c r="K350" s="136"/>
      <c r="L350" s="135"/>
      <c r="M350" s="137"/>
      <c r="N350" s="144"/>
      <c r="O350" s="130"/>
      <c r="P350" s="236"/>
      <c r="Q350" s="159"/>
      <c r="R350" s="159"/>
    </row>
    <row r="351" spans="1:22" s="72" customFormat="1" ht="14.25" x14ac:dyDescent="0.2">
      <c r="A351" s="63"/>
      <c r="B351" s="143" t="s">
        <v>74</v>
      </c>
      <c r="C351" s="64">
        <v>1</v>
      </c>
      <c r="D351" s="75" t="s">
        <v>75</v>
      </c>
      <c r="E351" s="184" t="s">
        <v>77</v>
      </c>
      <c r="F351" s="134"/>
      <c r="G351" s="134"/>
      <c r="H351" s="135"/>
      <c r="I351" s="152"/>
      <c r="J351" s="135"/>
      <c r="K351" s="136"/>
      <c r="L351" s="135"/>
      <c r="M351" s="137"/>
      <c r="N351" s="144"/>
      <c r="O351" s="130"/>
      <c r="P351" s="236"/>
      <c r="Q351" s="159"/>
      <c r="R351" s="159"/>
    </row>
    <row r="352" spans="1:22" s="72" customFormat="1" ht="14.25" x14ac:dyDescent="0.2">
      <c r="A352" s="63"/>
      <c r="B352" s="143"/>
      <c r="C352" s="64"/>
      <c r="D352" s="75"/>
      <c r="E352" s="184"/>
      <c r="F352" s="134"/>
      <c r="G352" s="134"/>
      <c r="H352" s="135"/>
      <c r="I352" s="152"/>
      <c r="J352" s="135"/>
      <c r="K352" s="136"/>
      <c r="L352" s="135"/>
      <c r="M352" s="137"/>
      <c r="N352" s="144"/>
      <c r="O352" s="130"/>
      <c r="P352" s="236"/>
      <c r="Q352" s="159"/>
      <c r="R352" s="159"/>
    </row>
    <row r="353" spans="1:22" s="72" customFormat="1" ht="15.75" customHeight="1" x14ac:dyDescent="0.2">
      <c r="A353" s="63"/>
      <c r="B353" s="175" t="s">
        <v>209</v>
      </c>
      <c r="C353" s="64">
        <v>1</v>
      </c>
      <c r="D353" s="75" t="s">
        <v>75</v>
      </c>
      <c r="E353" s="134">
        <v>2</v>
      </c>
      <c r="F353" s="134">
        <f>C353*E353</f>
        <v>2</v>
      </c>
      <c r="G353" s="134">
        <f>$H$11*E353</f>
        <v>104</v>
      </c>
      <c r="H353" s="135">
        <f>F353*$H$11</f>
        <v>104</v>
      </c>
      <c r="I353" s="152">
        <f>V353</f>
        <v>1642</v>
      </c>
      <c r="J353" s="135">
        <f>C353*I353</f>
        <v>1642</v>
      </c>
      <c r="K353" s="136">
        <f>SUM(H353,J353)</f>
        <v>1746</v>
      </c>
      <c r="L353" s="135">
        <f>K353/C353</f>
        <v>1746</v>
      </c>
      <c r="M353" s="137">
        <f>C353*L353</f>
        <v>1746</v>
      </c>
      <c r="N353" s="144">
        <v>0</v>
      </c>
      <c r="O353" s="130">
        <f>M353*N353</f>
        <v>0</v>
      </c>
      <c r="P353" s="587"/>
      <c r="Q353" s="159"/>
      <c r="R353" s="388">
        <v>1575</v>
      </c>
      <c r="S353" s="388">
        <v>15</v>
      </c>
      <c r="T353" s="388"/>
      <c r="U353" s="388">
        <v>52</v>
      </c>
      <c r="V353" s="177">
        <f>SUM(R353:U353)</f>
        <v>1642</v>
      </c>
    </row>
    <row r="354" spans="1:22" s="72" customFormat="1" ht="14.25" x14ac:dyDescent="0.2">
      <c r="A354" s="63"/>
      <c r="B354" s="143" t="s">
        <v>176</v>
      </c>
      <c r="C354" s="64"/>
      <c r="D354" s="75"/>
      <c r="E354" s="134"/>
      <c r="F354" s="134"/>
      <c r="G354" s="134"/>
      <c r="H354" s="135"/>
      <c r="I354" s="152"/>
      <c r="J354" s="135"/>
      <c r="K354" s="136"/>
      <c r="L354" s="135"/>
      <c r="M354" s="137"/>
      <c r="N354" s="144"/>
      <c r="O354" s="130"/>
      <c r="P354" s="236"/>
      <c r="Q354" s="159"/>
      <c r="R354" s="177"/>
    </row>
    <row r="355" spans="1:22" s="72" customFormat="1" ht="14.25" x14ac:dyDescent="0.2">
      <c r="A355" s="63"/>
      <c r="B355" s="316" t="s">
        <v>534</v>
      </c>
      <c r="C355" s="64">
        <v>1</v>
      </c>
      <c r="D355" s="75" t="s">
        <v>75</v>
      </c>
      <c r="E355" s="134">
        <v>1</v>
      </c>
      <c r="F355" s="134">
        <f>C355*E355</f>
        <v>1</v>
      </c>
      <c r="G355" s="134">
        <f>$H$11*E355</f>
        <v>52</v>
      </c>
      <c r="H355" s="135">
        <f>F355*$H$11</f>
        <v>52</v>
      </c>
      <c r="I355" s="229">
        <v>125</v>
      </c>
      <c r="J355" s="135">
        <f>C355*I355</f>
        <v>125</v>
      </c>
      <c r="K355" s="136">
        <f>SUM(H355,J355)</f>
        <v>177</v>
      </c>
      <c r="L355" s="135">
        <f>K355/C355</f>
        <v>177</v>
      </c>
      <c r="M355" s="137">
        <f>C355*L355</f>
        <v>177</v>
      </c>
      <c r="N355" s="144">
        <v>0</v>
      </c>
      <c r="O355" s="130">
        <f>M355*N355</f>
        <v>0</v>
      </c>
      <c r="P355" s="236"/>
      <c r="Q355" s="159"/>
      <c r="R355" s="159"/>
    </row>
    <row r="356" spans="1:22" s="72" customFormat="1" ht="6" customHeight="1" x14ac:dyDescent="0.2">
      <c r="A356" s="63"/>
      <c r="B356" s="143"/>
      <c r="C356" s="192"/>
      <c r="D356" s="75"/>
      <c r="E356" s="184"/>
      <c r="F356" s="134"/>
      <c r="G356" s="134"/>
      <c r="H356" s="135"/>
      <c r="I356" s="152"/>
      <c r="J356" s="135"/>
      <c r="K356" s="136"/>
      <c r="L356" s="135"/>
      <c r="M356" s="137"/>
      <c r="N356" s="144"/>
      <c r="O356" s="130"/>
      <c r="P356" s="236"/>
      <c r="Q356" s="159"/>
      <c r="R356" s="159"/>
    </row>
    <row r="357" spans="1:22" s="72" customFormat="1" ht="14.25" x14ac:dyDescent="0.2">
      <c r="A357" s="63"/>
      <c r="B357" s="121" t="s">
        <v>210</v>
      </c>
      <c r="C357" s="64">
        <v>1</v>
      </c>
      <c r="D357" s="75" t="s">
        <v>75</v>
      </c>
      <c r="E357" s="184" t="s">
        <v>76</v>
      </c>
      <c r="F357" s="134"/>
      <c r="G357" s="134"/>
      <c r="H357" s="135"/>
      <c r="I357" s="152"/>
      <c r="J357" s="135"/>
      <c r="K357" s="136"/>
      <c r="L357" s="135"/>
      <c r="M357" s="137"/>
      <c r="N357" s="144"/>
      <c r="O357" s="130"/>
      <c r="P357" s="236"/>
      <c r="Q357" s="159"/>
      <c r="R357" s="159"/>
    </row>
    <row r="358" spans="1:22" s="72" customFormat="1" ht="14.25" x14ac:dyDescent="0.2">
      <c r="A358" s="63"/>
      <c r="B358" s="143" t="s">
        <v>74</v>
      </c>
      <c r="C358" s="64">
        <v>1</v>
      </c>
      <c r="D358" s="75" t="s">
        <v>75</v>
      </c>
      <c r="E358" s="184" t="s">
        <v>77</v>
      </c>
      <c r="F358" s="134"/>
      <c r="G358" s="134"/>
      <c r="H358" s="135"/>
      <c r="I358" s="152"/>
      <c r="J358" s="135"/>
      <c r="K358" s="136"/>
      <c r="L358" s="135"/>
      <c r="M358" s="137"/>
      <c r="N358" s="144"/>
      <c r="O358" s="130"/>
      <c r="P358" s="236"/>
      <c r="Q358" s="159"/>
      <c r="R358" s="159"/>
    </row>
    <row r="359" spans="1:22" s="72" customFormat="1" ht="5.25" customHeight="1" x14ac:dyDescent="0.2">
      <c r="A359" s="63"/>
      <c r="B359" s="143"/>
      <c r="C359" s="64"/>
      <c r="D359" s="75"/>
      <c r="E359" s="184"/>
      <c r="F359" s="134"/>
      <c r="G359" s="134"/>
      <c r="H359" s="135"/>
      <c r="I359" s="152"/>
      <c r="J359" s="135"/>
      <c r="K359" s="136"/>
      <c r="L359" s="135"/>
      <c r="M359" s="137"/>
      <c r="N359" s="144"/>
      <c r="O359" s="130"/>
      <c r="P359" s="236"/>
      <c r="Q359" s="159"/>
      <c r="R359" s="159"/>
    </row>
    <row r="360" spans="1:22" s="72" customFormat="1" ht="18.75" customHeight="1" x14ac:dyDescent="0.2">
      <c r="A360" s="63"/>
      <c r="B360" s="121" t="s">
        <v>211</v>
      </c>
      <c r="C360" s="64">
        <v>1</v>
      </c>
      <c r="D360" s="75" t="s">
        <v>75</v>
      </c>
      <c r="E360" s="184" t="s">
        <v>76</v>
      </c>
      <c r="F360" s="134"/>
      <c r="G360" s="134"/>
      <c r="H360" s="135"/>
      <c r="I360" s="152"/>
      <c r="J360" s="135"/>
      <c r="K360" s="136"/>
      <c r="L360" s="135"/>
      <c r="M360" s="137"/>
      <c r="N360" s="144"/>
      <c r="O360" s="130"/>
      <c r="P360" s="236"/>
      <c r="Q360" s="159"/>
      <c r="R360" s="159"/>
    </row>
    <row r="361" spans="1:22" s="72" customFormat="1" ht="14.25" x14ac:dyDescent="0.2">
      <c r="A361" s="63"/>
      <c r="B361" s="143" t="s">
        <v>74</v>
      </c>
      <c r="C361" s="64">
        <v>1</v>
      </c>
      <c r="D361" s="75" t="s">
        <v>75</v>
      </c>
      <c r="E361" s="184" t="s">
        <v>77</v>
      </c>
      <c r="F361" s="134"/>
      <c r="G361" s="134"/>
      <c r="H361" s="135"/>
      <c r="I361" s="152"/>
      <c r="J361" s="135"/>
      <c r="K361" s="136"/>
      <c r="L361" s="135"/>
      <c r="M361" s="137"/>
      <c r="N361" s="144"/>
      <c r="O361" s="130"/>
      <c r="P361" s="236"/>
      <c r="Q361" s="159"/>
      <c r="R361" s="159"/>
    </row>
    <row r="362" spans="1:22" s="72" customFormat="1" ht="14.25" x14ac:dyDescent="0.2">
      <c r="A362" s="63"/>
      <c r="B362" s="143"/>
      <c r="C362" s="64"/>
      <c r="D362" s="75"/>
      <c r="E362" s="184"/>
      <c r="F362" s="134"/>
      <c r="G362" s="134"/>
      <c r="H362" s="135"/>
      <c r="I362" s="152"/>
      <c r="J362" s="135"/>
      <c r="K362" s="136"/>
      <c r="L362" s="135"/>
      <c r="M362" s="137"/>
      <c r="N362" s="144"/>
      <c r="O362" s="130"/>
      <c r="P362" s="236"/>
      <c r="Q362" s="159"/>
      <c r="R362" s="159"/>
    </row>
    <row r="363" spans="1:22" s="72" customFormat="1" ht="15" customHeight="1" x14ac:dyDescent="0.2">
      <c r="A363" s="63"/>
      <c r="B363" s="175" t="s">
        <v>212</v>
      </c>
      <c r="C363" s="64">
        <v>1</v>
      </c>
      <c r="D363" s="75" t="s">
        <v>75</v>
      </c>
      <c r="E363" s="134">
        <v>2</v>
      </c>
      <c r="F363" s="134">
        <f>C363*E363</f>
        <v>2</v>
      </c>
      <c r="G363" s="134">
        <f>$H$11*E363</f>
        <v>104</v>
      </c>
      <c r="H363" s="135">
        <f>F363*$H$11</f>
        <v>104</v>
      </c>
      <c r="I363" s="152">
        <f>V363</f>
        <v>1642</v>
      </c>
      <c r="J363" s="135">
        <f>C363*I363</f>
        <v>1642</v>
      </c>
      <c r="K363" s="136">
        <f>SUM(H363,J363)</f>
        <v>1746</v>
      </c>
      <c r="L363" s="135">
        <f>K363/C363</f>
        <v>1746</v>
      </c>
      <c r="M363" s="137">
        <f>C363*L363</f>
        <v>1746</v>
      </c>
      <c r="N363" s="144">
        <v>0</v>
      </c>
      <c r="O363" s="130">
        <f>M363*N363</f>
        <v>0</v>
      </c>
      <c r="P363" s="587"/>
      <c r="Q363" s="159"/>
      <c r="R363" s="388">
        <v>1575</v>
      </c>
      <c r="S363" s="388">
        <v>15</v>
      </c>
      <c r="T363" s="388"/>
      <c r="U363" s="388">
        <v>52</v>
      </c>
      <c r="V363" s="177">
        <f>SUM(R363:U363)</f>
        <v>1642</v>
      </c>
    </row>
    <row r="364" spans="1:22" s="72" customFormat="1" ht="14.25" x14ac:dyDescent="0.2">
      <c r="A364" s="63"/>
      <c r="B364" s="143" t="s">
        <v>176</v>
      </c>
      <c r="C364" s="64"/>
      <c r="D364" s="75"/>
      <c r="E364" s="134"/>
      <c r="F364" s="134"/>
      <c r="G364" s="134"/>
      <c r="H364" s="135"/>
      <c r="I364" s="152"/>
      <c r="J364" s="135"/>
      <c r="K364" s="136"/>
      <c r="L364" s="135"/>
      <c r="M364" s="137"/>
      <c r="N364" s="144"/>
      <c r="O364" s="130"/>
      <c r="P364" s="236"/>
      <c r="Q364" s="159"/>
      <c r="R364" s="177"/>
    </row>
    <row r="365" spans="1:22" s="72" customFormat="1" ht="14.25" x14ac:dyDescent="0.2">
      <c r="A365" s="63"/>
      <c r="B365" s="316" t="s">
        <v>534</v>
      </c>
      <c r="C365" s="64">
        <v>1</v>
      </c>
      <c r="D365" s="75" t="s">
        <v>75</v>
      </c>
      <c r="E365" s="134">
        <v>1</v>
      </c>
      <c r="F365" s="134">
        <f>C365*E365</f>
        <v>1</v>
      </c>
      <c r="G365" s="134">
        <f>$H$11*E365</f>
        <v>52</v>
      </c>
      <c r="H365" s="135">
        <f>F365*$H$11</f>
        <v>52</v>
      </c>
      <c r="I365" s="229">
        <v>125</v>
      </c>
      <c r="J365" s="135">
        <f>C365*I365</f>
        <v>125</v>
      </c>
      <c r="K365" s="136">
        <f>SUM(H365,J365)</f>
        <v>177</v>
      </c>
      <c r="L365" s="135">
        <f>K365/C365</f>
        <v>177</v>
      </c>
      <c r="M365" s="137">
        <f>C365*L365</f>
        <v>177</v>
      </c>
      <c r="N365" s="144">
        <v>0</v>
      </c>
      <c r="O365" s="130">
        <f>M365*N365</f>
        <v>0</v>
      </c>
      <c r="P365" s="236"/>
      <c r="Q365" s="159"/>
      <c r="R365" s="159"/>
    </row>
    <row r="366" spans="1:22" s="72" customFormat="1" ht="6" customHeight="1" x14ac:dyDescent="0.2">
      <c r="A366" s="63"/>
      <c r="B366" s="143"/>
      <c r="C366" s="192"/>
      <c r="D366" s="75"/>
      <c r="E366" s="184"/>
      <c r="F366" s="134"/>
      <c r="G366" s="134"/>
      <c r="H366" s="135"/>
      <c r="I366" s="152"/>
      <c r="J366" s="135"/>
      <c r="K366" s="136"/>
      <c r="L366" s="135"/>
      <c r="M366" s="137"/>
      <c r="N366" s="144"/>
      <c r="O366" s="130"/>
      <c r="P366" s="236"/>
      <c r="Q366" s="159"/>
      <c r="R366" s="159"/>
    </row>
    <row r="367" spans="1:22" s="72" customFormat="1" ht="14.25" x14ac:dyDescent="0.2">
      <c r="A367" s="63"/>
      <c r="B367" s="121" t="s">
        <v>213</v>
      </c>
      <c r="C367" s="64">
        <v>1</v>
      </c>
      <c r="D367" s="75" t="s">
        <v>75</v>
      </c>
      <c r="E367" s="184" t="s">
        <v>76</v>
      </c>
      <c r="F367" s="134"/>
      <c r="G367" s="134"/>
      <c r="H367" s="135"/>
      <c r="I367" s="152"/>
      <c r="J367" s="135"/>
      <c r="K367" s="136"/>
      <c r="L367" s="135"/>
      <c r="M367" s="137"/>
      <c r="N367" s="144"/>
      <c r="O367" s="130"/>
      <c r="P367" s="236"/>
      <c r="Q367" s="159"/>
      <c r="R367" s="159"/>
    </row>
    <row r="368" spans="1:22" s="72" customFormat="1" ht="14.25" x14ac:dyDescent="0.2">
      <c r="A368" s="63"/>
      <c r="B368" s="143" t="s">
        <v>74</v>
      </c>
      <c r="C368" s="64">
        <v>1</v>
      </c>
      <c r="D368" s="75" t="s">
        <v>75</v>
      </c>
      <c r="E368" s="184" t="s">
        <v>77</v>
      </c>
      <c r="F368" s="134"/>
      <c r="G368" s="134"/>
      <c r="H368" s="135"/>
      <c r="I368" s="152"/>
      <c r="J368" s="135"/>
      <c r="K368" s="136"/>
      <c r="L368" s="135"/>
      <c r="M368" s="137"/>
      <c r="N368" s="144"/>
      <c r="O368" s="130"/>
      <c r="P368" s="236"/>
      <c r="Q368" s="159"/>
      <c r="R368" s="159"/>
    </row>
    <row r="369" spans="1:22" s="72" customFormat="1" ht="14.25" x14ac:dyDescent="0.2">
      <c r="A369" s="63"/>
      <c r="B369" s="143"/>
      <c r="C369" s="64"/>
      <c r="D369" s="75"/>
      <c r="E369" s="184"/>
      <c r="F369" s="134"/>
      <c r="G369" s="134"/>
      <c r="H369" s="135"/>
      <c r="I369" s="152"/>
      <c r="J369" s="135"/>
      <c r="K369" s="136"/>
      <c r="L369" s="135"/>
      <c r="M369" s="137"/>
      <c r="N369" s="144"/>
      <c r="O369" s="130"/>
      <c r="P369" s="236"/>
      <c r="Q369" s="159"/>
      <c r="R369" s="159"/>
    </row>
    <row r="370" spans="1:22" s="72" customFormat="1" ht="15.75" customHeight="1" x14ac:dyDescent="0.2">
      <c r="A370" s="63"/>
      <c r="B370" s="175" t="s">
        <v>214</v>
      </c>
      <c r="C370" s="64">
        <v>1</v>
      </c>
      <c r="D370" s="75" t="s">
        <v>75</v>
      </c>
      <c r="E370" s="134">
        <v>2</v>
      </c>
      <c r="F370" s="134">
        <f>C370*E370</f>
        <v>2</v>
      </c>
      <c r="G370" s="134">
        <f>$H$11*E370</f>
        <v>104</v>
      </c>
      <c r="H370" s="135">
        <f>F370*$H$11</f>
        <v>104</v>
      </c>
      <c r="I370" s="152">
        <f>V370</f>
        <v>1642</v>
      </c>
      <c r="J370" s="135">
        <f>C370*I370</f>
        <v>1642</v>
      </c>
      <c r="K370" s="136">
        <f>SUM(H370,J370)</f>
        <v>1746</v>
      </c>
      <c r="L370" s="135">
        <f>K370/C370</f>
        <v>1746</v>
      </c>
      <c r="M370" s="137">
        <f>C370*L370</f>
        <v>1746</v>
      </c>
      <c r="N370" s="144">
        <v>0</v>
      </c>
      <c r="O370" s="130">
        <f>M370*N370</f>
        <v>0</v>
      </c>
      <c r="P370" s="587"/>
      <c r="Q370" s="159"/>
      <c r="R370" s="388">
        <v>1575</v>
      </c>
      <c r="S370" s="388">
        <v>15</v>
      </c>
      <c r="T370" s="388"/>
      <c r="U370" s="388">
        <v>52</v>
      </c>
      <c r="V370" s="177">
        <f>SUM(R370:U370)</f>
        <v>1642</v>
      </c>
    </row>
    <row r="371" spans="1:22" s="72" customFormat="1" ht="14.25" x14ac:dyDescent="0.2">
      <c r="A371" s="63"/>
      <c r="B371" s="143" t="s">
        <v>176</v>
      </c>
      <c r="C371" s="64"/>
      <c r="D371" s="75"/>
      <c r="E371" s="134"/>
      <c r="F371" s="134"/>
      <c r="G371" s="134"/>
      <c r="H371" s="135"/>
      <c r="I371" s="152"/>
      <c r="J371" s="135"/>
      <c r="K371" s="136"/>
      <c r="L371" s="135"/>
      <c r="M371" s="137"/>
      <c r="N371" s="144"/>
      <c r="O371" s="130"/>
      <c r="P371" s="236"/>
      <c r="Q371" s="159"/>
      <c r="R371" s="177"/>
    </row>
    <row r="372" spans="1:22" s="72" customFormat="1" ht="14.25" x14ac:dyDescent="0.2">
      <c r="A372" s="63"/>
      <c r="B372" s="316" t="s">
        <v>534</v>
      </c>
      <c r="C372" s="64">
        <v>1</v>
      </c>
      <c r="D372" s="75" t="s">
        <v>75</v>
      </c>
      <c r="E372" s="134">
        <v>1</v>
      </c>
      <c r="F372" s="134">
        <f>C372*E372</f>
        <v>1</v>
      </c>
      <c r="G372" s="134">
        <f>$H$11*E372</f>
        <v>52</v>
      </c>
      <c r="H372" s="135">
        <f>F372*$H$11</f>
        <v>52</v>
      </c>
      <c r="I372" s="229">
        <v>125</v>
      </c>
      <c r="J372" s="135">
        <f>C372*I372</f>
        <v>125</v>
      </c>
      <c r="K372" s="136">
        <f>SUM(H372,J372)</f>
        <v>177</v>
      </c>
      <c r="L372" s="135">
        <f>K372/C372</f>
        <v>177</v>
      </c>
      <c r="M372" s="137">
        <f>C372*L372</f>
        <v>177</v>
      </c>
      <c r="N372" s="144">
        <v>0</v>
      </c>
      <c r="O372" s="130">
        <f>M372*N372</f>
        <v>0</v>
      </c>
      <c r="P372" s="236"/>
      <c r="Q372" s="159"/>
      <c r="R372" s="159"/>
    </row>
    <row r="373" spans="1:22" s="72" customFormat="1" ht="6" customHeight="1" x14ac:dyDescent="0.2">
      <c r="A373" s="63"/>
      <c r="B373" s="143"/>
      <c r="C373" s="192"/>
      <c r="D373" s="75"/>
      <c r="E373" s="184"/>
      <c r="F373" s="134"/>
      <c r="G373" s="134"/>
      <c r="H373" s="135"/>
      <c r="I373" s="152"/>
      <c r="J373" s="135"/>
      <c r="K373" s="136"/>
      <c r="L373" s="135"/>
      <c r="M373" s="137"/>
      <c r="N373" s="144"/>
      <c r="O373" s="130"/>
      <c r="P373" s="236"/>
      <c r="Q373" s="159"/>
      <c r="R373" s="159"/>
    </row>
    <row r="374" spans="1:22" s="72" customFormat="1" ht="14.25" x14ac:dyDescent="0.2">
      <c r="A374" s="63"/>
      <c r="B374" s="121" t="s">
        <v>215</v>
      </c>
      <c r="C374" s="64">
        <v>1</v>
      </c>
      <c r="D374" s="75" t="s">
        <v>75</v>
      </c>
      <c r="E374" s="184" t="s">
        <v>76</v>
      </c>
      <c r="F374" s="134"/>
      <c r="G374" s="134"/>
      <c r="H374" s="135"/>
      <c r="I374" s="152"/>
      <c r="J374" s="135"/>
      <c r="K374" s="136"/>
      <c r="L374" s="135"/>
      <c r="M374" s="137"/>
      <c r="N374" s="144"/>
      <c r="O374" s="130"/>
      <c r="P374" s="236"/>
      <c r="Q374" s="159"/>
      <c r="R374" s="159"/>
    </row>
    <row r="375" spans="1:22" s="72" customFormat="1" ht="14.25" x14ac:dyDescent="0.2">
      <c r="A375" s="63"/>
      <c r="B375" s="143" t="s">
        <v>74</v>
      </c>
      <c r="C375" s="64">
        <v>1</v>
      </c>
      <c r="D375" s="75" t="s">
        <v>75</v>
      </c>
      <c r="E375" s="184" t="s">
        <v>77</v>
      </c>
      <c r="F375" s="134"/>
      <c r="G375" s="134"/>
      <c r="H375" s="135"/>
      <c r="I375" s="152"/>
      <c r="J375" s="135"/>
      <c r="K375" s="136"/>
      <c r="L375" s="135"/>
      <c r="M375" s="137"/>
      <c r="N375" s="144"/>
      <c r="O375" s="130"/>
      <c r="P375" s="236"/>
      <c r="Q375" s="159"/>
      <c r="R375" s="159"/>
    </row>
    <row r="376" spans="1:22" s="72" customFormat="1" ht="14.25" x14ac:dyDescent="0.2">
      <c r="A376" s="63"/>
      <c r="B376" s="143"/>
      <c r="C376" s="64"/>
      <c r="D376" s="75"/>
      <c r="E376" s="184"/>
      <c r="F376" s="134"/>
      <c r="G376" s="134"/>
      <c r="H376" s="135"/>
      <c r="I376" s="152"/>
      <c r="J376" s="135"/>
      <c r="K376" s="136"/>
      <c r="L376" s="135"/>
      <c r="M376" s="137"/>
      <c r="N376" s="144"/>
      <c r="O376" s="130"/>
      <c r="P376" s="236"/>
      <c r="Q376" s="159"/>
      <c r="R376" s="159"/>
    </row>
    <row r="377" spans="1:22" s="72" customFormat="1" ht="17.25" customHeight="1" x14ac:dyDescent="0.2">
      <c r="A377" s="63"/>
      <c r="B377" s="175" t="s">
        <v>216</v>
      </c>
      <c r="C377" s="64">
        <v>1</v>
      </c>
      <c r="D377" s="75" t="s">
        <v>75</v>
      </c>
      <c r="E377" s="134">
        <v>2</v>
      </c>
      <c r="F377" s="134">
        <f>C377*E377</f>
        <v>2</v>
      </c>
      <c r="G377" s="134">
        <f>$H$11*E377</f>
        <v>104</v>
      </c>
      <c r="H377" s="135">
        <f>F377*$H$11</f>
        <v>104</v>
      </c>
      <c r="I377" s="152">
        <f>V377</f>
        <v>1642</v>
      </c>
      <c r="J377" s="135">
        <f>C377*I377</f>
        <v>1642</v>
      </c>
      <c r="K377" s="136">
        <f>SUM(H377,J377)</f>
        <v>1746</v>
      </c>
      <c r="L377" s="135">
        <f>K377/C377</f>
        <v>1746</v>
      </c>
      <c r="M377" s="137">
        <f>C377*L377</f>
        <v>1746</v>
      </c>
      <c r="N377" s="144">
        <v>0</v>
      </c>
      <c r="O377" s="130">
        <f>M377*N377</f>
        <v>0</v>
      </c>
      <c r="P377" s="587"/>
      <c r="Q377" s="159"/>
      <c r="R377" s="388">
        <v>1575</v>
      </c>
      <c r="S377" s="388">
        <v>15</v>
      </c>
      <c r="T377" s="388"/>
      <c r="U377" s="388">
        <v>52</v>
      </c>
      <c r="V377" s="177">
        <f>SUM(R377:U377)</f>
        <v>1642</v>
      </c>
    </row>
    <row r="378" spans="1:22" s="72" customFormat="1" ht="14.25" x14ac:dyDescent="0.2">
      <c r="A378" s="63"/>
      <c r="B378" s="143" t="s">
        <v>176</v>
      </c>
      <c r="C378" s="64"/>
      <c r="D378" s="75"/>
      <c r="E378" s="134"/>
      <c r="F378" s="134"/>
      <c r="G378" s="134"/>
      <c r="H378" s="135"/>
      <c r="I378" s="152"/>
      <c r="J378" s="135"/>
      <c r="K378" s="136"/>
      <c r="L378" s="135"/>
      <c r="M378" s="137"/>
      <c r="N378" s="144"/>
      <c r="O378" s="130"/>
      <c r="P378" s="236"/>
      <c r="Q378" s="159"/>
      <c r="R378" s="177"/>
    </row>
    <row r="379" spans="1:22" s="72" customFormat="1" ht="14.25" x14ac:dyDescent="0.2">
      <c r="A379" s="63"/>
      <c r="B379" s="316" t="s">
        <v>534</v>
      </c>
      <c r="C379" s="64">
        <v>1</v>
      </c>
      <c r="D379" s="75" t="s">
        <v>75</v>
      </c>
      <c r="E379" s="134">
        <v>1</v>
      </c>
      <c r="F379" s="134">
        <f>C379*E379</f>
        <v>1</v>
      </c>
      <c r="G379" s="134">
        <f>$H$11*E379</f>
        <v>52</v>
      </c>
      <c r="H379" s="135">
        <f>F379*$H$11</f>
        <v>52</v>
      </c>
      <c r="I379" s="229">
        <v>125</v>
      </c>
      <c r="J379" s="135">
        <f>C379*I379</f>
        <v>125</v>
      </c>
      <c r="K379" s="136">
        <f>SUM(H379,J379)</f>
        <v>177</v>
      </c>
      <c r="L379" s="135">
        <f>K379/C379</f>
        <v>177</v>
      </c>
      <c r="M379" s="137">
        <f>C379*L379</f>
        <v>177</v>
      </c>
      <c r="N379" s="144">
        <v>0</v>
      </c>
      <c r="O379" s="130">
        <f>M379*N379</f>
        <v>0</v>
      </c>
      <c r="P379" s="236"/>
      <c r="Q379" s="159"/>
      <c r="R379" s="159"/>
    </row>
    <row r="380" spans="1:22" s="72" customFormat="1" ht="9" customHeight="1" x14ac:dyDescent="0.2">
      <c r="A380" s="63"/>
      <c r="B380" s="143"/>
      <c r="C380" s="192"/>
      <c r="D380" s="75"/>
      <c r="E380" s="184"/>
      <c r="F380" s="134"/>
      <c r="G380" s="134"/>
      <c r="H380" s="135"/>
      <c r="I380" s="152"/>
      <c r="J380" s="135"/>
      <c r="K380" s="136"/>
      <c r="L380" s="135"/>
      <c r="M380" s="137"/>
      <c r="N380" s="144"/>
      <c r="O380" s="130"/>
      <c r="P380" s="236"/>
      <c r="Q380" s="159"/>
      <c r="R380" s="159"/>
    </row>
    <row r="381" spans="1:22" s="72" customFormat="1" ht="14.25" x14ac:dyDescent="0.2">
      <c r="A381" s="63"/>
      <c r="B381" s="121" t="s">
        <v>217</v>
      </c>
      <c r="C381" s="64">
        <v>1</v>
      </c>
      <c r="D381" s="75" t="s">
        <v>75</v>
      </c>
      <c r="E381" s="184" t="s">
        <v>76</v>
      </c>
      <c r="F381" s="134"/>
      <c r="G381" s="134"/>
      <c r="H381" s="135"/>
      <c r="I381" s="152"/>
      <c r="J381" s="135"/>
      <c r="K381" s="136"/>
      <c r="L381" s="135"/>
      <c r="M381" s="137"/>
      <c r="N381" s="144"/>
      <c r="O381" s="130"/>
      <c r="P381" s="236"/>
      <c r="Q381" s="159"/>
      <c r="R381" s="159"/>
    </row>
    <row r="382" spans="1:22" s="72" customFormat="1" ht="14.25" x14ac:dyDescent="0.2">
      <c r="A382" s="63"/>
      <c r="B382" s="143" t="s">
        <v>74</v>
      </c>
      <c r="C382" s="64">
        <v>1</v>
      </c>
      <c r="D382" s="75" t="s">
        <v>75</v>
      </c>
      <c r="E382" s="184" t="s">
        <v>77</v>
      </c>
      <c r="F382" s="134"/>
      <c r="G382" s="134"/>
      <c r="H382" s="135"/>
      <c r="I382" s="152"/>
      <c r="J382" s="135"/>
      <c r="K382" s="136"/>
      <c r="L382" s="135"/>
      <c r="M382" s="137"/>
      <c r="N382" s="144"/>
      <c r="O382" s="130"/>
      <c r="P382" s="236"/>
      <c r="Q382" s="159"/>
      <c r="R382" s="159"/>
    </row>
    <row r="383" spans="1:22" s="72" customFormat="1" ht="14.25" x14ac:dyDescent="0.2">
      <c r="A383" s="63"/>
      <c r="B383" s="143"/>
      <c r="C383" s="64"/>
      <c r="D383" s="75"/>
      <c r="E383" s="184"/>
      <c r="F383" s="134"/>
      <c r="G383" s="134"/>
      <c r="H383" s="135"/>
      <c r="I383" s="152"/>
      <c r="J383" s="135"/>
      <c r="K383" s="136"/>
      <c r="L383" s="135"/>
      <c r="M383" s="137"/>
      <c r="N383" s="144"/>
      <c r="O383" s="130"/>
      <c r="P383" s="236"/>
      <c r="Q383" s="159"/>
      <c r="R383" s="159"/>
    </row>
    <row r="384" spans="1:22" s="72" customFormat="1" ht="19.5" customHeight="1" x14ac:dyDescent="0.2">
      <c r="A384" s="63"/>
      <c r="B384" s="175" t="s">
        <v>218</v>
      </c>
      <c r="C384" s="64">
        <v>1</v>
      </c>
      <c r="D384" s="75" t="s">
        <v>75</v>
      </c>
      <c r="E384" s="134">
        <v>2</v>
      </c>
      <c r="F384" s="134">
        <f>C384*E384</f>
        <v>2</v>
      </c>
      <c r="G384" s="134">
        <f>$H$11*E384</f>
        <v>104</v>
      </c>
      <c r="H384" s="135">
        <f>F384*$H$11</f>
        <v>104</v>
      </c>
      <c r="I384" s="152">
        <f>V384</f>
        <v>1642</v>
      </c>
      <c r="J384" s="135">
        <f>C384*I384</f>
        <v>1642</v>
      </c>
      <c r="K384" s="136">
        <f>SUM(H384,J384)</f>
        <v>1746</v>
      </c>
      <c r="L384" s="135">
        <f>K384/C384</f>
        <v>1746</v>
      </c>
      <c r="M384" s="137">
        <f>C384*L384</f>
        <v>1746</v>
      </c>
      <c r="N384" s="144">
        <v>0</v>
      </c>
      <c r="O384" s="130">
        <f>M384*N384</f>
        <v>0</v>
      </c>
      <c r="P384" s="587"/>
      <c r="Q384" s="159"/>
      <c r="R384" s="388">
        <v>1575</v>
      </c>
      <c r="S384" s="388">
        <v>15</v>
      </c>
      <c r="T384" s="388"/>
      <c r="U384" s="388">
        <v>52</v>
      </c>
      <c r="V384" s="389">
        <f>SUM(R384:U384)</f>
        <v>1642</v>
      </c>
    </row>
    <row r="385" spans="1:18" s="72" customFormat="1" ht="14.25" x14ac:dyDescent="0.2">
      <c r="A385" s="63"/>
      <c r="B385" s="143" t="s">
        <v>176</v>
      </c>
      <c r="C385" s="64"/>
      <c r="D385" s="75"/>
      <c r="E385" s="134"/>
      <c r="F385" s="134"/>
      <c r="G385" s="134"/>
      <c r="H385" s="135"/>
      <c r="I385" s="152"/>
      <c r="J385" s="135"/>
      <c r="K385" s="136"/>
      <c r="L385" s="135"/>
      <c r="M385" s="137"/>
      <c r="N385" s="144"/>
      <c r="O385" s="130"/>
      <c r="P385" s="236"/>
      <c r="Q385" s="159"/>
      <c r="R385" s="177"/>
    </row>
    <row r="386" spans="1:18" s="72" customFormat="1" ht="14.25" x14ac:dyDescent="0.2">
      <c r="A386" s="63"/>
      <c r="B386" s="316" t="s">
        <v>534</v>
      </c>
      <c r="C386" s="64">
        <v>1</v>
      </c>
      <c r="D386" s="75" t="s">
        <v>75</v>
      </c>
      <c r="E386" s="134">
        <v>1</v>
      </c>
      <c r="F386" s="134">
        <f>C386*E386</f>
        <v>1</v>
      </c>
      <c r="G386" s="134">
        <f>$H$11*E386</f>
        <v>52</v>
      </c>
      <c r="H386" s="135">
        <f>F386*$H$11</f>
        <v>52</v>
      </c>
      <c r="I386" s="229">
        <v>125</v>
      </c>
      <c r="J386" s="135">
        <f>C386*I386</f>
        <v>125</v>
      </c>
      <c r="K386" s="136">
        <f>SUM(H386,J386)</f>
        <v>177</v>
      </c>
      <c r="L386" s="135">
        <f>K386/C386</f>
        <v>177</v>
      </c>
      <c r="M386" s="137">
        <f>C386*L386</f>
        <v>177</v>
      </c>
      <c r="N386" s="144">
        <v>0</v>
      </c>
      <c r="O386" s="130">
        <f>M386*N386</f>
        <v>0</v>
      </c>
      <c r="P386" s="236"/>
      <c r="Q386" s="159"/>
      <c r="R386" s="159"/>
    </row>
    <row r="387" spans="1:18" s="72" customFormat="1" ht="6" customHeight="1" x14ac:dyDescent="0.2">
      <c r="A387" s="63"/>
      <c r="B387" s="143"/>
      <c r="C387" s="192"/>
      <c r="D387" s="75"/>
      <c r="E387" s="184"/>
      <c r="F387" s="134"/>
      <c r="G387" s="134"/>
      <c r="H387" s="135"/>
      <c r="I387" s="152"/>
      <c r="J387" s="135"/>
      <c r="K387" s="136"/>
      <c r="L387" s="135"/>
      <c r="M387" s="137"/>
      <c r="N387" s="144"/>
      <c r="O387" s="130"/>
      <c r="P387" s="236"/>
      <c r="Q387" s="159"/>
      <c r="R387" s="159"/>
    </row>
    <row r="388" spans="1:18" s="72" customFormat="1" ht="14.25" x14ac:dyDescent="0.2">
      <c r="A388" s="63"/>
      <c r="B388" s="121" t="s">
        <v>219</v>
      </c>
      <c r="C388" s="64">
        <v>1</v>
      </c>
      <c r="D388" s="75" t="s">
        <v>75</v>
      </c>
      <c r="E388" s="184" t="s">
        <v>76</v>
      </c>
      <c r="F388" s="134"/>
      <c r="G388" s="134"/>
      <c r="H388" s="135"/>
      <c r="I388" s="152"/>
      <c r="J388" s="135"/>
      <c r="K388" s="136"/>
      <c r="L388" s="135"/>
      <c r="M388" s="137"/>
      <c r="N388" s="144"/>
      <c r="O388" s="130"/>
      <c r="P388" s="236"/>
      <c r="Q388" s="159"/>
      <c r="R388" s="159"/>
    </row>
    <row r="389" spans="1:18" s="72" customFormat="1" ht="14.25" x14ac:dyDescent="0.2">
      <c r="A389" s="63"/>
      <c r="B389" s="143" t="s">
        <v>74</v>
      </c>
      <c r="C389" s="64">
        <v>1</v>
      </c>
      <c r="D389" s="75" t="s">
        <v>75</v>
      </c>
      <c r="E389" s="184" t="s">
        <v>77</v>
      </c>
      <c r="F389" s="134"/>
      <c r="G389" s="134"/>
      <c r="H389" s="135"/>
      <c r="I389" s="152"/>
      <c r="J389" s="135"/>
      <c r="K389" s="136"/>
      <c r="L389" s="135"/>
      <c r="M389" s="137"/>
      <c r="N389" s="144"/>
      <c r="O389" s="130"/>
      <c r="P389" s="236"/>
      <c r="Q389" s="159"/>
      <c r="R389" s="159"/>
    </row>
    <row r="390" spans="1:18" s="72" customFormat="1" ht="5.25" customHeight="1" x14ac:dyDescent="0.2">
      <c r="A390" s="63"/>
      <c r="B390" s="143"/>
      <c r="C390" s="64"/>
      <c r="D390" s="75"/>
      <c r="E390" s="184"/>
      <c r="F390" s="134"/>
      <c r="G390" s="134"/>
      <c r="H390" s="135"/>
      <c r="I390" s="152"/>
      <c r="J390" s="135"/>
      <c r="K390" s="136"/>
      <c r="L390" s="135"/>
      <c r="M390" s="137"/>
      <c r="N390" s="144"/>
      <c r="O390" s="130"/>
      <c r="P390" s="236"/>
      <c r="Q390" s="159"/>
      <c r="R390" s="159"/>
    </row>
    <row r="391" spans="1:18" s="72" customFormat="1" ht="14.25" x14ac:dyDescent="0.2">
      <c r="A391" s="63"/>
      <c r="B391" s="121" t="s">
        <v>220</v>
      </c>
      <c r="C391" s="64">
        <v>1</v>
      </c>
      <c r="D391" s="75" t="s">
        <v>75</v>
      </c>
      <c r="E391" s="184" t="s">
        <v>76</v>
      </c>
      <c r="F391" s="134"/>
      <c r="G391" s="134"/>
      <c r="H391" s="135"/>
      <c r="I391" s="152"/>
      <c r="J391" s="135"/>
      <c r="K391" s="136"/>
      <c r="L391" s="135"/>
      <c r="M391" s="137"/>
      <c r="N391" s="144"/>
      <c r="O391" s="130"/>
      <c r="P391" s="236"/>
      <c r="Q391" s="159"/>
      <c r="R391" s="159"/>
    </row>
    <row r="392" spans="1:18" s="72" customFormat="1" ht="14.25" x14ac:dyDescent="0.2">
      <c r="A392" s="63"/>
      <c r="B392" s="143" t="s">
        <v>74</v>
      </c>
      <c r="C392" s="64">
        <v>1</v>
      </c>
      <c r="D392" s="75" t="s">
        <v>75</v>
      </c>
      <c r="E392" s="184" t="s">
        <v>77</v>
      </c>
      <c r="F392" s="134"/>
      <c r="G392" s="134"/>
      <c r="H392" s="135"/>
      <c r="I392" s="152"/>
      <c r="J392" s="135"/>
      <c r="K392" s="136"/>
      <c r="L392" s="135"/>
      <c r="M392" s="137"/>
      <c r="N392" s="144"/>
      <c r="O392" s="130"/>
      <c r="P392" s="236"/>
      <c r="Q392" s="159"/>
      <c r="R392" s="159"/>
    </row>
    <row r="393" spans="1:18" s="72" customFormat="1" ht="14.25" x14ac:dyDescent="0.2">
      <c r="A393" s="63"/>
      <c r="B393" s="143"/>
      <c r="C393" s="192"/>
      <c r="D393" s="75"/>
      <c r="E393" s="184"/>
      <c r="F393" s="134"/>
      <c r="G393" s="134"/>
      <c r="H393" s="135"/>
      <c r="I393" s="152"/>
      <c r="J393" s="135"/>
      <c r="K393" s="136"/>
      <c r="L393" s="135"/>
      <c r="M393" s="137"/>
      <c r="N393" s="144"/>
      <c r="O393" s="130"/>
      <c r="P393" s="236"/>
      <c r="Q393" s="159"/>
      <c r="R393" s="159"/>
    </row>
    <row r="394" spans="1:18" s="72" customFormat="1" ht="14.25" x14ac:dyDescent="0.2">
      <c r="A394" s="63"/>
      <c r="B394" s="143" t="s">
        <v>733</v>
      </c>
      <c r="C394" s="555">
        <f>'WORKINGS_Ali L6'!AS2</f>
        <v>142.5</v>
      </c>
      <c r="D394" s="75" t="s">
        <v>116</v>
      </c>
      <c r="E394" s="134">
        <v>0.05</v>
      </c>
      <c r="F394" s="134">
        <f>C394*E394</f>
        <v>7.125</v>
      </c>
      <c r="G394" s="134">
        <f>$H$11*E394</f>
        <v>2.6</v>
      </c>
      <c r="H394" s="135">
        <f>F394*$H$11</f>
        <v>370.5</v>
      </c>
      <c r="I394" s="152">
        <v>2.1</v>
      </c>
      <c r="J394" s="135">
        <f>C394*I394</f>
        <v>299.25</v>
      </c>
      <c r="K394" s="136">
        <f>SUM(H394,J394)</f>
        <v>669.75</v>
      </c>
      <c r="L394" s="135">
        <f>K394/C394</f>
        <v>4.7</v>
      </c>
      <c r="M394" s="137">
        <f>C394*L394</f>
        <v>669.75</v>
      </c>
      <c r="N394" s="144">
        <v>0</v>
      </c>
      <c r="O394" s="130">
        <f>M394*N394</f>
        <v>0</v>
      </c>
      <c r="P394" s="236"/>
      <c r="Q394" s="159"/>
      <c r="R394" s="159"/>
    </row>
    <row r="395" spans="1:18" s="72" customFormat="1" ht="14.25" x14ac:dyDescent="0.2">
      <c r="A395" s="63"/>
      <c r="B395" s="143"/>
      <c r="C395" s="64"/>
      <c r="D395" s="75"/>
      <c r="E395" s="134"/>
      <c r="F395" s="134"/>
      <c r="G395" s="134"/>
      <c r="H395" s="135"/>
      <c r="I395" s="152"/>
      <c r="J395" s="135"/>
      <c r="K395" s="136"/>
      <c r="L395" s="135"/>
      <c r="M395" s="137"/>
      <c r="N395" s="144"/>
      <c r="O395" s="130"/>
      <c r="P395" s="236"/>
      <c r="Q395" s="159"/>
      <c r="R395" s="159"/>
    </row>
    <row r="396" spans="1:18" s="72" customFormat="1" ht="14.25" x14ac:dyDescent="0.2">
      <c r="A396" s="63"/>
      <c r="B396" s="175" t="s">
        <v>114</v>
      </c>
      <c r="C396" s="64">
        <v>217</v>
      </c>
      <c r="D396" s="75" t="s">
        <v>116</v>
      </c>
      <c r="E396" s="134">
        <v>0.2</v>
      </c>
      <c r="F396" s="134">
        <f>C396*E396</f>
        <v>43.400000000000006</v>
      </c>
      <c r="G396" s="134">
        <f>$H$11*E396</f>
        <v>10.4</v>
      </c>
      <c r="H396" s="135">
        <f>F396*$H$11</f>
        <v>2256.8000000000002</v>
      </c>
      <c r="I396" s="152">
        <v>5.7</v>
      </c>
      <c r="J396" s="135">
        <f>C396*I396</f>
        <v>1236.9000000000001</v>
      </c>
      <c r="K396" s="136">
        <f>SUM(H396,J396)</f>
        <v>3493.7000000000003</v>
      </c>
      <c r="L396" s="135">
        <f>K396/C396</f>
        <v>16.100000000000001</v>
      </c>
      <c r="M396" s="137">
        <f>C396*L396</f>
        <v>3493.7000000000003</v>
      </c>
      <c r="N396" s="144">
        <v>0</v>
      </c>
      <c r="O396" s="130">
        <f>M396*N396</f>
        <v>0</v>
      </c>
      <c r="P396" s="236"/>
      <c r="Q396" s="159"/>
      <c r="R396" s="159"/>
    </row>
    <row r="397" spans="1:18" s="72" customFormat="1" ht="25.5" x14ac:dyDescent="0.2">
      <c r="A397" s="63"/>
      <c r="B397" s="175" t="s">
        <v>832</v>
      </c>
      <c r="C397" s="64">
        <v>25</v>
      </c>
      <c r="D397" s="75" t="s">
        <v>116</v>
      </c>
      <c r="E397" s="134">
        <v>0.2</v>
      </c>
      <c r="F397" s="134">
        <f>C397*E397</f>
        <v>5</v>
      </c>
      <c r="G397" s="134">
        <f>$H$11*E397</f>
        <v>10.4</v>
      </c>
      <c r="H397" s="135">
        <f>F397*$H$11</f>
        <v>260</v>
      </c>
      <c r="I397" s="152">
        <v>14.9</v>
      </c>
      <c r="J397" s="135">
        <f>C397*I397</f>
        <v>372.5</v>
      </c>
      <c r="K397" s="136">
        <f>SUM(H397,J397)</f>
        <v>632.5</v>
      </c>
      <c r="L397" s="135">
        <f>K397/C397</f>
        <v>25.3</v>
      </c>
      <c r="M397" s="137">
        <f>C397*L397</f>
        <v>632.5</v>
      </c>
      <c r="N397" s="144">
        <v>0</v>
      </c>
      <c r="O397" s="130">
        <f>M397*N397</f>
        <v>0</v>
      </c>
      <c r="P397" s="236"/>
      <c r="Q397" s="159"/>
      <c r="R397" s="159"/>
    </row>
    <row r="398" spans="1:18" s="72" customFormat="1" ht="14.25" x14ac:dyDescent="0.2">
      <c r="A398" s="63"/>
      <c r="B398" s="175" t="s">
        <v>115</v>
      </c>
      <c r="C398" s="64">
        <v>5</v>
      </c>
      <c r="D398" s="75" t="s">
        <v>116</v>
      </c>
      <c r="E398" s="134">
        <v>0</v>
      </c>
      <c r="F398" s="134">
        <f>C398*E398</f>
        <v>0</v>
      </c>
      <c r="G398" s="134">
        <f>$H$11*E398</f>
        <v>0</v>
      </c>
      <c r="H398" s="135">
        <f>F398*$H$11</f>
        <v>0</v>
      </c>
      <c r="I398" s="152">
        <v>30</v>
      </c>
      <c r="J398" s="135">
        <f>C398*I398</f>
        <v>150</v>
      </c>
      <c r="K398" s="136">
        <f>SUM(H398,J398)</f>
        <v>150</v>
      </c>
      <c r="L398" s="135">
        <f>K398/C398</f>
        <v>30</v>
      </c>
      <c r="M398" s="137">
        <f>C398*L398</f>
        <v>150</v>
      </c>
      <c r="N398" s="144">
        <v>0</v>
      </c>
      <c r="O398" s="130">
        <f>M398*N398</f>
        <v>0</v>
      </c>
      <c r="P398" s="236"/>
      <c r="Q398" s="159"/>
      <c r="R398" s="159"/>
    </row>
    <row r="399" spans="1:18" s="72" customFormat="1" ht="14.25" x14ac:dyDescent="0.2">
      <c r="A399" s="63"/>
      <c r="B399" s="175"/>
      <c r="C399" s="64"/>
      <c r="D399" s="75"/>
      <c r="E399" s="134"/>
      <c r="F399" s="134"/>
      <c r="G399" s="134"/>
      <c r="H399" s="135"/>
      <c r="I399" s="152"/>
      <c r="J399" s="135"/>
      <c r="K399" s="136"/>
      <c r="L399" s="135"/>
      <c r="M399" s="137"/>
      <c r="N399" s="144"/>
      <c r="O399" s="130"/>
      <c r="P399" s="236"/>
      <c r="Q399" s="159"/>
      <c r="R399" s="159"/>
    </row>
    <row r="400" spans="1:18" s="72" customFormat="1" ht="14.25" x14ac:dyDescent="0.2">
      <c r="A400" s="63"/>
      <c r="B400" s="175" t="s">
        <v>326</v>
      </c>
      <c r="C400" s="64">
        <v>7</v>
      </c>
      <c r="D400" s="75" t="s">
        <v>148</v>
      </c>
      <c r="E400" s="134">
        <v>1.25</v>
      </c>
      <c r="F400" s="134">
        <f>C400*E400</f>
        <v>8.75</v>
      </c>
      <c r="G400" s="134">
        <f>$H$11*E400</f>
        <v>65</v>
      </c>
      <c r="H400" s="135">
        <f>F400*$H$11</f>
        <v>455</v>
      </c>
      <c r="I400" s="152">
        <v>205</v>
      </c>
      <c r="J400" s="135">
        <f>C400*I400</f>
        <v>1435</v>
      </c>
      <c r="K400" s="136">
        <f>SUM(H400,J400)</f>
        <v>1890</v>
      </c>
      <c r="L400" s="135">
        <f>K400/C400</f>
        <v>270</v>
      </c>
      <c r="M400" s="137">
        <f>C400*L400</f>
        <v>1890</v>
      </c>
      <c r="N400" s="144">
        <v>0</v>
      </c>
      <c r="O400" s="130">
        <f>M400*N400</f>
        <v>0</v>
      </c>
      <c r="P400" s="236"/>
      <c r="Q400" s="159"/>
      <c r="R400" s="159"/>
    </row>
    <row r="401" spans="1:22" s="72" customFormat="1" ht="14.25" x14ac:dyDescent="0.2">
      <c r="A401" s="63"/>
      <c r="B401" s="175"/>
      <c r="C401" s="64"/>
      <c r="D401" s="75"/>
      <c r="E401" s="134"/>
      <c r="F401" s="134"/>
      <c r="G401" s="134"/>
      <c r="H401" s="135"/>
      <c r="I401" s="152"/>
      <c r="J401" s="135"/>
      <c r="K401" s="136"/>
      <c r="L401" s="135"/>
      <c r="M401" s="137"/>
      <c r="N401" s="144"/>
      <c r="O401" s="130"/>
      <c r="P401" s="236"/>
      <c r="Q401" s="159"/>
      <c r="R401" s="159"/>
    </row>
    <row r="402" spans="1:22" s="72" customFormat="1" ht="14.25" x14ac:dyDescent="0.2">
      <c r="A402" s="225"/>
      <c r="B402" s="200" t="s">
        <v>325</v>
      </c>
      <c r="C402" s="201">
        <v>1</v>
      </c>
      <c r="D402" s="226" t="s">
        <v>75</v>
      </c>
      <c r="E402" s="227"/>
      <c r="F402" s="227">
        <f>C402*E402</f>
        <v>0</v>
      </c>
      <c r="G402" s="227">
        <f>$H$11*E402</f>
        <v>0</v>
      </c>
      <c r="H402" s="228">
        <f>F402*$H$11</f>
        <v>0</v>
      </c>
      <c r="I402" s="229">
        <f>'WORKINGS_Ali L6 (2)'!AX83</f>
        <v>51769.299319999998</v>
      </c>
      <c r="J402" s="228">
        <f>C402*I402</f>
        <v>51769.299319999998</v>
      </c>
      <c r="K402" s="230">
        <f>SUM(H402,J402)</f>
        <v>51769.299319999998</v>
      </c>
      <c r="L402" s="228">
        <f>K402/C402</f>
        <v>51769.299319999998</v>
      </c>
      <c r="M402" s="231">
        <f>C402*L402</f>
        <v>51769.299319999998</v>
      </c>
      <c r="N402" s="232">
        <v>0</v>
      </c>
      <c r="O402" s="233">
        <f>M402*N402</f>
        <v>0</v>
      </c>
      <c r="P402" s="236"/>
      <c r="Q402" s="159"/>
      <c r="R402" s="159"/>
    </row>
    <row r="403" spans="1:22" s="72" customFormat="1" ht="14.25" x14ac:dyDescent="0.2">
      <c r="A403" s="225"/>
      <c r="B403" s="200" t="s">
        <v>798</v>
      </c>
      <c r="C403" s="201">
        <v>1</v>
      </c>
      <c r="D403" s="226" t="s">
        <v>75</v>
      </c>
      <c r="E403" s="227"/>
      <c r="F403" s="227">
        <f>C403*E403</f>
        <v>0</v>
      </c>
      <c r="G403" s="227">
        <f>$H$11*E403</f>
        <v>0</v>
      </c>
      <c r="H403" s="228">
        <f>F403*$H$11</f>
        <v>0</v>
      </c>
      <c r="I403" s="390">
        <v>32270</v>
      </c>
      <c r="J403" s="228">
        <f>C403*I403</f>
        <v>32270</v>
      </c>
      <c r="K403" s="230">
        <f>SUM(H403,J403)</f>
        <v>32270</v>
      </c>
      <c r="L403" s="228">
        <f>K403/C403</f>
        <v>32270</v>
      </c>
      <c r="M403" s="231">
        <f>C403*L403</f>
        <v>32270</v>
      </c>
      <c r="N403" s="232">
        <v>0</v>
      </c>
      <c r="O403" s="233">
        <f>M403*N403</f>
        <v>0</v>
      </c>
      <c r="P403" s="236"/>
      <c r="Q403" s="159"/>
      <c r="R403" s="159"/>
    </row>
    <row r="404" spans="1:22" s="72" customFormat="1" ht="14.25" x14ac:dyDescent="0.2">
      <c r="A404" s="225"/>
      <c r="B404" s="200" t="s">
        <v>525</v>
      </c>
      <c r="C404" s="384" t="s">
        <v>523</v>
      </c>
      <c r="D404" s="226"/>
      <c r="E404" s="227"/>
      <c r="F404" s="227"/>
      <c r="G404" s="227"/>
      <c r="H404" s="228"/>
      <c r="I404" s="229"/>
      <c r="J404" s="228"/>
      <c r="K404" s="230"/>
      <c r="L404" s="228"/>
      <c r="M404" s="231"/>
      <c r="N404" s="232"/>
      <c r="O404" s="233"/>
      <c r="P404" s="236"/>
      <c r="Q404" s="159"/>
      <c r="R404" s="159"/>
    </row>
    <row r="405" spans="1:22" s="72" customFormat="1" ht="14.25" x14ac:dyDescent="0.2">
      <c r="A405" s="225"/>
      <c r="B405" s="200" t="s">
        <v>537</v>
      </c>
      <c r="C405" s="201">
        <v>18</v>
      </c>
      <c r="D405" s="226" t="s">
        <v>75</v>
      </c>
      <c r="E405" s="227">
        <v>0</v>
      </c>
      <c r="F405" s="227">
        <f>C405*E405</f>
        <v>0</v>
      </c>
      <c r="G405" s="227">
        <f>$H$11*E405</f>
        <v>0</v>
      </c>
      <c r="H405" s="228">
        <f>F405*$H$11</f>
        <v>0</v>
      </c>
      <c r="I405" s="229">
        <v>200</v>
      </c>
      <c r="J405" s="228">
        <f>C405*I405</f>
        <v>3600</v>
      </c>
      <c r="K405" s="230">
        <f>SUM(H405,J405)</f>
        <v>3600</v>
      </c>
      <c r="L405" s="228">
        <f>K405/C405</f>
        <v>200</v>
      </c>
      <c r="M405" s="231">
        <f>C405*L405</f>
        <v>3600</v>
      </c>
      <c r="N405" s="232">
        <v>0</v>
      </c>
      <c r="O405" s="233">
        <f>M405*N405</f>
        <v>0</v>
      </c>
      <c r="P405" s="236"/>
      <c r="Q405" s="159"/>
      <c r="R405" s="388">
        <v>3600</v>
      </c>
      <c r="S405" s="388"/>
      <c r="T405" s="388"/>
      <c r="U405" s="388"/>
      <c r="V405" s="389">
        <f>SUM(R405:U405)</f>
        <v>3600</v>
      </c>
    </row>
    <row r="406" spans="1:22" s="72" customFormat="1" ht="14.25" x14ac:dyDescent="0.2">
      <c r="A406" s="241"/>
      <c r="B406" s="242"/>
      <c r="C406" s="243"/>
      <c r="D406" s="244"/>
      <c r="E406" s="245"/>
      <c r="F406" s="245"/>
      <c r="G406" s="245"/>
      <c r="H406" s="246"/>
      <c r="I406" s="247"/>
      <c r="J406" s="246"/>
      <c r="K406" s="248"/>
      <c r="L406" s="246"/>
      <c r="M406" s="249"/>
      <c r="N406" s="250"/>
      <c r="O406" s="251"/>
      <c r="P406" s="236"/>
      <c r="Q406" s="159"/>
      <c r="R406" s="159"/>
    </row>
    <row r="407" spans="1:22" ht="23.25" customHeight="1" x14ac:dyDescent="0.2">
      <c r="A407" s="63"/>
      <c r="B407" s="132"/>
      <c r="C407" s="138"/>
      <c r="D407" s="142"/>
      <c r="E407" s="133"/>
      <c r="F407" s="134"/>
      <c r="G407" s="134"/>
      <c r="H407" s="135"/>
      <c r="I407" s="135"/>
      <c r="J407" s="135"/>
      <c r="K407" s="136"/>
      <c r="L407" s="135"/>
      <c r="M407" s="137"/>
      <c r="N407" s="131"/>
      <c r="O407" s="130"/>
      <c r="P407" s="236"/>
      <c r="Q407" s="60"/>
      <c r="R407" s="203"/>
    </row>
    <row r="408" spans="1:22" ht="24" customHeight="1" x14ac:dyDescent="0.2">
      <c r="A408" s="30"/>
      <c r="B408" s="31"/>
      <c r="C408" s="32"/>
      <c r="D408" s="33"/>
      <c r="E408" s="33"/>
      <c r="F408" s="33">
        <f>SUM(F13:F407)</f>
        <v>326.16499999999996</v>
      </c>
      <c r="G408" s="33"/>
      <c r="H408" s="86">
        <f>SUM(H13:H407)</f>
        <v>16960.580000000002</v>
      </c>
      <c r="I408" s="33"/>
      <c r="J408" s="78">
        <f>SUM(J13:J407)</f>
        <v>282675.09587899997</v>
      </c>
      <c r="K408" s="33"/>
      <c r="L408" s="33"/>
      <c r="M408" s="68"/>
      <c r="N408" s="94"/>
      <c r="O408" s="104"/>
      <c r="P408" s="236"/>
      <c r="Q408" s="60"/>
      <c r="R408" s="59"/>
    </row>
    <row r="409" spans="1:22" ht="15" customHeight="1" x14ac:dyDescent="0.2">
      <c r="A409" s="15"/>
      <c r="B409" s="28" t="s">
        <v>16</v>
      </c>
      <c r="C409" s="24"/>
      <c r="D409" s="25"/>
      <c r="E409" s="25"/>
      <c r="F409" s="25"/>
      <c r="G409" s="25"/>
      <c r="H409" s="25"/>
      <c r="I409" s="25"/>
      <c r="J409" s="25"/>
      <c r="K409" s="25"/>
      <c r="L409" s="25"/>
      <c r="M409" s="26">
        <f>SUM(M13:M407)</f>
        <v>299635.67587900005</v>
      </c>
      <c r="N409" s="100"/>
      <c r="O409" s="103">
        <f>SUM(O13:O407)</f>
        <v>0</v>
      </c>
      <c r="P409" s="236"/>
      <c r="Q409" s="60"/>
      <c r="R409" s="65"/>
    </row>
    <row r="410" spans="1:22" x14ac:dyDescent="0.2">
      <c r="A410" s="13"/>
      <c r="B410" s="35" t="s">
        <v>12</v>
      </c>
      <c r="C410" s="24"/>
      <c r="D410" s="36"/>
      <c r="E410" s="36"/>
      <c r="F410" s="36"/>
      <c r="G410" s="36"/>
      <c r="H410" s="36"/>
      <c r="I410" s="36"/>
      <c r="J410" s="36"/>
      <c r="K410" s="36"/>
      <c r="L410" s="36"/>
      <c r="M410" s="26"/>
      <c r="N410" s="100"/>
      <c r="O410" s="103"/>
      <c r="P410" s="236"/>
      <c r="Q410" s="60"/>
      <c r="R410" s="65"/>
    </row>
    <row r="411" spans="1:22" ht="24" customHeight="1" x14ac:dyDescent="0.2">
      <c r="A411" s="13"/>
      <c r="B411" s="37"/>
      <c r="C411" s="24"/>
      <c r="D411" s="36"/>
      <c r="E411" s="36"/>
      <c r="F411" s="36"/>
      <c r="G411" s="36"/>
      <c r="H411" s="36"/>
      <c r="I411" s="36"/>
      <c r="J411" s="36"/>
      <c r="K411" s="36"/>
      <c r="L411" s="36"/>
      <c r="M411" s="26"/>
      <c r="N411" s="100"/>
      <c r="O411" s="103"/>
      <c r="P411" s="237"/>
      <c r="Q411" s="60"/>
      <c r="R411" s="59"/>
    </row>
    <row r="412" spans="1:22" ht="18.75" customHeight="1" x14ac:dyDescent="0.2">
      <c r="A412" s="15"/>
      <c r="B412" s="13" t="s">
        <v>8</v>
      </c>
      <c r="C412" s="24"/>
      <c r="D412" s="36" t="s">
        <v>5</v>
      </c>
      <c r="E412" s="36"/>
      <c r="F412" s="36"/>
      <c r="G412" s="36"/>
      <c r="H412" s="36"/>
      <c r="I412" s="36"/>
      <c r="J412" s="36"/>
      <c r="K412" s="36"/>
      <c r="L412" s="609">
        <v>2.0500000000000001E-2</v>
      </c>
      <c r="M412" s="84">
        <f>M409*L412</f>
        <v>6142.5313555195016</v>
      </c>
      <c r="N412" s="100"/>
      <c r="O412" s="103">
        <f>(O409/M409)*M412</f>
        <v>0</v>
      </c>
      <c r="P412" s="237"/>
    </row>
    <row r="413" spans="1:22" ht="18.75" customHeight="1" x14ac:dyDescent="0.2">
      <c r="A413" s="38"/>
      <c r="B413" s="13"/>
      <c r="C413" s="24"/>
      <c r="D413" s="36"/>
      <c r="E413" s="36"/>
      <c r="F413" s="36"/>
      <c r="G413" s="36"/>
      <c r="H413" s="36"/>
      <c r="I413" s="36"/>
      <c r="J413" s="36"/>
      <c r="K413" s="36"/>
      <c r="L413" s="36"/>
      <c r="M413" s="26"/>
      <c r="N413" s="100"/>
      <c r="O413" s="103"/>
      <c r="P413" s="237"/>
    </row>
    <row r="414" spans="1:22" s="42" customFormat="1" x14ac:dyDescent="0.2">
      <c r="A414" s="15"/>
      <c r="B414" s="39" t="s">
        <v>9</v>
      </c>
      <c r="C414" s="40"/>
      <c r="D414" s="41" t="s">
        <v>5</v>
      </c>
      <c r="E414" s="41"/>
      <c r="F414" s="41"/>
      <c r="G414" s="41"/>
      <c r="H414" s="41"/>
      <c r="I414" s="41"/>
      <c r="J414" s="41"/>
      <c r="K414" s="41"/>
      <c r="L414" s="79">
        <v>0.01</v>
      </c>
      <c r="M414" s="34">
        <f>M409*L414</f>
        <v>2996.3567587900006</v>
      </c>
      <c r="N414" s="100"/>
      <c r="O414" s="103">
        <f>(O409/M409)*M414</f>
        <v>0</v>
      </c>
      <c r="P414" s="237"/>
    </row>
    <row r="415" spans="1:22" s="42" customFormat="1" x14ac:dyDescent="0.2">
      <c r="A415" s="15"/>
      <c r="B415" s="39"/>
      <c r="C415" s="40"/>
      <c r="D415" s="41"/>
      <c r="E415" s="41"/>
      <c r="F415" s="41"/>
      <c r="G415" s="41"/>
      <c r="H415" s="41"/>
      <c r="I415" s="41"/>
      <c r="J415" s="41"/>
      <c r="K415" s="41"/>
      <c r="L415" s="41"/>
      <c r="M415" s="34"/>
      <c r="N415" s="100"/>
      <c r="O415" s="103"/>
      <c r="P415" s="237"/>
    </row>
    <row r="416" spans="1:22" s="42" customFormat="1" x14ac:dyDescent="0.2">
      <c r="A416" s="15"/>
      <c r="B416" s="39" t="s">
        <v>10</v>
      </c>
      <c r="C416" s="40"/>
      <c r="D416" s="41" t="s">
        <v>5</v>
      </c>
      <c r="E416" s="41"/>
      <c r="F416" s="41"/>
      <c r="G416" s="41"/>
      <c r="H416" s="41"/>
      <c r="I416" s="41"/>
      <c r="J416" s="41"/>
      <c r="K416" s="41"/>
      <c r="L416" s="79">
        <v>2.5000000000000001E-3</v>
      </c>
      <c r="M416" s="34">
        <f>M409*L416</f>
        <v>749.08918969750016</v>
      </c>
      <c r="N416" s="100"/>
      <c r="O416" s="103">
        <f>(O409/M409)*M416</f>
        <v>0</v>
      </c>
      <c r="P416" s="237"/>
      <c r="Q416" s="546"/>
      <c r="R416" s="545" t="s">
        <v>803</v>
      </c>
      <c r="S416" s="545" t="s">
        <v>833</v>
      </c>
      <c r="T416" s="546"/>
    </row>
    <row r="417" spans="1:20" s="42" customFormat="1" ht="20.25" customHeight="1" x14ac:dyDescent="0.2">
      <c r="A417" s="15"/>
      <c r="B417" s="80"/>
      <c r="C417" s="81"/>
      <c r="D417" s="82"/>
      <c r="E417" s="82"/>
      <c r="F417" s="82"/>
      <c r="G417" s="82"/>
      <c r="H417" s="82"/>
      <c r="I417" s="82"/>
      <c r="J417" s="82"/>
      <c r="K417" s="82"/>
      <c r="L417" s="82"/>
      <c r="M417" s="85"/>
      <c r="N417" s="100"/>
      <c r="O417" s="103"/>
      <c r="P417" s="237"/>
      <c r="Q417" s="543" t="s">
        <v>802</v>
      </c>
      <c r="R417" s="42">
        <f>C133</f>
        <v>219</v>
      </c>
      <c r="S417" s="42">
        <f>C134</f>
        <v>32</v>
      </c>
    </row>
    <row r="418" spans="1:20" s="42" customFormat="1" ht="21.75" customHeight="1" x14ac:dyDescent="0.2">
      <c r="A418" s="29"/>
      <c r="B418" s="141" t="s">
        <v>42</v>
      </c>
      <c r="C418" s="81"/>
      <c r="D418" s="82" t="s">
        <v>5</v>
      </c>
      <c r="E418" s="82"/>
      <c r="F418" s="82"/>
      <c r="G418" s="82"/>
      <c r="H418" s="82"/>
      <c r="I418" s="82"/>
      <c r="J418" s="82"/>
      <c r="K418" s="82"/>
      <c r="L418" s="83">
        <f>M418/M409</f>
        <v>5.4506356729886879E-3</v>
      </c>
      <c r="M418" s="85">
        <f>J431</f>
        <v>1633.2049038461537</v>
      </c>
      <c r="N418" s="100"/>
      <c r="O418" s="103"/>
      <c r="P418" s="237"/>
      <c r="Q418" s="544" t="s">
        <v>279</v>
      </c>
      <c r="R418" s="42">
        <f>C244</f>
        <v>196</v>
      </c>
      <c r="S418" s="42">
        <f>C245</f>
        <v>23</v>
      </c>
    </row>
    <row r="419" spans="1:20" s="42" customFormat="1" ht="18" customHeight="1" x14ac:dyDescent="0.2">
      <c r="A419" s="29"/>
      <c r="B419" s="80"/>
      <c r="C419" s="81"/>
      <c r="D419" s="82"/>
      <c r="E419" s="82"/>
      <c r="F419" s="82"/>
      <c r="G419" s="82"/>
      <c r="H419" s="82"/>
      <c r="I419" s="82"/>
      <c r="J419" s="82"/>
      <c r="K419" s="82"/>
      <c r="L419" s="82"/>
      <c r="M419" s="85"/>
      <c r="N419" s="100"/>
      <c r="O419" s="103"/>
      <c r="P419" s="237"/>
      <c r="Q419" s="545" t="s">
        <v>280</v>
      </c>
      <c r="R419" s="546">
        <f>C396</f>
        <v>217</v>
      </c>
      <c r="S419" s="546">
        <f>C397</f>
        <v>25</v>
      </c>
      <c r="T419" s="546"/>
    </row>
    <row r="420" spans="1:20" s="42" customFormat="1" x14ac:dyDescent="0.2">
      <c r="A420" s="29"/>
      <c r="B420" s="80" t="s">
        <v>44</v>
      </c>
      <c r="C420" s="81"/>
      <c r="D420" s="82" t="s">
        <v>5</v>
      </c>
      <c r="E420" s="82"/>
      <c r="F420" s="82"/>
      <c r="G420" s="82"/>
      <c r="H420" s="82"/>
      <c r="I420" s="82"/>
      <c r="J420" s="82"/>
      <c r="K420" s="82"/>
      <c r="L420" s="83"/>
      <c r="M420" s="85"/>
      <c r="N420" s="100"/>
      <c r="O420" s="103">
        <f>M420*N420</f>
        <v>0</v>
      </c>
      <c r="P420" s="237"/>
      <c r="R420" s="42">
        <f>SUM(R417:R419)</f>
        <v>632</v>
      </c>
      <c r="S420" s="42">
        <f>SUM(S417:S419)</f>
        <v>80</v>
      </c>
    </row>
    <row r="421" spans="1:20" s="42" customFormat="1" x14ac:dyDescent="0.2">
      <c r="A421" s="15"/>
      <c r="B421" s="80"/>
      <c r="C421" s="81"/>
      <c r="D421" s="82"/>
      <c r="E421" s="82"/>
      <c r="F421" s="82"/>
      <c r="G421" s="82"/>
      <c r="H421" s="82"/>
      <c r="I421" s="82"/>
      <c r="J421" s="82"/>
      <c r="K421" s="82"/>
      <c r="L421" s="82"/>
      <c r="M421" s="34"/>
      <c r="N421" s="100"/>
      <c r="O421" s="105"/>
      <c r="P421" s="238"/>
    </row>
    <row r="422" spans="1:20" ht="18.75" customHeight="1" x14ac:dyDescent="0.2">
      <c r="A422" s="43"/>
      <c r="B422" s="44" t="s">
        <v>17</v>
      </c>
      <c r="C422" s="45"/>
      <c r="D422" s="46"/>
      <c r="E422" s="46"/>
      <c r="F422" s="46"/>
      <c r="G422" s="46"/>
      <c r="H422" s="46"/>
      <c r="I422" s="46"/>
      <c r="J422" s="46"/>
      <c r="K422" s="46"/>
      <c r="L422" s="46"/>
      <c r="M422" s="69">
        <f>SUM(M409:M421)</f>
        <v>311156.85808685317</v>
      </c>
      <c r="N422" s="101"/>
      <c r="O422" s="106">
        <f>SUM(O409:O421)</f>
        <v>0</v>
      </c>
      <c r="P422" s="239"/>
      <c r="Q422" s="42"/>
      <c r="R422" s="42"/>
    </row>
    <row r="423" spans="1:20" ht="16.5" customHeight="1" x14ac:dyDescent="0.2">
      <c r="A423" s="15"/>
      <c r="B423" s="19"/>
      <c r="C423" s="24"/>
      <c r="D423" s="36"/>
      <c r="E423" s="36"/>
      <c r="F423" s="36"/>
      <c r="G423" s="36"/>
      <c r="H423" s="36"/>
      <c r="I423" s="36"/>
      <c r="J423" s="36"/>
      <c r="K423" s="36"/>
      <c r="L423" s="36"/>
      <c r="M423" s="26"/>
      <c r="N423" s="95"/>
      <c r="O423" s="107"/>
      <c r="P423" s="238"/>
      <c r="Q423" s="42"/>
      <c r="R423" s="42"/>
    </row>
    <row r="424" spans="1:20" x14ac:dyDescent="0.2">
      <c r="A424" s="15"/>
      <c r="B424" s="19" t="s">
        <v>11</v>
      </c>
      <c r="C424" s="24"/>
      <c r="D424" s="36"/>
      <c r="E424" s="36"/>
      <c r="F424" s="36"/>
      <c r="G424" s="36"/>
      <c r="H424" s="36"/>
      <c r="I424" s="36"/>
      <c r="J424" s="36"/>
      <c r="K424" s="36"/>
      <c r="L424" s="79">
        <v>0.05</v>
      </c>
      <c r="M424" s="26">
        <f>M422*L424</f>
        <v>15557.842904342659</v>
      </c>
      <c r="N424" s="95"/>
      <c r="O424" s="107">
        <f>O422/M422*M424</f>
        <v>0</v>
      </c>
      <c r="P424" s="238"/>
      <c r="Q424" s="42"/>
      <c r="R424" s="42"/>
    </row>
    <row r="425" spans="1:20" x14ac:dyDescent="0.2">
      <c r="A425" s="47"/>
      <c r="B425" s="48"/>
      <c r="C425" s="49"/>
      <c r="D425" s="49"/>
      <c r="E425" s="49"/>
      <c r="F425" s="49"/>
      <c r="G425" s="49"/>
      <c r="H425" s="49"/>
      <c r="I425" s="49"/>
      <c r="J425" s="49"/>
      <c r="K425" s="49"/>
      <c r="L425" s="174"/>
      <c r="M425" s="70"/>
      <c r="N425" s="95"/>
      <c r="O425" s="107"/>
      <c r="P425" s="238"/>
      <c r="Q425" s="42"/>
      <c r="R425" s="42"/>
    </row>
    <row r="426" spans="1:20" ht="27.75" customHeight="1" x14ac:dyDescent="0.2">
      <c r="A426" s="50"/>
      <c r="B426" s="56" t="s">
        <v>241</v>
      </c>
      <c r="C426" s="51"/>
      <c r="D426" s="52"/>
      <c r="E426" s="52"/>
      <c r="F426" s="52"/>
      <c r="G426" s="52"/>
      <c r="H426" s="52"/>
      <c r="I426" s="52"/>
      <c r="J426" s="52"/>
      <c r="K426" s="52"/>
      <c r="L426" s="173"/>
      <c r="M426" s="71">
        <f>ROUNDUP(SUM(M422:M425),0)</f>
        <v>326715</v>
      </c>
      <c r="N426" s="151">
        <f>O426/M426</f>
        <v>0</v>
      </c>
      <c r="O426" s="109">
        <f>SUM(O422:O425)</f>
        <v>0</v>
      </c>
      <c r="P426" s="156"/>
      <c r="Q426" s="42"/>
      <c r="R426" s="42"/>
    </row>
    <row r="427" spans="1:20" ht="13.5" customHeight="1" x14ac:dyDescent="0.2">
      <c r="A427" s="161"/>
      <c r="B427" s="162"/>
      <c r="C427" s="163"/>
      <c r="D427" s="164"/>
      <c r="E427" s="164"/>
      <c r="F427" s="164"/>
      <c r="G427" s="72"/>
      <c r="H427" s="72"/>
      <c r="I427" s="72"/>
      <c r="J427" s="72"/>
      <c r="K427" s="164"/>
      <c r="L427" s="164"/>
      <c r="M427" s="165"/>
      <c r="N427" s="166">
        <f>SUM(L411:L421)</f>
        <v>3.8450635672988689E-2</v>
      </c>
      <c r="O427" s="240"/>
      <c r="P427" s="166">
        <f>L424</f>
        <v>0.05</v>
      </c>
      <c r="Q427" s="42"/>
      <c r="R427" s="42"/>
    </row>
    <row r="428" spans="1:20" ht="13.5" customHeight="1" x14ac:dyDescent="0.2">
      <c r="A428" s="161"/>
      <c r="B428" s="162"/>
      <c r="C428" s="420" t="s">
        <v>278</v>
      </c>
      <c r="D428" s="169" t="s">
        <v>279</v>
      </c>
      <c r="E428" s="169" t="s">
        <v>280</v>
      </c>
      <c r="F428" s="167"/>
      <c r="G428" s="410" t="s">
        <v>45</v>
      </c>
      <c r="H428" s="423"/>
      <c r="I428" s="411"/>
      <c r="J428" s="412"/>
      <c r="K428" s="633">
        <f>SUM(F15:F145)</f>
        <v>107.07750000000001</v>
      </c>
      <c r="L428" s="169" t="s">
        <v>328</v>
      </c>
      <c r="M428" s="165">
        <f>SUM(M15:M145)</f>
        <v>87144.177666000003</v>
      </c>
      <c r="N428" s="570">
        <f>M428*$N$427</f>
        <v>3350.749026457564</v>
      </c>
      <c r="O428" s="156">
        <f>SUM(M428:N428)</f>
        <v>90494.926692457564</v>
      </c>
      <c r="P428" s="544">
        <f>O428*$P$427</f>
        <v>4524.7463346228787</v>
      </c>
      <c r="Q428" s="565">
        <f>SUM(O428:P428)</f>
        <v>95019.67302708044</v>
      </c>
      <c r="R428" s="42"/>
    </row>
    <row r="429" spans="1:20" ht="13.5" customHeight="1" x14ac:dyDescent="0.2">
      <c r="A429" s="161"/>
      <c r="B429" s="162"/>
      <c r="C429" s="421">
        <f>'WORKINGS_Ali L4'!AU36</f>
        <v>5934.5999999999995</v>
      </c>
      <c r="D429" s="421">
        <f>'WORKINGS_Ali L5'!AO36</f>
        <v>4970.6999999999989</v>
      </c>
      <c r="E429" s="421">
        <f>'WORKINGS_Ali L6'!AW62</f>
        <v>9879.3000000000011</v>
      </c>
      <c r="F429" s="425">
        <f>H408</f>
        <v>16960.580000000002</v>
      </c>
      <c r="G429" s="413"/>
      <c r="H429" s="72"/>
      <c r="I429" s="414" t="s">
        <v>583</v>
      </c>
      <c r="J429" s="415"/>
      <c r="K429" s="647">
        <f>'WORKINGS_Ali L4 (2)'!AU43/55</f>
        <v>169.22181818181821</v>
      </c>
      <c r="L429" s="169"/>
      <c r="M429" s="165"/>
      <c r="N429" s="570"/>
      <c r="O429" s="156"/>
      <c r="P429" s="544"/>
      <c r="Q429" s="566"/>
      <c r="R429" s="42"/>
    </row>
    <row r="430" spans="1:20" ht="13.5" customHeight="1" x14ac:dyDescent="0.2">
      <c r="C430" s="422">
        <f>C429/$H$11</f>
        <v>114.12692307692306</v>
      </c>
      <c r="D430" s="422">
        <f>D429/$H$11</f>
        <v>95.590384615384593</v>
      </c>
      <c r="E430" s="422">
        <f>E429/$H$11</f>
        <v>189.98653846153849</v>
      </c>
      <c r="F430" s="422">
        <f>F429/$H$11</f>
        <v>326.16500000000002</v>
      </c>
      <c r="G430" s="413"/>
      <c r="H430" s="72"/>
      <c r="I430" s="416">
        <v>1</v>
      </c>
      <c r="J430" s="415"/>
      <c r="K430" s="648">
        <f>SUM(F148:F253)</f>
        <v>96.8125</v>
      </c>
      <c r="L430" s="169" t="s">
        <v>329</v>
      </c>
      <c r="M430" s="53">
        <f>SUM(M148:M253)</f>
        <v>73851.248892999996</v>
      </c>
      <c r="N430" s="570">
        <f>M430*$N$427</f>
        <v>2839.6274651799522</v>
      </c>
      <c r="O430" s="156">
        <f>SUM(M430:N430)</f>
        <v>76690.876358179943</v>
      </c>
      <c r="P430" s="544">
        <f>O430*$P$427</f>
        <v>3834.5438179089974</v>
      </c>
      <c r="Q430" s="219">
        <f>SUM(O430:P430)</f>
        <v>80525.420176088941</v>
      </c>
      <c r="R430" s="42"/>
    </row>
    <row r="431" spans="1:20" ht="13.5" customHeight="1" x14ac:dyDescent="0.2">
      <c r="C431" s="422">
        <f>C430/8</f>
        <v>14.265865384615383</v>
      </c>
      <c r="D431" s="422">
        <f>D430/8</f>
        <v>11.948798076923074</v>
      </c>
      <c r="E431" s="422">
        <f>E430/8</f>
        <v>23.748317307692311</v>
      </c>
      <c r="F431" s="168">
        <f>F430/8</f>
        <v>40.770625000000003</v>
      </c>
      <c r="G431" s="424">
        <f>SUM(C431:F431)</f>
        <v>90.733605769230763</v>
      </c>
      <c r="H431" s="426">
        <f>G431/I430</f>
        <v>90.733605769230763</v>
      </c>
      <c r="I431" s="61">
        <v>18</v>
      </c>
      <c r="J431" s="646">
        <f>H431*I431</f>
        <v>1633.2049038461537</v>
      </c>
      <c r="K431" s="647">
        <f>'WORKINGS_Ali L5 (2)'!AO43/55</f>
        <v>138.98181818181817</v>
      </c>
      <c r="L431" s="169"/>
      <c r="M431" s="53"/>
      <c r="N431" s="570"/>
      <c r="O431" s="156"/>
      <c r="P431" s="544"/>
      <c r="Q431" s="566"/>
      <c r="R431" s="42"/>
    </row>
    <row r="432" spans="1:20" x14ac:dyDescent="0.2">
      <c r="F432" s="168"/>
      <c r="G432" s="413"/>
      <c r="H432" s="72"/>
      <c r="I432" s="72"/>
      <c r="J432" s="415"/>
      <c r="K432" s="648">
        <f>SUM(F256:F405)</f>
        <v>122.27500000000001</v>
      </c>
      <c r="L432" s="169" t="s">
        <v>330</v>
      </c>
      <c r="M432" s="53">
        <f>SUM(M256:M405)</f>
        <v>138640.24932</v>
      </c>
      <c r="N432" s="570">
        <f>M432*$N$427</f>
        <v>5330.8057162156383</v>
      </c>
      <c r="O432" s="156">
        <f>SUM(M432:N432)</f>
        <v>143971.05503621564</v>
      </c>
      <c r="P432" s="544">
        <f>O432*$P$427</f>
        <v>7198.552751810782</v>
      </c>
      <c r="Q432" s="567">
        <f>SUM(O432:P432)</f>
        <v>151169.60778802642</v>
      </c>
      <c r="R432" s="42"/>
    </row>
    <row r="433" spans="2:18" x14ac:dyDescent="0.2">
      <c r="G433" s="417"/>
      <c r="H433" s="418"/>
      <c r="I433" s="418"/>
      <c r="J433" s="419"/>
      <c r="K433" s="649">
        <f>'WORKINGS_Ali L6 (2)'!AW71/55</f>
        <v>259.85454545454547</v>
      </c>
      <c r="L433" s="556"/>
      <c r="M433" s="557"/>
      <c r="N433" s="558"/>
      <c r="O433" s="559"/>
      <c r="P433" s="559"/>
      <c r="Q433" s="546"/>
      <c r="R433" s="42"/>
    </row>
    <row r="434" spans="2:18" x14ac:dyDescent="0.2">
      <c r="K434" s="648">
        <f>SUM(K428:K433)</f>
        <v>894.22318181818184</v>
      </c>
      <c r="L434" s="53">
        <f>SUM(L428:L433)</f>
        <v>0</v>
      </c>
      <c r="M434" s="53">
        <f>SUM(M428:M433)</f>
        <v>299635.67587899999</v>
      </c>
      <c r="N434" s="53"/>
      <c r="O434" s="53"/>
      <c r="P434" s="53"/>
      <c r="Q434" s="53">
        <f>SUM(Q428:Q433)</f>
        <v>326714.7009911958</v>
      </c>
      <c r="R434" s="42"/>
    </row>
    <row r="435" spans="2:18" ht="15" x14ac:dyDescent="0.25">
      <c r="B435" s="113" t="s">
        <v>30</v>
      </c>
      <c r="C435" s="114"/>
      <c r="D435" s="114"/>
      <c r="E435" s="114"/>
      <c r="F435" s="114"/>
      <c r="I435" s="113" t="s">
        <v>30</v>
      </c>
      <c r="J435" s="114"/>
      <c r="K435" s="114"/>
      <c r="L435" s="114"/>
      <c r="M435" s="114"/>
      <c r="O435" s="108"/>
      <c r="P435" s="108"/>
      <c r="Q435" s="42"/>
      <c r="R435" s="42"/>
    </row>
    <row r="436" spans="2:18" x14ac:dyDescent="0.2">
      <c r="B436" s="115" t="s">
        <v>43</v>
      </c>
      <c r="C436" s="116"/>
      <c r="D436" s="111"/>
      <c r="E436" s="111"/>
      <c r="F436" s="111"/>
      <c r="I436" s="115" t="s">
        <v>31</v>
      </c>
      <c r="J436" s="116"/>
      <c r="K436" s="111"/>
      <c r="L436" s="111"/>
      <c r="M436" s="111"/>
      <c r="O436" s="108"/>
      <c r="P436" s="108"/>
      <c r="Q436" s="42"/>
      <c r="R436" s="42"/>
    </row>
    <row r="437" spans="2:18" ht="15" x14ac:dyDescent="0.25">
      <c r="B437" s="115" t="s">
        <v>32</v>
      </c>
      <c r="C437" s="116" t="s">
        <v>33</v>
      </c>
      <c r="D437" s="111" t="s">
        <v>34</v>
      </c>
      <c r="E437" s="111" t="s">
        <v>35</v>
      </c>
      <c r="F437" s="114"/>
      <c r="I437" s="115" t="s">
        <v>32</v>
      </c>
      <c r="J437" s="116" t="s">
        <v>33</v>
      </c>
      <c r="K437" s="111" t="s">
        <v>34</v>
      </c>
      <c r="L437" s="111" t="s">
        <v>35</v>
      </c>
      <c r="M437" s="114"/>
      <c r="O437" s="108"/>
      <c r="P437" s="108"/>
      <c r="Q437" s="42"/>
      <c r="R437" s="42"/>
    </row>
    <row r="438" spans="2:18" x14ac:dyDescent="0.2">
      <c r="B438" s="117">
        <v>1</v>
      </c>
      <c r="C438" s="116">
        <v>55</v>
      </c>
      <c r="D438" s="111">
        <f>B438*C438</f>
        <v>55</v>
      </c>
      <c r="E438" s="111">
        <f>D438*F438</f>
        <v>110</v>
      </c>
      <c r="F438" s="118">
        <v>2</v>
      </c>
      <c r="I438" s="117">
        <v>4</v>
      </c>
      <c r="J438" s="116">
        <v>55</v>
      </c>
      <c r="K438" s="111">
        <f>I438*J438</f>
        <v>220</v>
      </c>
      <c r="L438" s="111">
        <f>K438*M438</f>
        <v>440</v>
      </c>
      <c r="M438" s="118">
        <v>2</v>
      </c>
      <c r="O438" s="108"/>
      <c r="P438" s="108"/>
      <c r="Q438" s="42"/>
      <c r="R438" s="42"/>
    </row>
    <row r="439" spans="2:18" x14ac:dyDescent="0.2">
      <c r="B439" s="115" t="s">
        <v>36</v>
      </c>
      <c r="C439" s="116"/>
      <c r="D439" s="111"/>
      <c r="E439" s="111" t="s">
        <v>37</v>
      </c>
      <c r="F439" s="111"/>
      <c r="I439" s="115" t="s">
        <v>36</v>
      </c>
      <c r="J439" s="116"/>
      <c r="K439" s="111"/>
      <c r="L439" s="111" t="s">
        <v>37</v>
      </c>
      <c r="M439" s="111"/>
      <c r="O439" s="108"/>
      <c r="P439" s="108"/>
      <c r="Q439" s="42"/>
      <c r="R439" s="42"/>
    </row>
    <row r="440" spans="2:18" ht="15" x14ac:dyDescent="0.25">
      <c r="B440" s="115">
        <v>0.7</v>
      </c>
      <c r="C440" s="119"/>
      <c r="D440" s="114"/>
      <c r="E440" s="111">
        <f>B440*C440</f>
        <v>0</v>
      </c>
      <c r="F440" s="111"/>
      <c r="I440" s="115">
        <v>0.7</v>
      </c>
      <c r="J440" s="119">
        <v>310</v>
      </c>
      <c r="K440" s="114"/>
      <c r="L440" s="111">
        <f>I440*J440</f>
        <v>217</v>
      </c>
      <c r="M440" s="111"/>
      <c r="O440" s="108"/>
      <c r="P440" s="108"/>
      <c r="Q440" s="42"/>
      <c r="R440" s="42"/>
    </row>
    <row r="441" spans="2:18" x14ac:dyDescent="0.2">
      <c r="B441" s="115" t="s">
        <v>38</v>
      </c>
      <c r="C441" s="116"/>
      <c r="D441" s="111"/>
      <c r="E441" s="111">
        <f>SUM(E438:E440)</f>
        <v>110</v>
      </c>
      <c r="F441" s="111"/>
      <c r="I441" s="115" t="s">
        <v>38</v>
      </c>
      <c r="J441" s="116"/>
      <c r="K441" s="111"/>
      <c r="L441" s="111">
        <f>SUM(L438:L440)</f>
        <v>657</v>
      </c>
      <c r="M441" s="111"/>
      <c r="O441" s="108"/>
      <c r="P441" s="108"/>
      <c r="Q441" s="42"/>
      <c r="R441" s="42"/>
    </row>
    <row r="442" spans="2:18" x14ac:dyDescent="0.2">
      <c r="B442" s="117">
        <v>2</v>
      </c>
      <c r="C442" s="116"/>
      <c r="D442" s="111"/>
      <c r="E442" s="111">
        <f>B442*E441</f>
        <v>220</v>
      </c>
      <c r="F442" s="111"/>
      <c r="I442" s="117">
        <v>1</v>
      </c>
      <c r="J442" s="116"/>
      <c r="K442" s="111"/>
      <c r="L442" s="111">
        <f>I442*L441</f>
        <v>657</v>
      </c>
      <c r="M442" s="111"/>
      <c r="O442" s="108"/>
      <c r="P442" s="108"/>
      <c r="Q442" s="42"/>
      <c r="R442" s="42"/>
    </row>
    <row r="443" spans="2:18" x14ac:dyDescent="0.2">
      <c r="B443" s="115" t="s">
        <v>39</v>
      </c>
      <c r="C443" s="116" t="s">
        <v>40</v>
      </c>
      <c r="D443" s="111"/>
      <c r="E443" s="111" t="s">
        <v>41</v>
      </c>
      <c r="F443" s="111"/>
      <c r="I443" s="115" t="s">
        <v>39</v>
      </c>
      <c r="J443" s="116" t="s">
        <v>40</v>
      </c>
      <c r="K443" s="111"/>
      <c r="L443" s="111" t="s">
        <v>41</v>
      </c>
      <c r="M443" s="111"/>
      <c r="R443" s="54"/>
    </row>
    <row r="444" spans="2:18" x14ac:dyDescent="0.2">
      <c r="B444" s="117"/>
      <c r="C444" s="119"/>
      <c r="D444" s="111">
        <f>B444*C444</f>
        <v>0</v>
      </c>
      <c r="E444" s="111">
        <f>D444*F438</f>
        <v>0</v>
      </c>
      <c r="F444" s="111"/>
      <c r="I444" s="117">
        <v>125</v>
      </c>
      <c r="J444" s="119">
        <v>4</v>
      </c>
      <c r="K444" s="111">
        <f>I444*J444</f>
        <v>500</v>
      </c>
      <c r="L444" s="111">
        <f>K444*M438</f>
        <v>1000</v>
      </c>
      <c r="M444" s="111"/>
    </row>
    <row r="445" spans="2:18" x14ac:dyDescent="0.2">
      <c r="B445" s="115"/>
      <c r="C445" s="116"/>
      <c r="D445" s="111"/>
      <c r="E445" s="112">
        <f>SUM(E442:E444)</f>
        <v>220</v>
      </c>
      <c r="F445" s="111"/>
      <c r="I445" s="115"/>
      <c r="J445" s="116"/>
      <c r="K445" s="111"/>
      <c r="L445" s="112">
        <f>SUM(L442:L444)</f>
        <v>1657</v>
      </c>
      <c r="M445" s="111"/>
    </row>
    <row r="449" spans="4:11" x14ac:dyDescent="0.2">
      <c r="D449" s="72" t="s">
        <v>45</v>
      </c>
      <c r="E449" s="14">
        <f>F408/8.5</f>
        <v>38.372352941176466</v>
      </c>
      <c r="F449" s="60">
        <f>E449*17.5</f>
        <v>671.51617647058811</v>
      </c>
      <c r="G449" s="72" t="s">
        <v>48</v>
      </c>
    </row>
    <row r="452" spans="4:11" x14ac:dyDescent="0.2">
      <c r="I452" s="72" t="s">
        <v>1031</v>
      </c>
    </row>
    <row r="453" spans="4:11" x14ac:dyDescent="0.2">
      <c r="H453" s="60">
        <v>12440</v>
      </c>
      <c r="I453" s="60">
        <v>1600</v>
      </c>
      <c r="J453" s="60">
        <f>H453-I453</f>
        <v>10840</v>
      </c>
    </row>
    <row r="454" spans="4:11" x14ac:dyDescent="0.2">
      <c r="H454" s="60">
        <v>11550</v>
      </c>
      <c r="I454" s="60">
        <v>1050</v>
      </c>
      <c r="J454" s="60">
        <f>H454-I454</f>
        <v>10500</v>
      </c>
    </row>
    <row r="455" spans="4:11" x14ac:dyDescent="0.2">
      <c r="G455" s="556"/>
      <c r="H455" s="682">
        <v>32270</v>
      </c>
      <c r="I455" s="682"/>
      <c r="J455" s="682">
        <f>H455-I455</f>
        <v>32270</v>
      </c>
      <c r="K455" s="556"/>
    </row>
    <row r="456" spans="4:11" x14ac:dyDescent="0.2">
      <c r="H456" s="60">
        <f>SUM(H453:H455)</f>
        <v>56260</v>
      </c>
      <c r="I456" s="60">
        <f>SUM(I453:I455)</f>
        <v>2650</v>
      </c>
      <c r="J456" s="60">
        <f>SUM(J453:J455)</f>
        <v>53610</v>
      </c>
    </row>
  </sheetData>
  <phoneticPr fontId="5" type="noConversion"/>
  <pageMargins left="0.70866141732283472" right="0.70866141732283472" top="0.74803149606299213" bottom="0.74803149606299213" header="0.31496062992125984" footer="0.31496062992125984"/>
  <pageSetup paperSize="9" scale="92" fitToHeight="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4949-CE01-47A0-9A12-FDBA05FD005B}">
  <dimension ref="A1:AX55"/>
  <sheetViews>
    <sheetView topLeftCell="X1" workbookViewId="0">
      <selection activeCell="AS30" sqref="AS30"/>
    </sheetView>
  </sheetViews>
  <sheetFormatPr defaultRowHeight="12.75" x14ac:dyDescent="0.2"/>
  <cols>
    <col min="5" max="7" width="9.140625" customWidth="1"/>
    <col min="8" max="8" width="16.85546875" customWidth="1"/>
    <col min="9" max="9" width="4" customWidth="1"/>
    <col min="10" max="10" width="16.7109375" customWidth="1"/>
    <col min="11" max="11" width="4.28515625" customWidth="1"/>
    <col min="12" max="12" width="17" customWidth="1"/>
    <col min="13" max="13" width="4" customWidth="1"/>
    <col min="14" max="14" width="16.85546875" customWidth="1"/>
    <col min="15" max="15" width="4.140625" customWidth="1"/>
    <col min="16" max="16" width="10" customWidth="1"/>
    <col min="17" max="17" width="4" customWidth="1"/>
    <col min="18" max="18" width="16" customWidth="1"/>
    <col min="19" max="19" width="4.28515625" customWidth="1"/>
    <col min="20" max="20" width="8.7109375" customWidth="1"/>
    <col min="21" max="21" width="4.28515625" customWidth="1"/>
    <col min="22" max="22" width="16.28515625" customWidth="1"/>
    <col min="23" max="23" width="4.42578125" customWidth="1"/>
    <col min="24" max="24" width="17.140625" customWidth="1"/>
    <col min="25" max="25" width="4.28515625" customWidth="1"/>
    <col min="26" max="26" width="17.140625" customWidth="1"/>
    <col min="27" max="27" width="3.7109375" customWidth="1"/>
    <col min="28" max="28" width="16" customWidth="1"/>
    <col min="29" max="29" width="3.42578125" customWidth="1"/>
    <col min="30" max="30" width="11.7109375" customWidth="1"/>
    <col min="31" max="31" width="3.42578125" customWidth="1"/>
    <col min="32" max="32" width="16.85546875" customWidth="1"/>
    <col min="33" max="33" width="3.140625" customWidth="1"/>
    <col min="34" max="34" width="16.85546875" customWidth="1"/>
    <col min="35" max="35" width="3.7109375" customWidth="1"/>
    <col min="36" max="36" width="16.85546875" customWidth="1"/>
    <col min="37" max="37" width="4.28515625" customWidth="1"/>
    <col min="38" max="38" width="16.140625" customWidth="1"/>
    <col min="39" max="39" width="3.7109375" customWidth="1"/>
    <col min="40" max="40" width="16.42578125" customWidth="1"/>
    <col min="41" max="41" width="4.28515625" customWidth="1"/>
    <col min="42" max="42" width="4.85546875" customWidth="1"/>
    <col min="43" max="44" width="9.140625" customWidth="1"/>
    <col min="45" max="45" width="11" customWidth="1"/>
    <col min="46" max="46" width="13.140625" customWidth="1"/>
    <col min="47" max="47" width="10.85546875" customWidth="1"/>
    <col min="48" max="48" width="10.140625" customWidth="1"/>
  </cols>
  <sheetData>
    <row r="1" spans="1:50" x14ac:dyDescent="0.2">
      <c r="C1" s="186" t="s">
        <v>328</v>
      </c>
      <c r="D1" s="271"/>
      <c r="E1" s="271"/>
    </row>
    <row r="2" spans="1:50" x14ac:dyDescent="0.2">
      <c r="F2" s="348"/>
      <c r="G2" s="348"/>
      <c r="H2" s="348">
        <v>7.1</v>
      </c>
      <c r="I2" s="348"/>
      <c r="J2" s="348">
        <v>7</v>
      </c>
      <c r="K2" s="348"/>
      <c r="L2" s="348">
        <v>7.1</v>
      </c>
      <c r="M2" s="348"/>
      <c r="N2" s="348">
        <v>6.25</v>
      </c>
      <c r="O2" s="348"/>
      <c r="P2" s="348"/>
      <c r="Q2" s="348"/>
      <c r="R2" s="348">
        <v>6.25</v>
      </c>
      <c r="S2" s="348"/>
      <c r="T2" s="348"/>
      <c r="U2" s="348"/>
      <c r="V2" s="348">
        <v>8.1</v>
      </c>
      <c r="W2" s="348"/>
      <c r="X2" s="348">
        <v>6.8</v>
      </c>
      <c r="Y2" s="348"/>
      <c r="Z2" s="348">
        <v>6.8</v>
      </c>
      <c r="AA2" s="348"/>
      <c r="AB2" s="348">
        <v>6.3</v>
      </c>
      <c r="AC2" s="348"/>
      <c r="AD2" s="348"/>
      <c r="AE2" s="348"/>
      <c r="AF2" s="348">
        <v>8.1</v>
      </c>
      <c r="AG2" s="348"/>
      <c r="AH2" s="348">
        <v>7.7</v>
      </c>
      <c r="AI2" s="348"/>
      <c r="AJ2" s="348">
        <v>6.5</v>
      </c>
      <c r="AK2" s="348"/>
      <c r="AL2" s="348">
        <v>6.6</v>
      </c>
      <c r="AM2" s="348"/>
      <c r="AN2" s="348">
        <v>6.95</v>
      </c>
      <c r="AO2" s="348"/>
      <c r="AQ2">
        <f>SUM(H2:AN2)</f>
        <v>97.55</v>
      </c>
      <c r="AU2" s="349">
        <v>12</v>
      </c>
    </row>
    <row r="3" spans="1:50" x14ac:dyDescent="0.2">
      <c r="C3" s="350"/>
      <c r="D3" s="351"/>
      <c r="E3" s="351"/>
      <c r="F3" s="352"/>
      <c r="G3" s="352"/>
      <c r="H3" s="352">
        <v>3.77</v>
      </c>
      <c r="I3" s="352"/>
      <c r="J3" s="352">
        <v>3.48</v>
      </c>
      <c r="K3" s="352"/>
      <c r="L3" s="352">
        <v>3.77</v>
      </c>
      <c r="M3" s="352"/>
      <c r="N3" s="352">
        <v>1.3049999999999999</v>
      </c>
      <c r="O3" s="352"/>
      <c r="P3" s="352"/>
      <c r="Q3" s="352"/>
      <c r="R3" s="352">
        <v>1.3049999999999999</v>
      </c>
      <c r="S3" s="352"/>
      <c r="T3" s="352"/>
      <c r="U3" s="352"/>
      <c r="V3" s="352">
        <v>6.67</v>
      </c>
      <c r="W3" s="352"/>
      <c r="X3" s="352">
        <v>2.9</v>
      </c>
      <c r="Y3" s="352"/>
      <c r="Z3" s="352">
        <v>2.9</v>
      </c>
      <c r="AA3" s="352"/>
      <c r="AB3" s="352">
        <v>1.45</v>
      </c>
      <c r="AC3" s="352"/>
      <c r="AD3" s="352"/>
      <c r="AE3" s="352"/>
      <c r="AF3" s="352">
        <v>6.67</v>
      </c>
      <c r="AG3" s="352"/>
      <c r="AH3" s="352">
        <v>5.51</v>
      </c>
      <c r="AI3" s="352"/>
      <c r="AJ3" s="352">
        <v>2.0299999999999998</v>
      </c>
      <c r="AK3" s="352"/>
      <c r="AL3" s="352">
        <v>2.3199999999999998</v>
      </c>
      <c r="AM3" s="352"/>
      <c r="AN3" s="352">
        <v>3.335</v>
      </c>
      <c r="AO3" s="352"/>
      <c r="AP3" s="351"/>
      <c r="AQ3" s="351">
        <f>SUM(H3:AP3)</f>
        <v>47.414999999999992</v>
      </c>
      <c r="AR3" s="351"/>
      <c r="AS3" s="351"/>
      <c r="AT3" s="351" t="s">
        <v>499</v>
      </c>
      <c r="AU3" s="351" t="s">
        <v>500</v>
      </c>
      <c r="AV3" s="351"/>
    </row>
    <row r="4" spans="1:50" ht="41.25" customHeight="1" x14ac:dyDescent="0.2">
      <c r="B4" s="353"/>
      <c r="C4" s="354"/>
      <c r="D4" s="354"/>
      <c r="E4" s="354"/>
      <c r="F4" s="355"/>
      <c r="G4" s="355"/>
      <c r="H4" s="356" t="s">
        <v>89</v>
      </c>
      <c r="I4" s="356"/>
      <c r="J4" s="383" t="s">
        <v>88</v>
      </c>
      <c r="K4" s="356"/>
      <c r="L4" s="383" t="s">
        <v>87</v>
      </c>
      <c r="M4" s="356"/>
      <c r="N4" s="383" t="s">
        <v>90</v>
      </c>
      <c r="O4" s="383"/>
      <c r="P4" s="393" t="s">
        <v>548</v>
      </c>
      <c r="Q4" s="356"/>
      <c r="R4" s="383" t="s">
        <v>92</v>
      </c>
      <c r="S4" s="356"/>
      <c r="T4" s="356" t="s">
        <v>549</v>
      </c>
      <c r="U4" s="356"/>
      <c r="V4" s="383" t="s">
        <v>95</v>
      </c>
      <c r="W4" s="356"/>
      <c r="X4" s="383" t="s">
        <v>97</v>
      </c>
      <c r="Y4" s="383"/>
      <c r="Z4" s="383" t="s">
        <v>98</v>
      </c>
      <c r="AA4" s="383"/>
      <c r="AB4" s="383" t="s">
        <v>101</v>
      </c>
      <c r="AC4" s="357"/>
      <c r="AD4" s="356" t="s">
        <v>550</v>
      </c>
      <c r="AE4" s="357"/>
      <c r="AF4" s="383" t="s">
        <v>103</v>
      </c>
      <c r="AG4" s="383"/>
      <c r="AH4" s="383" t="s">
        <v>104</v>
      </c>
      <c r="AI4" s="383"/>
      <c r="AJ4" s="383" t="s">
        <v>106</v>
      </c>
      <c r="AK4" s="383"/>
      <c r="AL4" s="383" t="s">
        <v>107</v>
      </c>
      <c r="AM4" s="383"/>
      <c r="AN4" s="383" t="s">
        <v>111</v>
      </c>
      <c r="AO4" s="383"/>
      <c r="AP4" s="358"/>
      <c r="AQ4" s="354" t="s">
        <v>501</v>
      </c>
      <c r="AR4" s="354"/>
      <c r="AS4" s="358" t="s">
        <v>502</v>
      </c>
      <c r="AT4" s="354"/>
      <c r="AU4" s="291"/>
      <c r="AV4" s="264"/>
    </row>
    <row r="5" spans="1:50" x14ac:dyDescent="0.2">
      <c r="C5" s="264"/>
      <c r="D5" s="264"/>
      <c r="E5" s="264"/>
      <c r="F5" s="359"/>
      <c r="G5" s="359"/>
      <c r="H5" s="359"/>
      <c r="I5" s="359"/>
      <c r="J5" s="359"/>
      <c r="K5" s="360"/>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2"/>
      <c r="AQ5" s="80"/>
      <c r="AR5" s="80"/>
      <c r="AS5" s="351" t="s">
        <v>844</v>
      </c>
      <c r="AT5" s="264"/>
      <c r="AU5" s="264"/>
      <c r="AV5" s="264"/>
      <c r="AX5" s="72" t="s">
        <v>631</v>
      </c>
    </row>
    <row r="6" spans="1:50" x14ac:dyDescent="0.2">
      <c r="C6" s="80"/>
      <c r="D6" s="80"/>
      <c r="E6" s="80"/>
      <c r="F6" s="361"/>
      <c r="G6" s="361"/>
      <c r="H6" s="361"/>
      <c r="I6" s="361"/>
      <c r="J6" s="361"/>
      <c r="K6" s="360"/>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2"/>
      <c r="AQ6" s="80"/>
      <c r="AR6" s="80"/>
      <c r="AS6" s="351"/>
      <c r="AT6" s="264"/>
      <c r="AU6" s="264"/>
      <c r="AV6" s="264"/>
      <c r="AX6">
        <v>1.04</v>
      </c>
    </row>
    <row r="7" spans="1:50" x14ac:dyDescent="0.2">
      <c r="C7" s="80" t="s">
        <v>518</v>
      </c>
      <c r="D7" s="363"/>
      <c r="E7" s="363"/>
      <c r="F7" s="361">
        <v>5.6</v>
      </c>
      <c r="G7" s="361"/>
      <c r="H7" s="360">
        <v>0.25</v>
      </c>
      <c r="I7" s="360"/>
      <c r="J7" s="360">
        <v>0.25</v>
      </c>
      <c r="K7" s="360"/>
      <c r="L7" s="360">
        <v>0.25</v>
      </c>
      <c r="M7" s="360"/>
      <c r="N7" s="360">
        <v>0.125</v>
      </c>
      <c r="O7" s="360"/>
      <c r="P7" s="360"/>
      <c r="Q7" s="360"/>
      <c r="R7" s="360">
        <v>0.125</v>
      </c>
      <c r="S7" s="360"/>
      <c r="T7" s="360"/>
      <c r="U7" s="360"/>
      <c r="V7" s="360">
        <v>0.5</v>
      </c>
      <c r="W7" s="360"/>
      <c r="X7" s="360">
        <v>0.25</v>
      </c>
      <c r="Y7" s="360"/>
      <c r="Z7" s="360">
        <v>0.25</v>
      </c>
      <c r="AA7" s="360"/>
      <c r="AB7" s="360">
        <v>0.125</v>
      </c>
      <c r="AC7" s="360"/>
      <c r="AD7" s="360"/>
      <c r="AE7" s="360"/>
      <c r="AF7" s="360">
        <v>0.5</v>
      </c>
      <c r="AG7" s="360"/>
      <c r="AH7" s="360">
        <v>0.5</v>
      </c>
      <c r="AI7" s="360"/>
      <c r="AJ7" s="360">
        <v>0.125</v>
      </c>
      <c r="AK7" s="360"/>
      <c r="AL7" s="360">
        <v>0.25</v>
      </c>
      <c r="AM7" s="360"/>
      <c r="AN7" s="360">
        <v>0.25</v>
      </c>
      <c r="AO7" s="361"/>
      <c r="AP7" s="364"/>
      <c r="AQ7" s="111">
        <f>SUM(G7:AO7)</f>
        <v>3.75</v>
      </c>
      <c r="AR7" s="111"/>
      <c r="AS7" s="365">
        <f>AX7</f>
        <v>75.275199999999998</v>
      </c>
      <c r="AT7" s="366">
        <f>AQ7*AS7</f>
        <v>282.28199999999998</v>
      </c>
      <c r="AU7" s="366">
        <f>F7*AQ7*$AU$2</f>
        <v>252</v>
      </c>
      <c r="AV7" s="395">
        <f>AQ7*F7</f>
        <v>21</v>
      </c>
      <c r="AW7" s="576">
        <v>72.38</v>
      </c>
      <c r="AX7" s="203">
        <f>AW7*$AX$6</f>
        <v>75.275199999999998</v>
      </c>
    </row>
    <row r="8" spans="1:50" x14ac:dyDescent="0.2">
      <c r="C8" s="80" t="s">
        <v>578</v>
      </c>
      <c r="D8" s="363"/>
      <c r="E8" s="363"/>
      <c r="F8" s="361">
        <v>5.6</v>
      </c>
      <c r="G8" s="361"/>
      <c r="H8" s="360">
        <v>0.25</v>
      </c>
      <c r="I8" s="360"/>
      <c r="J8" s="360">
        <v>0.25</v>
      </c>
      <c r="K8" s="360"/>
      <c r="L8" s="360">
        <v>0.25</v>
      </c>
      <c r="M8" s="360"/>
      <c r="N8" s="360">
        <v>0.125</v>
      </c>
      <c r="O8" s="360"/>
      <c r="P8" s="360"/>
      <c r="Q8" s="360"/>
      <c r="R8" s="360">
        <v>0.125</v>
      </c>
      <c r="S8" s="360"/>
      <c r="T8" s="360"/>
      <c r="U8" s="360"/>
      <c r="V8" s="360">
        <v>0.5</v>
      </c>
      <c r="W8" s="360"/>
      <c r="X8" s="360">
        <v>0.25</v>
      </c>
      <c r="Y8" s="360"/>
      <c r="Z8" s="360">
        <v>0.25</v>
      </c>
      <c r="AA8" s="360"/>
      <c r="AB8" s="360">
        <v>0.125</v>
      </c>
      <c r="AC8" s="360"/>
      <c r="AD8" s="360"/>
      <c r="AE8" s="360"/>
      <c r="AF8" s="360">
        <v>0.5</v>
      </c>
      <c r="AG8" s="360"/>
      <c r="AH8" s="360">
        <v>0.5</v>
      </c>
      <c r="AI8" s="360"/>
      <c r="AJ8" s="360">
        <v>0.125</v>
      </c>
      <c r="AK8" s="360"/>
      <c r="AL8" s="360">
        <v>0.25</v>
      </c>
      <c r="AM8" s="360"/>
      <c r="AN8" s="360">
        <v>0.25</v>
      </c>
      <c r="AO8" s="361"/>
      <c r="AP8" s="364"/>
      <c r="AQ8" s="111">
        <f>SUM(G8:AO8)</f>
        <v>3.75</v>
      </c>
      <c r="AR8" s="111"/>
      <c r="AS8" s="365">
        <f t="shared" ref="AS8:AS18" si="0">AX8</f>
        <v>79.736800000000002</v>
      </c>
      <c r="AT8" s="366">
        <f>AQ8*AS8</f>
        <v>299.01300000000003</v>
      </c>
      <c r="AU8" s="366">
        <f>F8*AQ8*$AU$2</f>
        <v>252</v>
      </c>
      <c r="AV8" s="395">
        <f t="shared" ref="AV8:AV18" si="1">AQ8*F8</f>
        <v>21</v>
      </c>
      <c r="AW8" s="576">
        <v>76.67</v>
      </c>
      <c r="AX8" s="203">
        <f t="shared" ref="AX8:AX18" si="2">AW8*$AX$6</f>
        <v>79.736800000000002</v>
      </c>
    </row>
    <row r="9" spans="1:50" x14ac:dyDescent="0.2">
      <c r="C9" s="80"/>
      <c r="D9" s="363"/>
      <c r="E9" s="363"/>
      <c r="F9" s="361"/>
      <c r="G9" s="361"/>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1"/>
      <c r="AP9" s="364"/>
      <c r="AQ9" s="111"/>
      <c r="AR9" s="111"/>
      <c r="AS9" s="365"/>
      <c r="AT9" s="366"/>
      <c r="AU9" s="366"/>
      <c r="AV9" s="395"/>
      <c r="AW9" s="576"/>
      <c r="AX9" s="203"/>
    </row>
    <row r="10" spans="1:50" x14ac:dyDescent="0.2">
      <c r="C10" s="80" t="s">
        <v>519</v>
      </c>
      <c r="D10" s="363"/>
      <c r="E10" s="363"/>
      <c r="F10" s="361">
        <v>5.6</v>
      </c>
      <c r="G10" s="361"/>
      <c r="H10" s="360">
        <v>2</v>
      </c>
      <c r="I10" s="360"/>
      <c r="J10" s="360">
        <v>2</v>
      </c>
      <c r="K10" s="360"/>
      <c r="L10" s="360">
        <v>2</v>
      </c>
      <c r="M10" s="360"/>
      <c r="N10" s="360">
        <v>2</v>
      </c>
      <c r="O10" s="360"/>
      <c r="P10" s="360"/>
      <c r="Q10" s="360"/>
      <c r="R10" s="360">
        <v>2</v>
      </c>
      <c r="S10" s="360"/>
      <c r="T10" s="360"/>
      <c r="U10" s="360"/>
      <c r="V10" s="573">
        <v>3</v>
      </c>
      <c r="W10" s="360"/>
      <c r="X10" s="360">
        <v>2</v>
      </c>
      <c r="Y10" s="360"/>
      <c r="Z10" s="360">
        <v>2</v>
      </c>
      <c r="AA10" s="360"/>
      <c r="AB10" s="360">
        <v>2</v>
      </c>
      <c r="AC10" s="360"/>
      <c r="AD10" s="360"/>
      <c r="AE10" s="360"/>
      <c r="AF10" s="360">
        <v>2</v>
      </c>
      <c r="AG10" s="360"/>
      <c r="AH10" s="573">
        <v>3</v>
      </c>
      <c r="AI10" s="360"/>
      <c r="AJ10" s="360">
        <v>2</v>
      </c>
      <c r="AK10" s="360"/>
      <c r="AL10" s="360">
        <v>2</v>
      </c>
      <c r="AM10" s="360"/>
      <c r="AN10" s="360">
        <v>2</v>
      </c>
      <c r="AO10" s="361"/>
      <c r="AP10" s="364"/>
      <c r="AQ10" s="111">
        <f>SUM(G10:AO10)</f>
        <v>30</v>
      </c>
      <c r="AR10" s="111"/>
      <c r="AS10" s="365">
        <f t="shared" si="0"/>
        <v>103.5112</v>
      </c>
      <c r="AT10" s="366">
        <f>AQ10*AS10</f>
        <v>3105.3360000000002</v>
      </c>
      <c r="AU10" s="366">
        <f>F10*AQ10*$AU$2</f>
        <v>2016</v>
      </c>
      <c r="AV10" s="395">
        <f t="shared" si="1"/>
        <v>168</v>
      </c>
      <c r="AW10" s="576">
        <v>99.53</v>
      </c>
      <c r="AX10" s="203">
        <f t="shared" si="2"/>
        <v>103.5112</v>
      </c>
    </row>
    <row r="11" spans="1:50" x14ac:dyDescent="0.2">
      <c r="C11" s="80" t="s">
        <v>520</v>
      </c>
      <c r="D11" s="363"/>
      <c r="E11" s="363"/>
      <c r="F11" s="361">
        <v>5.6</v>
      </c>
      <c r="G11" s="361"/>
      <c r="H11" s="360">
        <v>2</v>
      </c>
      <c r="I11" s="360"/>
      <c r="J11" s="360">
        <v>2</v>
      </c>
      <c r="K11" s="360"/>
      <c r="L11" s="360">
        <v>2</v>
      </c>
      <c r="M11" s="360"/>
      <c r="N11" s="360">
        <v>2</v>
      </c>
      <c r="O11" s="360"/>
      <c r="P11" s="360"/>
      <c r="Q11" s="360"/>
      <c r="R11" s="360">
        <v>2</v>
      </c>
      <c r="S11" s="360"/>
      <c r="T11" s="360"/>
      <c r="U11" s="360"/>
      <c r="V11" s="573">
        <v>3</v>
      </c>
      <c r="W11" s="360"/>
      <c r="X11" s="360">
        <v>2</v>
      </c>
      <c r="Y11" s="360"/>
      <c r="Z11" s="360">
        <v>2</v>
      </c>
      <c r="AA11" s="360"/>
      <c r="AB11" s="360">
        <v>2</v>
      </c>
      <c r="AC11" s="360"/>
      <c r="AD11" s="360"/>
      <c r="AE11" s="360"/>
      <c r="AF11" s="360">
        <v>2</v>
      </c>
      <c r="AG11" s="360"/>
      <c r="AH11" s="573">
        <v>3</v>
      </c>
      <c r="AI11" s="360"/>
      <c r="AJ11" s="360">
        <v>2</v>
      </c>
      <c r="AK11" s="360"/>
      <c r="AL11" s="360">
        <v>2</v>
      </c>
      <c r="AM11" s="360"/>
      <c r="AN11" s="360">
        <v>2</v>
      </c>
      <c r="AO11" s="361"/>
      <c r="AP11" s="364"/>
      <c r="AQ11" s="111">
        <f>SUM(G11:AO11)</f>
        <v>30</v>
      </c>
      <c r="AR11" s="111"/>
      <c r="AS11" s="365">
        <f t="shared" si="0"/>
        <v>83.345600000000005</v>
      </c>
      <c r="AT11" s="366">
        <f>AQ11*AS11</f>
        <v>2500.3679999999999</v>
      </c>
      <c r="AU11" s="366">
        <f>F11*AQ11*$AU$2</f>
        <v>2016</v>
      </c>
      <c r="AV11" s="395">
        <f t="shared" si="1"/>
        <v>168</v>
      </c>
      <c r="AW11" s="576">
        <v>80.14</v>
      </c>
      <c r="AX11" s="203">
        <f t="shared" si="2"/>
        <v>83.345600000000005</v>
      </c>
    </row>
    <row r="12" spans="1:50" x14ac:dyDescent="0.2">
      <c r="A12" s="72"/>
      <c r="C12" s="363"/>
      <c r="D12" s="363"/>
      <c r="E12" s="363"/>
      <c r="F12" s="361"/>
      <c r="G12" s="361"/>
      <c r="H12" s="361"/>
      <c r="I12" s="361"/>
      <c r="J12" s="361"/>
      <c r="K12" s="360"/>
      <c r="L12" s="361"/>
      <c r="M12" s="361"/>
      <c r="N12" s="361"/>
      <c r="O12" s="361"/>
      <c r="P12" s="361"/>
      <c r="Q12" s="361"/>
      <c r="R12" s="361"/>
      <c r="S12" s="361"/>
      <c r="T12" s="361"/>
      <c r="U12" s="361"/>
      <c r="V12" s="361"/>
      <c r="W12" s="361"/>
      <c r="X12" s="361"/>
      <c r="Y12" s="361"/>
      <c r="Z12" s="361"/>
      <c r="AA12" s="361"/>
      <c r="AB12" s="361"/>
      <c r="AC12" s="361"/>
      <c r="AD12" s="361"/>
      <c r="AE12" s="361"/>
      <c r="AF12" s="361"/>
      <c r="AG12" s="361"/>
      <c r="AH12" s="361"/>
      <c r="AI12" s="361"/>
      <c r="AJ12" s="361"/>
      <c r="AK12" s="361"/>
      <c r="AL12" s="361"/>
      <c r="AM12" s="361"/>
      <c r="AN12" s="361"/>
      <c r="AO12" s="361"/>
      <c r="AP12" s="367"/>
      <c r="AQ12" s="111"/>
      <c r="AR12" s="111"/>
      <c r="AS12" s="365"/>
      <c r="AT12" s="366"/>
      <c r="AU12" s="366"/>
      <c r="AV12" s="395"/>
      <c r="AW12" s="576"/>
      <c r="AX12" s="203"/>
    </row>
    <row r="13" spans="1:50" x14ac:dyDescent="0.2">
      <c r="A13" s="72"/>
      <c r="C13" s="363" t="s">
        <v>552</v>
      </c>
      <c r="D13" s="363"/>
      <c r="E13" s="363"/>
      <c r="F13" s="361">
        <v>5.6</v>
      </c>
      <c r="G13" s="361"/>
      <c r="H13" s="361"/>
      <c r="I13" s="361"/>
      <c r="J13" s="361"/>
      <c r="K13" s="360"/>
      <c r="L13" s="361"/>
      <c r="M13" s="361"/>
      <c r="N13" s="361"/>
      <c r="O13" s="361"/>
      <c r="P13" s="361">
        <v>2.5</v>
      </c>
      <c r="Q13" s="361"/>
      <c r="R13" s="361"/>
      <c r="S13" s="361"/>
      <c r="T13" s="361">
        <v>2.5</v>
      </c>
      <c r="U13" s="361"/>
      <c r="V13" s="361"/>
      <c r="W13" s="361"/>
      <c r="X13" s="361"/>
      <c r="Y13" s="361"/>
      <c r="Z13" s="361"/>
      <c r="AA13" s="361"/>
      <c r="AB13" s="361"/>
      <c r="AC13" s="361"/>
      <c r="AD13" s="361">
        <v>2.5</v>
      </c>
      <c r="AE13" s="361"/>
      <c r="AF13" s="361"/>
      <c r="AG13" s="361"/>
      <c r="AH13" s="361"/>
      <c r="AI13" s="361"/>
      <c r="AJ13" s="361"/>
      <c r="AK13" s="361"/>
      <c r="AL13" s="361"/>
      <c r="AM13" s="361"/>
      <c r="AN13" s="361"/>
      <c r="AO13" s="361"/>
      <c r="AP13" s="367"/>
      <c r="AQ13" s="111">
        <f>SUM(G13:AO13)</f>
        <v>7.5</v>
      </c>
      <c r="AR13" s="111"/>
      <c r="AS13" s="365">
        <f t="shared" si="0"/>
        <v>170.6328</v>
      </c>
      <c r="AT13" s="366">
        <f>AQ13*AS13</f>
        <v>1279.7460000000001</v>
      </c>
      <c r="AU13" s="366">
        <f>F13*AQ13*$AU$2</f>
        <v>504</v>
      </c>
      <c r="AV13" s="395">
        <f t="shared" si="1"/>
        <v>42</v>
      </c>
      <c r="AW13" s="576">
        <v>164.07</v>
      </c>
      <c r="AX13" s="203">
        <f t="shared" si="2"/>
        <v>170.6328</v>
      </c>
    </row>
    <row r="14" spans="1:50" x14ac:dyDescent="0.2">
      <c r="A14" s="72"/>
      <c r="C14" s="370" t="s">
        <v>553</v>
      </c>
      <c r="D14" s="370"/>
      <c r="E14" s="370"/>
      <c r="F14" s="359">
        <v>5.6</v>
      </c>
      <c r="G14" s="359"/>
      <c r="H14" s="571">
        <v>0.5</v>
      </c>
      <c r="I14" s="361"/>
      <c r="J14" s="571">
        <v>0.5</v>
      </c>
      <c r="K14" s="360"/>
      <c r="L14" s="571">
        <v>0.5</v>
      </c>
      <c r="M14" s="361"/>
      <c r="N14" s="571">
        <v>0.5</v>
      </c>
      <c r="O14" s="361"/>
      <c r="P14" s="361">
        <v>2.5</v>
      </c>
      <c r="Q14" s="361"/>
      <c r="R14" s="571">
        <v>0.5</v>
      </c>
      <c r="S14" s="361"/>
      <c r="T14" s="361">
        <v>2.5</v>
      </c>
      <c r="U14" s="361"/>
      <c r="V14" s="571">
        <v>0.5</v>
      </c>
      <c r="W14" s="361"/>
      <c r="X14" s="571">
        <v>0.5</v>
      </c>
      <c r="Y14" s="361"/>
      <c r="Z14" s="571">
        <v>0.5</v>
      </c>
      <c r="AA14" s="361"/>
      <c r="AB14" s="571">
        <v>0.5</v>
      </c>
      <c r="AC14" s="361"/>
      <c r="AD14" s="361">
        <v>2.5</v>
      </c>
      <c r="AE14" s="361"/>
      <c r="AF14" s="571">
        <v>0.5</v>
      </c>
      <c r="AG14" s="361"/>
      <c r="AH14" s="571">
        <v>0.5</v>
      </c>
      <c r="AI14" s="361"/>
      <c r="AJ14" s="571">
        <v>0.5</v>
      </c>
      <c r="AK14" s="361"/>
      <c r="AL14" s="571">
        <v>0.5</v>
      </c>
      <c r="AM14" s="361"/>
      <c r="AN14" s="571">
        <v>0.5</v>
      </c>
      <c r="AO14" s="361"/>
      <c r="AP14" s="367"/>
      <c r="AQ14" s="111">
        <f>SUM(G14:AO14)</f>
        <v>14.5</v>
      </c>
      <c r="AR14" s="111"/>
      <c r="AS14" s="365">
        <f t="shared" si="0"/>
        <v>21.32</v>
      </c>
      <c r="AT14" s="366">
        <f>AQ14*AS14</f>
        <v>309.14</v>
      </c>
      <c r="AU14" s="366">
        <f>F14*AQ14*$AU$2</f>
        <v>974.39999999999986</v>
      </c>
      <c r="AV14" s="395">
        <f t="shared" si="1"/>
        <v>81.199999999999989</v>
      </c>
      <c r="AW14" s="576">
        <v>20.5</v>
      </c>
      <c r="AX14" s="203">
        <f t="shared" si="2"/>
        <v>21.32</v>
      </c>
    </row>
    <row r="15" spans="1:50" x14ac:dyDescent="0.2">
      <c r="A15" s="72"/>
      <c r="C15" s="370"/>
      <c r="D15" s="370"/>
      <c r="E15" s="370"/>
      <c r="F15" s="359"/>
      <c r="G15" s="359"/>
      <c r="H15" s="571"/>
      <c r="I15" s="361"/>
      <c r="J15" s="571"/>
      <c r="K15" s="360"/>
      <c r="L15" s="571"/>
      <c r="M15" s="361"/>
      <c r="N15" s="571"/>
      <c r="O15" s="361"/>
      <c r="P15" s="361"/>
      <c r="Q15" s="361"/>
      <c r="R15" s="571"/>
      <c r="S15" s="361"/>
      <c r="T15" s="361"/>
      <c r="U15" s="361"/>
      <c r="V15" s="571"/>
      <c r="W15" s="361"/>
      <c r="X15" s="571"/>
      <c r="Y15" s="361"/>
      <c r="Z15" s="571"/>
      <c r="AA15" s="361"/>
      <c r="AB15" s="571"/>
      <c r="AC15" s="361"/>
      <c r="AD15" s="361"/>
      <c r="AE15" s="361"/>
      <c r="AF15" s="571"/>
      <c r="AG15" s="361"/>
      <c r="AH15" s="571"/>
      <c r="AI15" s="361"/>
      <c r="AJ15" s="571"/>
      <c r="AK15" s="361"/>
      <c r="AL15" s="571"/>
      <c r="AM15" s="361"/>
      <c r="AN15" s="571"/>
      <c r="AO15" s="361"/>
      <c r="AP15" s="367"/>
      <c r="AQ15" s="111"/>
      <c r="AR15" s="111"/>
      <c r="AS15" s="365"/>
      <c r="AT15" s="366"/>
      <c r="AU15" s="366"/>
      <c r="AV15" s="395"/>
      <c r="AW15" s="576"/>
      <c r="AX15" s="203"/>
    </row>
    <row r="16" spans="1:50" x14ac:dyDescent="0.2">
      <c r="A16" s="72"/>
      <c r="C16" s="574" t="s">
        <v>842</v>
      </c>
      <c r="D16" s="370"/>
      <c r="E16" s="370"/>
      <c r="F16" s="359">
        <v>5.6</v>
      </c>
      <c r="G16" s="359"/>
      <c r="H16" s="573">
        <v>1</v>
      </c>
      <c r="I16" s="361"/>
      <c r="J16" s="573">
        <v>1</v>
      </c>
      <c r="K16" s="360"/>
      <c r="L16" s="573">
        <v>1</v>
      </c>
      <c r="M16" s="361"/>
      <c r="N16" s="573">
        <v>1</v>
      </c>
      <c r="O16" s="361"/>
      <c r="P16" s="361"/>
      <c r="Q16" s="361"/>
      <c r="R16" s="573">
        <v>1</v>
      </c>
      <c r="S16" s="361"/>
      <c r="T16" s="361"/>
      <c r="U16" s="361"/>
      <c r="V16" s="573">
        <v>1</v>
      </c>
      <c r="W16" s="361"/>
      <c r="X16" s="573">
        <v>1</v>
      </c>
      <c r="Y16" s="361"/>
      <c r="Z16" s="573">
        <v>1</v>
      </c>
      <c r="AA16" s="361"/>
      <c r="AB16" s="573">
        <v>1</v>
      </c>
      <c r="AC16" s="361"/>
      <c r="AD16" s="361"/>
      <c r="AE16" s="361"/>
      <c r="AF16" s="573">
        <v>1</v>
      </c>
      <c r="AG16" s="361"/>
      <c r="AH16" s="573">
        <v>1</v>
      </c>
      <c r="AI16" s="361"/>
      <c r="AJ16" s="573">
        <v>1</v>
      </c>
      <c r="AK16" s="361"/>
      <c r="AL16" s="573">
        <v>1</v>
      </c>
      <c r="AM16" s="361"/>
      <c r="AN16" s="573">
        <v>1</v>
      </c>
      <c r="AO16" s="361"/>
      <c r="AP16" s="367"/>
      <c r="AQ16" s="111">
        <f>SUM(G16:AO16)</f>
        <v>14</v>
      </c>
      <c r="AR16" s="111"/>
      <c r="AS16" s="365">
        <f t="shared" si="0"/>
        <v>127.61839999999999</v>
      </c>
      <c r="AT16" s="366">
        <f>AQ16*AS16</f>
        <v>1786.6576</v>
      </c>
      <c r="AU16" s="366">
        <f>F16*AQ16*$AU$2</f>
        <v>940.8</v>
      </c>
      <c r="AV16" s="395">
        <f t="shared" si="1"/>
        <v>78.399999999999991</v>
      </c>
      <c r="AW16" s="576">
        <v>122.71</v>
      </c>
      <c r="AX16" s="203">
        <f t="shared" si="2"/>
        <v>127.61839999999999</v>
      </c>
    </row>
    <row r="17" spans="1:50" x14ac:dyDescent="0.2">
      <c r="A17" s="72"/>
      <c r="C17" s="574" t="s">
        <v>841</v>
      </c>
      <c r="D17" s="370"/>
      <c r="E17" s="370"/>
      <c r="F17" s="359">
        <v>5.6</v>
      </c>
      <c r="G17" s="359"/>
      <c r="H17" s="571">
        <v>1.25</v>
      </c>
      <c r="I17" s="361"/>
      <c r="J17" s="571">
        <v>1.25</v>
      </c>
      <c r="K17" s="360"/>
      <c r="L17" s="571">
        <v>1.25</v>
      </c>
      <c r="M17" s="361"/>
      <c r="N17" s="571">
        <v>1.25</v>
      </c>
      <c r="O17" s="361"/>
      <c r="P17" s="361"/>
      <c r="Q17" s="361"/>
      <c r="R17" s="571">
        <v>1.25</v>
      </c>
      <c r="S17" s="361"/>
      <c r="T17" s="361"/>
      <c r="U17" s="361"/>
      <c r="V17" s="571">
        <v>1.25</v>
      </c>
      <c r="W17" s="361"/>
      <c r="X17" s="571">
        <v>1.25</v>
      </c>
      <c r="Y17" s="361"/>
      <c r="Z17" s="571">
        <v>1.25</v>
      </c>
      <c r="AA17" s="361"/>
      <c r="AB17" s="571">
        <v>1.25</v>
      </c>
      <c r="AC17" s="361"/>
      <c r="AD17" s="361"/>
      <c r="AE17" s="361"/>
      <c r="AF17" s="571">
        <v>1.25</v>
      </c>
      <c r="AG17" s="361"/>
      <c r="AH17" s="571">
        <v>1.25</v>
      </c>
      <c r="AI17" s="361"/>
      <c r="AJ17" s="571">
        <v>1.25</v>
      </c>
      <c r="AK17" s="361"/>
      <c r="AL17" s="571">
        <v>1.25</v>
      </c>
      <c r="AM17" s="361"/>
      <c r="AN17" s="571">
        <v>1.25</v>
      </c>
      <c r="AO17" s="361"/>
      <c r="AP17" s="367"/>
      <c r="AQ17" s="111">
        <f>SUM(G17:AO17)</f>
        <v>17.5</v>
      </c>
      <c r="AR17" s="111"/>
      <c r="AS17" s="365">
        <f t="shared" si="0"/>
        <v>100.91120000000001</v>
      </c>
      <c r="AT17" s="366">
        <f>AQ17*AS17</f>
        <v>1765.9460000000001</v>
      </c>
      <c r="AU17" s="366">
        <f>F17*AQ17*$AU$2</f>
        <v>1176</v>
      </c>
      <c r="AV17" s="395">
        <f t="shared" si="1"/>
        <v>98</v>
      </c>
      <c r="AW17" s="576">
        <v>97.03</v>
      </c>
      <c r="AX17" s="203">
        <f t="shared" si="2"/>
        <v>100.91120000000001</v>
      </c>
    </row>
    <row r="18" spans="1:50" x14ac:dyDescent="0.2">
      <c r="A18" s="72"/>
      <c r="C18" s="574" t="s">
        <v>840</v>
      </c>
      <c r="D18" s="370"/>
      <c r="E18" s="370"/>
      <c r="F18" s="359">
        <v>5.6</v>
      </c>
      <c r="G18" s="359"/>
      <c r="H18" s="571">
        <v>1.25</v>
      </c>
      <c r="I18" s="361"/>
      <c r="J18" s="571">
        <v>1.25</v>
      </c>
      <c r="K18" s="360"/>
      <c r="L18" s="571">
        <v>1.25</v>
      </c>
      <c r="M18" s="361"/>
      <c r="N18" s="571">
        <v>1.25</v>
      </c>
      <c r="O18" s="361"/>
      <c r="P18" s="361"/>
      <c r="Q18" s="361"/>
      <c r="R18" s="571">
        <v>1.25</v>
      </c>
      <c r="S18" s="361"/>
      <c r="T18" s="361"/>
      <c r="U18" s="361"/>
      <c r="V18" s="571">
        <v>1.25</v>
      </c>
      <c r="W18" s="361"/>
      <c r="X18" s="571">
        <v>1.25</v>
      </c>
      <c r="Y18" s="361"/>
      <c r="Z18" s="571">
        <v>1.25</v>
      </c>
      <c r="AA18" s="361"/>
      <c r="AB18" s="571">
        <v>1.25</v>
      </c>
      <c r="AC18" s="361"/>
      <c r="AD18" s="361"/>
      <c r="AE18" s="361"/>
      <c r="AF18" s="571">
        <v>1.25</v>
      </c>
      <c r="AG18" s="361"/>
      <c r="AH18" s="571">
        <v>1.25</v>
      </c>
      <c r="AI18" s="361"/>
      <c r="AJ18" s="571">
        <v>1.25</v>
      </c>
      <c r="AK18" s="361"/>
      <c r="AL18" s="571">
        <v>1.25</v>
      </c>
      <c r="AM18" s="361"/>
      <c r="AN18" s="571">
        <v>1.25</v>
      </c>
      <c r="AO18" s="361"/>
      <c r="AP18" s="367"/>
      <c r="AQ18" s="111">
        <f>SUM(G18:AO18)</f>
        <v>17.5</v>
      </c>
      <c r="AR18" s="111"/>
      <c r="AS18" s="365">
        <f t="shared" si="0"/>
        <v>47.933600000000006</v>
      </c>
      <c r="AT18" s="366">
        <f>AQ18*AS18</f>
        <v>838.83800000000008</v>
      </c>
      <c r="AU18" s="366">
        <f>F18*AQ18*$AU$2</f>
        <v>1176</v>
      </c>
      <c r="AV18" s="395">
        <f t="shared" si="1"/>
        <v>98</v>
      </c>
      <c r="AW18" s="576">
        <v>46.09</v>
      </c>
      <c r="AX18" s="203">
        <f t="shared" si="2"/>
        <v>47.933600000000006</v>
      </c>
    </row>
    <row r="19" spans="1:50" x14ac:dyDescent="0.2">
      <c r="A19" s="72"/>
      <c r="C19" s="574"/>
      <c r="D19" s="370"/>
      <c r="E19" s="370"/>
      <c r="F19" s="359"/>
      <c r="G19" s="359"/>
      <c r="H19" s="361"/>
      <c r="I19" s="361"/>
      <c r="J19" s="361"/>
      <c r="K19" s="360"/>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67"/>
      <c r="AQ19" s="111"/>
      <c r="AR19" s="111"/>
      <c r="AS19" s="365"/>
      <c r="AT19" s="366"/>
      <c r="AU19" s="366"/>
      <c r="AV19" s="366"/>
      <c r="AW19" s="365"/>
      <c r="AX19" s="203"/>
    </row>
    <row r="20" spans="1:50" x14ac:dyDescent="0.2">
      <c r="A20" s="72"/>
      <c r="C20" s="574" t="s">
        <v>843</v>
      </c>
      <c r="D20" s="370"/>
      <c r="E20" s="370"/>
      <c r="F20" s="359"/>
      <c r="G20" s="359"/>
      <c r="H20" s="361"/>
      <c r="I20" s="361"/>
      <c r="J20" s="361"/>
      <c r="K20" s="360"/>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1"/>
      <c r="AK20" s="361"/>
      <c r="AL20" s="361"/>
      <c r="AM20" s="361"/>
      <c r="AN20" s="361"/>
      <c r="AO20" s="361"/>
      <c r="AP20" s="367"/>
      <c r="AQ20" s="111">
        <f>SUM(AV7:AV18)</f>
        <v>775.6</v>
      </c>
      <c r="AR20" s="111"/>
      <c r="AS20" s="365">
        <v>4.8</v>
      </c>
      <c r="AT20" s="366">
        <f>AQ20*AS20</f>
        <v>3722.88</v>
      </c>
      <c r="AU20" s="366"/>
      <c r="AV20" s="366"/>
      <c r="AW20" s="365"/>
      <c r="AX20" s="203"/>
    </row>
    <row r="21" spans="1:50" x14ac:dyDescent="0.2">
      <c r="A21" s="72"/>
      <c r="C21" s="370"/>
      <c r="D21" s="370"/>
      <c r="E21" s="370"/>
      <c r="F21" s="359"/>
      <c r="G21" s="359"/>
      <c r="H21" s="361"/>
      <c r="I21" s="361"/>
      <c r="J21" s="361"/>
      <c r="K21" s="360"/>
      <c r="L21" s="361"/>
      <c r="M21" s="361"/>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61"/>
      <c r="AK21" s="361"/>
      <c r="AL21" s="361"/>
      <c r="AM21" s="361"/>
      <c r="AN21" s="361"/>
      <c r="AO21" s="361"/>
      <c r="AP21" s="367"/>
      <c r="AQ21" s="111"/>
      <c r="AR21" s="111"/>
      <c r="AS21" s="365"/>
      <c r="AT21" s="366"/>
      <c r="AU21" s="366"/>
      <c r="AV21" s="366"/>
      <c r="AW21" s="365"/>
      <c r="AX21" s="203"/>
    </row>
    <row r="22" spans="1:50" x14ac:dyDescent="0.2">
      <c r="C22" s="370"/>
      <c r="D22" s="370"/>
      <c r="E22" s="370"/>
      <c r="F22" s="359"/>
      <c r="G22" s="359"/>
      <c r="H22" s="361"/>
      <c r="I22" s="361"/>
      <c r="J22" s="361"/>
      <c r="K22" s="360"/>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61"/>
      <c r="AK22" s="361"/>
      <c r="AL22" s="361"/>
      <c r="AM22" s="361"/>
      <c r="AN22" s="361"/>
      <c r="AO22" s="361"/>
      <c r="AP22" s="367"/>
      <c r="AQ22" s="111"/>
      <c r="AR22" s="111"/>
      <c r="AS22" s="365"/>
      <c r="AT22" s="366"/>
      <c r="AU22" s="366"/>
      <c r="AV22" s="359"/>
    </row>
    <row r="23" spans="1:50" x14ac:dyDescent="0.2">
      <c r="C23" s="363" t="s">
        <v>503</v>
      </c>
      <c r="D23" s="363"/>
      <c r="E23" s="363"/>
      <c r="F23" s="363"/>
      <c r="G23" s="363"/>
      <c r="H23" s="361"/>
      <c r="I23" s="361"/>
      <c r="J23" s="361"/>
      <c r="K23" s="360"/>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61"/>
      <c r="AK23" s="361"/>
      <c r="AL23" s="361"/>
      <c r="AM23" s="361"/>
      <c r="AN23" s="361"/>
      <c r="AO23" s="361"/>
      <c r="AP23" s="371"/>
      <c r="AQ23" s="369"/>
      <c r="AR23" s="369"/>
      <c r="AS23" s="372"/>
      <c r="AT23" s="373"/>
      <c r="AU23" s="373"/>
      <c r="AV23" s="359"/>
    </row>
    <row r="24" spans="1:50" x14ac:dyDescent="0.2">
      <c r="C24" s="363"/>
      <c r="D24" s="363"/>
      <c r="E24" s="363"/>
      <c r="F24" s="363"/>
      <c r="G24" s="363"/>
      <c r="H24" s="361"/>
      <c r="I24" s="361"/>
      <c r="J24" s="361"/>
      <c r="K24" s="360"/>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71"/>
      <c r="AQ24" s="369"/>
      <c r="AR24" s="369"/>
      <c r="AS24" s="372"/>
      <c r="AT24" s="373"/>
      <c r="AU24" s="373"/>
      <c r="AV24" s="359"/>
    </row>
    <row r="25" spans="1:50" x14ac:dyDescent="0.2">
      <c r="C25" s="80" t="s">
        <v>504</v>
      </c>
      <c r="D25" s="363"/>
      <c r="E25" s="363"/>
      <c r="F25" s="363"/>
      <c r="G25" s="363"/>
      <c r="H25" s="360">
        <v>4</v>
      </c>
      <c r="I25" s="361"/>
      <c r="J25" s="360">
        <v>4</v>
      </c>
      <c r="K25" s="360"/>
      <c r="L25" s="360">
        <v>4</v>
      </c>
      <c r="M25" s="361"/>
      <c r="N25" s="360">
        <v>4</v>
      </c>
      <c r="O25" s="361"/>
      <c r="P25" s="360">
        <v>4</v>
      </c>
      <c r="Q25" s="361"/>
      <c r="R25" s="360">
        <v>4</v>
      </c>
      <c r="S25" s="361"/>
      <c r="T25" s="360">
        <v>4</v>
      </c>
      <c r="U25" s="361"/>
      <c r="V25" s="360">
        <v>4</v>
      </c>
      <c r="W25" s="361"/>
      <c r="X25" s="360">
        <v>4</v>
      </c>
      <c r="Y25" s="361"/>
      <c r="Z25" s="360">
        <v>4</v>
      </c>
      <c r="AA25" s="361"/>
      <c r="AB25" s="360">
        <v>4</v>
      </c>
      <c r="AC25" s="361"/>
      <c r="AD25" s="360">
        <v>4</v>
      </c>
      <c r="AE25" s="361"/>
      <c r="AF25" s="360">
        <v>4</v>
      </c>
      <c r="AG25" s="361"/>
      <c r="AH25" s="360">
        <v>4</v>
      </c>
      <c r="AI25" s="361"/>
      <c r="AJ25" s="360">
        <v>4</v>
      </c>
      <c r="AK25" s="361"/>
      <c r="AL25" s="360">
        <v>4</v>
      </c>
      <c r="AM25" s="361"/>
      <c r="AN25" s="360">
        <v>4</v>
      </c>
      <c r="AO25" s="361"/>
      <c r="AP25" s="371"/>
      <c r="AQ25" s="374">
        <f>SUM(G25:AO25)</f>
        <v>68</v>
      </c>
      <c r="AR25" s="374"/>
      <c r="AS25" s="372">
        <v>20</v>
      </c>
      <c r="AT25" s="373">
        <f>AQ25*AS25</f>
        <v>1360</v>
      </c>
      <c r="AU25" s="373">
        <f>F25*AQ25*$AV$2</f>
        <v>0</v>
      </c>
      <c r="AV25" s="359"/>
    </row>
    <row r="26" spans="1:50" x14ac:dyDescent="0.2">
      <c r="C26" s="80"/>
      <c r="D26" s="363"/>
      <c r="E26" s="363"/>
      <c r="F26" s="363"/>
      <c r="G26" s="363"/>
      <c r="H26" s="361"/>
      <c r="I26" s="361"/>
      <c r="J26" s="361"/>
      <c r="K26" s="360"/>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71"/>
      <c r="AQ26" s="374"/>
      <c r="AR26" s="374"/>
      <c r="AS26" s="372"/>
      <c r="AT26" s="373"/>
      <c r="AU26" s="373"/>
      <c r="AV26" s="359"/>
    </row>
    <row r="27" spans="1:50" x14ac:dyDescent="0.2">
      <c r="C27" s="80" t="s">
        <v>505</v>
      </c>
      <c r="D27" s="363"/>
      <c r="E27" s="363"/>
      <c r="F27" s="363"/>
      <c r="G27" s="363"/>
      <c r="H27" s="361"/>
      <c r="I27" s="361"/>
      <c r="J27" s="361"/>
      <c r="K27" s="360"/>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71"/>
      <c r="AQ27" s="374"/>
      <c r="AR27" s="374"/>
      <c r="AS27" s="372">
        <v>82</v>
      </c>
      <c r="AT27" s="373">
        <f>AQ27*AS27</f>
        <v>0</v>
      </c>
      <c r="AU27" s="373">
        <f>F27*AQ27*$AV$2</f>
        <v>0</v>
      </c>
      <c r="AV27" s="359"/>
    </row>
    <row r="28" spans="1:50" x14ac:dyDescent="0.2">
      <c r="C28" s="80"/>
      <c r="D28" s="363"/>
      <c r="E28" s="363"/>
      <c r="F28" s="363"/>
      <c r="G28" s="363"/>
      <c r="H28" s="361"/>
      <c r="I28" s="361"/>
      <c r="J28" s="361"/>
      <c r="K28" s="360"/>
      <c r="L28" s="361"/>
      <c r="M28" s="361"/>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361"/>
      <c r="AP28" s="371"/>
      <c r="AQ28" s="374"/>
      <c r="AR28" s="374"/>
      <c r="AS28" s="372"/>
      <c r="AT28" s="373"/>
      <c r="AU28" s="373"/>
      <c r="AV28" s="359"/>
    </row>
    <row r="29" spans="1:50" x14ac:dyDescent="0.2">
      <c r="C29" s="80" t="s">
        <v>847</v>
      </c>
      <c r="D29" s="363"/>
      <c r="E29" s="363"/>
      <c r="F29" s="362"/>
      <c r="G29" s="362"/>
      <c r="H29" s="360">
        <v>6</v>
      </c>
      <c r="I29" s="361"/>
      <c r="J29" s="360">
        <v>6</v>
      </c>
      <c r="K29" s="360"/>
      <c r="L29" s="360">
        <v>6</v>
      </c>
      <c r="M29" s="361"/>
      <c r="N29" s="360">
        <v>6</v>
      </c>
      <c r="O29" s="361"/>
      <c r="P29" s="360">
        <v>6</v>
      </c>
      <c r="Q29" s="361"/>
      <c r="R29" s="360">
        <v>6</v>
      </c>
      <c r="S29" s="361"/>
      <c r="T29" s="360">
        <v>6</v>
      </c>
      <c r="U29" s="361"/>
      <c r="V29" s="360">
        <v>6</v>
      </c>
      <c r="W29" s="361"/>
      <c r="X29" s="360">
        <v>6</v>
      </c>
      <c r="Y29" s="361"/>
      <c r="Z29" s="360">
        <v>6</v>
      </c>
      <c r="AA29" s="361"/>
      <c r="AB29" s="360">
        <v>6</v>
      </c>
      <c r="AC29" s="361"/>
      <c r="AD29" s="360">
        <v>6</v>
      </c>
      <c r="AE29" s="361"/>
      <c r="AF29" s="360">
        <v>6</v>
      </c>
      <c r="AG29" s="361"/>
      <c r="AH29" s="360">
        <v>6</v>
      </c>
      <c r="AI29" s="361"/>
      <c r="AJ29" s="360">
        <v>6</v>
      </c>
      <c r="AK29" s="361"/>
      <c r="AL29" s="360">
        <v>6</v>
      </c>
      <c r="AM29" s="361"/>
      <c r="AN29" s="360">
        <v>6</v>
      </c>
      <c r="AO29" s="361"/>
      <c r="AP29" s="371"/>
      <c r="AQ29" s="374">
        <f>SUM(G29:AO29)</f>
        <v>102</v>
      </c>
      <c r="AR29" s="374" t="s">
        <v>507</v>
      </c>
      <c r="AS29" s="372">
        <v>5.6</v>
      </c>
      <c r="AT29" s="373">
        <f>AQ29*AS29</f>
        <v>571.19999999999993</v>
      </c>
      <c r="AU29" s="373"/>
      <c r="AV29" s="359"/>
    </row>
    <row r="30" spans="1:50" x14ac:dyDescent="0.2">
      <c r="C30" s="80"/>
      <c r="D30" s="363"/>
      <c r="E30" s="363"/>
      <c r="F30" s="362"/>
      <c r="G30" s="362"/>
      <c r="H30" s="361"/>
      <c r="I30" s="361"/>
      <c r="J30" s="361"/>
      <c r="K30" s="360"/>
      <c r="L30" s="361"/>
      <c r="M30" s="361"/>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61"/>
      <c r="AK30" s="361"/>
      <c r="AL30" s="361"/>
      <c r="AM30" s="361"/>
      <c r="AN30" s="361"/>
      <c r="AO30" s="361"/>
      <c r="AP30" s="371"/>
      <c r="AQ30" s="374"/>
      <c r="AR30" s="374"/>
      <c r="AS30" s="372"/>
      <c r="AT30" s="373"/>
      <c r="AU30" s="373"/>
      <c r="AV30" s="359"/>
    </row>
    <row r="31" spans="1:50" x14ac:dyDescent="0.2">
      <c r="C31" s="362" t="s">
        <v>508</v>
      </c>
      <c r="D31" s="362"/>
      <c r="E31" s="362"/>
      <c r="F31" s="362"/>
      <c r="G31" s="362"/>
      <c r="H31" s="361"/>
      <c r="I31" s="361"/>
      <c r="J31" s="361"/>
      <c r="K31" s="360"/>
      <c r="L31" s="361"/>
      <c r="M31" s="361"/>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361"/>
      <c r="AP31" s="375"/>
      <c r="AQ31" s="374">
        <f>SUM(G31:AO31)</f>
        <v>0</v>
      </c>
      <c r="AR31" s="374" t="s">
        <v>507</v>
      </c>
      <c r="AS31" s="372">
        <v>1.9</v>
      </c>
      <c r="AT31" s="373">
        <f>AQ31*AS31</f>
        <v>0</v>
      </c>
      <c r="AU31" s="362"/>
      <c r="AV31" s="351"/>
    </row>
    <row r="32" spans="1:50" x14ac:dyDescent="0.2">
      <c r="C32" s="362"/>
      <c r="D32" s="362"/>
      <c r="E32" s="362"/>
      <c r="F32" s="362"/>
      <c r="G32" s="362"/>
      <c r="H32" s="361"/>
      <c r="I32" s="361"/>
      <c r="J32" s="361"/>
      <c r="K32" s="360"/>
      <c r="L32" s="361"/>
      <c r="M32" s="361"/>
      <c r="N32" s="361"/>
      <c r="O32" s="361"/>
      <c r="P32" s="361"/>
      <c r="Q32" s="361"/>
      <c r="R32" s="361"/>
      <c r="S32" s="361"/>
      <c r="T32" s="361"/>
      <c r="U32" s="361"/>
      <c r="V32" s="361"/>
      <c r="W32" s="361"/>
      <c r="X32" s="361"/>
      <c r="Y32" s="361"/>
      <c r="Z32" s="361"/>
      <c r="AA32" s="361"/>
      <c r="AB32" s="361"/>
      <c r="AC32" s="361"/>
      <c r="AD32" s="361"/>
      <c r="AE32" s="361"/>
      <c r="AF32" s="361"/>
      <c r="AG32" s="361"/>
      <c r="AH32" s="361"/>
      <c r="AI32" s="361"/>
      <c r="AJ32" s="361"/>
      <c r="AK32" s="361"/>
      <c r="AL32" s="361"/>
      <c r="AM32" s="361"/>
      <c r="AN32" s="361"/>
      <c r="AO32" s="361"/>
      <c r="AP32" s="375"/>
      <c r="AQ32" s="374"/>
      <c r="AR32" s="374"/>
      <c r="AS32" s="362"/>
      <c r="AT32" s="373"/>
      <c r="AU32" s="362"/>
      <c r="AV32" s="351"/>
    </row>
    <row r="33" spans="2:48" x14ac:dyDescent="0.2">
      <c r="C33" s="351" t="s">
        <v>509</v>
      </c>
      <c r="D33" s="351"/>
      <c r="E33" s="351"/>
      <c r="F33" s="351"/>
      <c r="G33" s="351"/>
      <c r="H33" s="361"/>
      <c r="I33" s="361"/>
      <c r="J33" s="361"/>
      <c r="K33" s="360"/>
      <c r="L33" s="361"/>
      <c r="M33" s="361"/>
      <c r="N33" s="361"/>
      <c r="O33" s="361"/>
      <c r="P33" s="361"/>
      <c r="Q33" s="361"/>
      <c r="R33" s="361"/>
      <c r="S33" s="361"/>
      <c r="T33" s="361"/>
      <c r="U33" s="361"/>
      <c r="V33" s="361"/>
      <c r="W33" s="361"/>
      <c r="X33" s="361"/>
      <c r="Y33" s="361"/>
      <c r="Z33" s="361"/>
      <c r="AA33" s="361"/>
      <c r="AB33" s="361"/>
      <c r="AC33" s="361"/>
      <c r="AD33" s="361"/>
      <c r="AE33" s="361"/>
      <c r="AF33" s="361"/>
      <c r="AG33" s="361"/>
      <c r="AH33" s="361"/>
      <c r="AI33" s="361"/>
      <c r="AJ33" s="361"/>
      <c r="AK33" s="361"/>
      <c r="AL33" s="361"/>
      <c r="AM33" s="361"/>
      <c r="AN33" s="361"/>
      <c r="AO33" s="361"/>
      <c r="AP33" s="348"/>
      <c r="AQ33" s="118">
        <f>SUM(G33:AO33)</f>
        <v>0</v>
      </c>
      <c r="AR33" s="118"/>
      <c r="AS33" s="368">
        <v>150</v>
      </c>
      <c r="AT33" s="352"/>
      <c r="AU33" s="376">
        <f>AQ33*AS33</f>
        <v>0</v>
      </c>
      <c r="AV33" s="352"/>
    </row>
    <row r="34" spans="2:48" x14ac:dyDescent="0.2">
      <c r="C34" s="351"/>
      <c r="D34" s="351"/>
      <c r="E34" s="351"/>
      <c r="F34" s="351"/>
      <c r="G34" s="351"/>
      <c r="H34" s="361"/>
      <c r="I34" s="361"/>
      <c r="J34" s="361"/>
      <c r="K34" s="360"/>
      <c r="L34" s="361"/>
      <c r="M34" s="361"/>
      <c r="N34" s="361"/>
      <c r="O34" s="361"/>
      <c r="P34" s="361"/>
      <c r="Q34" s="361"/>
      <c r="R34" s="361"/>
      <c r="S34" s="361"/>
      <c r="T34" s="361"/>
      <c r="U34" s="361"/>
      <c r="V34" s="361"/>
      <c r="W34" s="361"/>
      <c r="X34" s="361"/>
      <c r="Y34" s="361"/>
      <c r="Z34" s="361"/>
      <c r="AA34" s="361"/>
      <c r="AB34" s="361"/>
      <c r="AC34" s="361"/>
      <c r="AD34" s="361"/>
      <c r="AE34" s="361"/>
      <c r="AF34" s="361"/>
      <c r="AG34" s="361"/>
      <c r="AH34" s="361"/>
      <c r="AI34" s="361"/>
      <c r="AJ34" s="361"/>
      <c r="AK34" s="361"/>
      <c r="AL34" s="361"/>
      <c r="AM34" s="361"/>
      <c r="AN34" s="361"/>
      <c r="AO34" s="361"/>
      <c r="AP34" s="348"/>
      <c r="AQ34" s="118"/>
      <c r="AR34" s="118"/>
      <c r="AS34" s="351"/>
      <c r="AT34" s="352"/>
      <c r="AU34" s="351"/>
      <c r="AV34" s="351"/>
    </row>
    <row r="35" spans="2:48" x14ac:dyDescent="0.2">
      <c r="C35" s="351" t="s">
        <v>510</v>
      </c>
      <c r="D35" s="351"/>
      <c r="E35" s="351"/>
      <c r="F35" s="351"/>
      <c r="G35" s="351"/>
      <c r="H35" s="361"/>
      <c r="I35" s="361"/>
      <c r="J35" s="361"/>
      <c r="K35" s="360"/>
      <c r="L35" s="361"/>
      <c r="M35" s="361"/>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52"/>
      <c r="AQ35" s="118">
        <f>SUM(G35:AO35)</f>
        <v>0</v>
      </c>
      <c r="AR35" s="118" t="s">
        <v>148</v>
      </c>
      <c r="AS35" s="368">
        <v>7.5</v>
      </c>
      <c r="AT35" s="376">
        <f>AQ35*AS35</f>
        <v>0</v>
      </c>
      <c r="AU35" s="351"/>
      <c r="AV35" s="351"/>
    </row>
    <row r="36" spans="2:48" x14ac:dyDescent="0.2">
      <c r="H36" s="361"/>
      <c r="I36" s="361"/>
      <c r="J36" s="361"/>
      <c r="K36" s="360"/>
      <c r="L36" s="361"/>
      <c r="M36" s="361"/>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1"/>
      <c r="AN36" s="361"/>
      <c r="AO36" s="361"/>
      <c r="AP36" s="348"/>
      <c r="AQ36" s="118"/>
      <c r="AR36" s="118"/>
      <c r="AT36" s="376"/>
    </row>
    <row r="37" spans="2:48" x14ac:dyDescent="0.2">
      <c r="C37" s="72" t="s">
        <v>511</v>
      </c>
      <c r="H37" s="367">
        <v>4</v>
      </c>
      <c r="I37" s="367"/>
      <c r="J37" s="367">
        <v>4</v>
      </c>
      <c r="L37" s="367">
        <v>4</v>
      </c>
      <c r="M37" s="367"/>
      <c r="N37" s="367">
        <v>4</v>
      </c>
      <c r="O37" s="367"/>
      <c r="P37" s="367"/>
      <c r="Q37" s="367"/>
      <c r="R37" s="367">
        <v>4</v>
      </c>
      <c r="S37" s="367"/>
      <c r="T37" s="367"/>
      <c r="U37" s="367"/>
      <c r="V37" s="367">
        <v>4</v>
      </c>
      <c r="W37" s="367"/>
      <c r="X37" s="367">
        <v>4</v>
      </c>
      <c r="Y37" s="367"/>
      <c r="Z37" s="367">
        <v>4</v>
      </c>
      <c r="AA37" s="367"/>
      <c r="AB37" s="367">
        <v>4</v>
      </c>
      <c r="AC37" s="367"/>
      <c r="AD37" s="367"/>
      <c r="AE37" s="367"/>
      <c r="AF37" s="367">
        <v>4</v>
      </c>
      <c r="AG37" s="367"/>
      <c r="AH37" s="367">
        <v>4</v>
      </c>
      <c r="AI37" s="367"/>
      <c r="AJ37" s="367">
        <v>4</v>
      </c>
      <c r="AK37" s="367"/>
      <c r="AL37" s="367">
        <v>4</v>
      </c>
      <c r="AM37" s="367"/>
      <c r="AN37" s="367">
        <v>4</v>
      </c>
      <c r="AO37" s="367"/>
      <c r="AP37" s="348"/>
      <c r="AQ37" s="118">
        <f>SUM(G37:AO37)</f>
        <v>56</v>
      </c>
      <c r="AR37" s="118" t="s">
        <v>148</v>
      </c>
      <c r="AS37" s="368">
        <v>10</v>
      </c>
      <c r="AT37" s="376">
        <f>AQ37*AS37</f>
        <v>560</v>
      </c>
    </row>
    <row r="38" spans="2:48" x14ac:dyDescent="0.2">
      <c r="AP38" s="348"/>
      <c r="AT38" s="348"/>
    </row>
    <row r="39" spans="2:48" x14ac:dyDescent="0.2">
      <c r="C39" s="72" t="s">
        <v>512</v>
      </c>
      <c r="E39" s="377" t="s">
        <v>513</v>
      </c>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c r="AT39" s="378"/>
      <c r="AU39" s="378"/>
      <c r="AV39" s="378"/>
    </row>
    <row r="40" spans="2:48" x14ac:dyDescent="0.2">
      <c r="AT40" s="348"/>
    </row>
    <row r="41" spans="2:48" x14ac:dyDescent="0.2">
      <c r="C41" s="72" t="s">
        <v>514</v>
      </c>
      <c r="AT41" s="349">
        <v>170</v>
      </c>
      <c r="AU41" s="376"/>
    </row>
    <row r="42" spans="2:48" x14ac:dyDescent="0.2">
      <c r="B42">
        <f>SUM(B5:B41)</f>
        <v>0</v>
      </c>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row>
    <row r="43" spans="2:48" x14ac:dyDescent="0.2">
      <c r="AT43" s="203">
        <f>SUM(AT5:AT42)</f>
        <v>18551.406600000002</v>
      </c>
      <c r="AU43" s="203">
        <f>SUM(AU5:AU42)</f>
        <v>9307.2000000000007</v>
      </c>
      <c r="AV43" s="203">
        <f>SUM(AT43:AU43)</f>
        <v>27858.606600000003</v>
      </c>
    </row>
    <row r="45" spans="2:48" x14ac:dyDescent="0.2">
      <c r="C45" s="72" t="s">
        <v>515</v>
      </c>
      <c r="AS45" s="379"/>
      <c r="AT45" s="203"/>
      <c r="AU45" s="380">
        <v>0.01</v>
      </c>
      <c r="AV45" s="203">
        <f>AV43*AU45</f>
        <v>278.58606600000002</v>
      </c>
    </row>
    <row r="47" spans="2:48" x14ac:dyDescent="0.2">
      <c r="C47" s="72" t="s">
        <v>516</v>
      </c>
      <c r="AT47" s="381"/>
      <c r="AU47" s="381"/>
      <c r="AV47" s="382">
        <f>AU47*20</f>
        <v>0</v>
      </c>
    </row>
    <row r="49" spans="3:49" x14ac:dyDescent="0.2">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72" t="s">
        <v>517</v>
      </c>
    </row>
    <row r="50" spans="3:49" x14ac:dyDescent="0.2">
      <c r="AV50" s="203">
        <f>SUM(AV43:AV49)</f>
        <v>28137.192666000003</v>
      </c>
    </row>
    <row r="52" spans="3:49" x14ac:dyDescent="0.2">
      <c r="C52" s="72" t="s">
        <v>11</v>
      </c>
      <c r="AU52" s="380">
        <v>0</v>
      </c>
      <c r="AV52" s="203">
        <f>AV50*AU52</f>
        <v>0</v>
      </c>
    </row>
    <row r="54" spans="3:49" x14ac:dyDescent="0.2">
      <c r="C54" s="216"/>
      <c r="D54" s="216"/>
      <c r="E54" s="216"/>
      <c r="F54" s="216"/>
      <c r="G54" s="216"/>
      <c r="H54" s="216"/>
      <c r="I54" s="216"/>
      <c r="J54" s="216"/>
      <c r="K54" s="216"/>
      <c r="L54" s="216"/>
      <c r="M54" s="216"/>
      <c r="N54" s="216"/>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row>
    <row r="55" spans="3:49" x14ac:dyDescent="0.2">
      <c r="AV55" s="54">
        <f>SUM(AV50:AV54)</f>
        <v>28137.192666000003</v>
      </c>
    </row>
  </sheetData>
  <pageMargins left="0.7" right="0.7" top="0.75" bottom="0.75" header="0.3" footer="0.3"/>
  <pageSetup paperSize="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0915-E515-45BF-B29D-0540C0EB968C}">
  <dimension ref="A1:AX48"/>
  <sheetViews>
    <sheetView topLeftCell="X1" workbookViewId="0">
      <selection activeCell="AS19" sqref="AS19"/>
    </sheetView>
  </sheetViews>
  <sheetFormatPr defaultRowHeight="12.75" x14ac:dyDescent="0.2"/>
  <cols>
    <col min="8" max="8" width="16.85546875" customWidth="1"/>
    <col min="9" max="9" width="4" customWidth="1"/>
    <col min="10" max="10" width="16.7109375" customWidth="1"/>
    <col min="11" max="11" width="4.28515625" customWidth="1"/>
    <col min="12" max="12" width="17" customWidth="1"/>
    <col min="13" max="13" width="4" customWidth="1"/>
    <col min="14" max="14" width="16.85546875" customWidth="1"/>
    <col min="15" max="15" width="4.140625" customWidth="1"/>
    <col min="16" max="16" width="10" customWidth="1"/>
    <col min="17" max="17" width="4" customWidth="1"/>
    <col min="18" max="18" width="16" customWidth="1"/>
    <col min="19" max="19" width="4.28515625" customWidth="1"/>
    <col min="20" max="20" width="8.7109375" customWidth="1"/>
    <col min="21" max="21" width="4.28515625" customWidth="1"/>
    <col min="22" max="22" width="16.28515625" customWidth="1"/>
    <col min="23" max="23" width="4.42578125" customWidth="1"/>
    <col min="24" max="24" width="17.140625" customWidth="1"/>
    <col min="25" max="25" width="4.28515625" customWidth="1"/>
    <col min="26" max="26" width="17.140625" customWidth="1"/>
    <col min="27" max="27" width="3.7109375" customWidth="1"/>
    <col min="28" max="28" width="16" customWidth="1"/>
    <col min="29" max="29" width="3.42578125" customWidth="1"/>
    <col min="30" max="30" width="11.7109375" customWidth="1"/>
    <col min="31" max="31" width="3.42578125" customWidth="1"/>
    <col min="32" max="32" width="16.85546875" customWidth="1"/>
    <col min="33" max="33" width="3.140625" customWidth="1"/>
    <col min="34" max="34" width="16.85546875" customWidth="1"/>
    <col min="35" max="35" width="3.7109375" customWidth="1"/>
    <col min="36" max="36" width="16.85546875" customWidth="1"/>
    <col min="37" max="37" width="4.28515625" customWidth="1"/>
    <col min="38" max="38" width="16.140625" customWidth="1"/>
    <col min="39" max="39" width="3.7109375" customWidth="1"/>
    <col min="40" max="40" width="16.42578125" customWidth="1"/>
    <col min="41" max="41" width="4.28515625" customWidth="1"/>
    <col min="42" max="42" width="4.85546875" customWidth="1"/>
    <col min="45" max="45" width="11" customWidth="1"/>
    <col min="46" max="46" width="13.140625" customWidth="1"/>
    <col min="47" max="47" width="10.85546875" customWidth="1"/>
    <col min="48" max="48" width="10.140625" bestFit="1" customWidth="1"/>
  </cols>
  <sheetData>
    <row r="1" spans="1:50" x14ac:dyDescent="0.2">
      <c r="C1" s="186" t="s">
        <v>328</v>
      </c>
      <c r="D1" s="271"/>
      <c r="E1" s="271"/>
    </row>
    <row r="2" spans="1:50" x14ac:dyDescent="0.2">
      <c r="F2" s="348"/>
      <c r="G2" s="348"/>
      <c r="H2" s="348">
        <v>7.1</v>
      </c>
      <c r="I2" s="348"/>
      <c r="J2" s="348">
        <v>7</v>
      </c>
      <c r="K2" s="348"/>
      <c r="L2" s="348">
        <v>7.1</v>
      </c>
      <c r="M2" s="348"/>
      <c r="N2" s="348">
        <v>6.25</v>
      </c>
      <c r="O2" s="348"/>
      <c r="P2" s="348"/>
      <c r="Q2" s="348"/>
      <c r="R2" s="348">
        <v>6.25</v>
      </c>
      <c r="S2" s="348"/>
      <c r="T2" s="348"/>
      <c r="U2" s="348"/>
      <c r="V2" s="348">
        <v>8.1</v>
      </c>
      <c r="W2" s="348"/>
      <c r="X2" s="348">
        <v>6.8</v>
      </c>
      <c r="Y2" s="348"/>
      <c r="Z2" s="348">
        <v>6.8</v>
      </c>
      <c r="AA2" s="348"/>
      <c r="AB2" s="348">
        <v>6.3</v>
      </c>
      <c r="AC2" s="348"/>
      <c r="AD2" s="348"/>
      <c r="AE2" s="348"/>
      <c r="AF2" s="348">
        <v>8.1</v>
      </c>
      <c r="AG2" s="348"/>
      <c r="AH2" s="348">
        <v>7.7</v>
      </c>
      <c r="AI2" s="348"/>
      <c r="AJ2" s="348">
        <v>6.5</v>
      </c>
      <c r="AK2" s="348"/>
      <c r="AL2" s="348">
        <v>6.6</v>
      </c>
      <c r="AM2" s="348"/>
      <c r="AN2" s="348">
        <v>6.95</v>
      </c>
      <c r="AO2" s="348"/>
      <c r="AQ2">
        <f>SUM(H2:AN2)</f>
        <v>97.55</v>
      </c>
      <c r="AU2" s="349">
        <v>13.5</v>
      </c>
    </row>
    <row r="3" spans="1:50" x14ac:dyDescent="0.2">
      <c r="C3" s="350"/>
      <c r="D3" s="351"/>
      <c r="E3" s="351"/>
      <c r="F3" s="352"/>
      <c r="G3" s="352"/>
      <c r="H3" s="352">
        <v>3.77</v>
      </c>
      <c r="I3" s="352"/>
      <c r="J3" s="352">
        <v>3.48</v>
      </c>
      <c r="K3" s="352"/>
      <c r="L3" s="352">
        <v>3.77</v>
      </c>
      <c r="M3" s="352"/>
      <c r="N3" s="352">
        <v>1.3049999999999999</v>
      </c>
      <c r="O3" s="352"/>
      <c r="P3" s="352"/>
      <c r="Q3" s="352"/>
      <c r="R3" s="352">
        <v>1.3049999999999999</v>
      </c>
      <c r="S3" s="352"/>
      <c r="T3" s="352"/>
      <c r="U3" s="352"/>
      <c r="V3" s="352">
        <v>6.67</v>
      </c>
      <c r="W3" s="352"/>
      <c r="X3" s="352">
        <v>2.9</v>
      </c>
      <c r="Y3" s="352"/>
      <c r="Z3" s="352">
        <v>2.9</v>
      </c>
      <c r="AA3" s="352"/>
      <c r="AB3" s="352">
        <v>1.45</v>
      </c>
      <c r="AC3" s="352"/>
      <c r="AD3" s="352"/>
      <c r="AE3" s="352"/>
      <c r="AF3" s="352">
        <v>6.67</v>
      </c>
      <c r="AG3" s="352"/>
      <c r="AH3" s="352">
        <v>5.51</v>
      </c>
      <c r="AI3" s="352"/>
      <c r="AJ3" s="352">
        <v>2.0299999999999998</v>
      </c>
      <c r="AK3" s="352"/>
      <c r="AL3" s="352">
        <v>2.3199999999999998</v>
      </c>
      <c r="AM3" s="352"/>
      <c r="AN3" s="352">
        <v>3.335</v>
      </c>
      <c r="AO3" s="352"/>
      <c r="AP3" s="351"/>
      <c r="AQ3" s="351">
        <f>SUM(H3:AP3)</f>
        <v>47.414999999999992</v>
      </c>
      <c r="AR3" s="351"/>
      <c r="AS3" s="351"/>
      <c r="AT3" s="351" t="s">
        <v>499</v>
      </c>
      <c r="AU3" s="351" t="s">
        <v>500</v>
      </c>
      <c r="AV3" s="351"/>
    </row>
    <row r="4" spans="1:50" ht="41.25" customHeight="1" x14ac:dyDescent="0.2">
      <c r="B4" s="353"/>
      <c r="C4" s="354"/>
      <c r="D4" s="354"/>
      <c r="E4" s="354"/>
      <c r="F4" s="355"/>
      <c r="G4" s="355"/>
      <c r="H4" s="356" t="s">
        <v>89</v>
      </c>
      <c r="I4" s="356"/>
      <c r="J4" s="383" t="s">
        <v>88</v>
      </c>
      <c r="K4" s="356"/>
      <c r="L4" s="383" t="s">
        <v>87</v>
      </c>
      <c r="M4" s="356"/>
      <c r="N4" s="383" t="s">
        <v>90</v>
      </c>
      <c r="O4" s="383"/>
      <c r="P4" s="393" t="s">
        <v>548</v>
      </c>
      <c r="Q4" s="356"/>
      <c r="R4" s="383" t="s">
        <v>92</v>
      </c>
      <c r="S4" s="356"/>
      <c r="T4" s="356" t="s">
        <v>549</v>
      </c>
      <c r="U4" s="356"/>
      <c r="V4" s="383" t="s">
        <v>95</v>
      </c>
      <c r="W4" s="356"/>
      <c r="X4" s="383" t="s">
        <v>97</v>
      </c>
      <c r="Y4" s="383"/>
      <c r="Z4" s="383" t="s">
        <v>98</v>
      </c>
      <c r="AA4" s="383"/>
      <c r="AB4" s="383" t="s">
        <v>101</v>
      </c>
      <c r="AC4" s="357"/>
      <c r="AD4" s="356" t="s">
        <v>550</v>
      </c>
      <c r="AE4" s="357"/>
      <c r="AF4" s="383" t="s">
        <v>103</v>
      </c>
      <c r="AG4" s="383"/>
      <c r="AH4" s="383" t="s">
        <v>104</v>
      </c>
      <c r="AI4" s="383"/>
      <c r="AJ4" s="383" t="s">
        <v>106</v>
      </c>
      <c r="AK4" s="383"/>
      <c r="AL4" s="383" t="s">
        <v>107</v>
      </c>
      <c r="AM4" s="383"/>
      <c r="AN4" s="383" t="s">
        <v>111</v>
      </c>
      <c r="AO4" s="383"/>
      <c r="AP4" s="358"/>
      <c r="AQ4" s="354" t="s">
        <v>501</v>
      </c>
      <c r="AR4" s="354"/>
      <c r="AS4" s="358" t="s">
        <v>502</v>
      </c>
      <c r="AT4" s="354"/>
      <c r="AU4" s="291"/>
      <c r="AV4" s="264"/>
    </row>
    <row r="5" spans="1:50" x14ac:dyDescent="0.2">
      <c r="C5" s="264"/>
      <c r="D5" s="264"/>
      <c r="E5" s="264"/>
      <c r="F5" s="359"/>
      <c r="G5" s="359"/>
      <c r="H5" s="359"/>
      <c r="I5" s="359"/>
      <c r="J5" s="359"/>
      <c r="K5" s="360"/>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2"/>
      <c r="AQ5" s="80"/>
      <c r="AR5" s="80"/>
      <c r="AS5" s="351"/>
      <c r="AT5" s="264"/>
      <c r="AU5" s="264"/>
      <c r="AV5" s="264"/>
      <c r="AX5" s="72" t="s">
        <v>631</v>
      </c>
    </row>
    <row r="6" spans="1:50" x14ac:dyDescent="0.2">
      <c r="C6" s="80"/>
      <c r="D6" s="80"/>
      <c r="E6" s="80"/>
      <c r="F6" s="361"/>
      <c r="G6" s="361"/>
      <c r="H6" s="361"/>
      <c r="I6" s="361"/>
      <c r="J6" s="361"/>
      <c r="K6" s="360"/>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2"/>
      <c r="AQ6" s="80"/>
      <c r="AR6" s="80"/>
      <c r="AS6" s="351"/>
      <c r="AT6" s="264"/>
      <c r="AU6" s="264"/>
      <c r="AV6" s="264"/>
      <c r="AX6">
        <v>1.04</v>
      </c>
    </row>
    <row r="7" spans="1:50" x14ac:dyDescent="0.2">
      <c r="C7" s="80" t="s">
        <v>518</v>
      </c>
      <c r="D7" s="363"/>
      <c r="E7" s="363"/>
      <c r="F7" s="361">
        <v>5.6</v>
      </c>
      <c r="G7" s="361"/>
      <c r="H7" s="360">
        <v>0.25</v>
      </c>
      <c r="I7" s="360"/>
      <c r="J7" s="360">
        <v>0.25</v>
      </c>
      <c r="K7" s="360"/>
      <c r="L7" s="360">
        <v>0.25</v>
      </c>
      <c r="M7" s="360"/>
      <c r="N7" s="360">
        <v>0.125</v>
      </c>
      <c r="O7" s="360"/>
      <c r="P7" s="360"/>
      <c r="Q7" s="360"/>
      <c r="R7" s="360">
        <v>0.125</v>
      </c>
      <c r="S7" s="360"/>
      <c r="T7" s="360"/>
      <c r="U7" s="360"/>
      <c r="V7" s="360">
        <v>0.5</v>
      </c>
      <c r="W7" s="360"/>
      <c r="X7" s="360">
        <v>0.25</v>
      </c>
      <c r="Y7" s="360"/>
      <c r="Z7" s="360">
        <v>0.25</v>
      </c>
      <c r="AA7" s="360"/>
      <c r="AB7" s="360">
        <v>0.125</v>
      </c>
      <c r="AC7" s="360"/>
      <c r="AD7" s="360"/>
      <c r="AE7" s="360"/>
      <c r="AF7" s="360">
        <v>0.5</v>
      </c>
      <c r="AG7" s="360"/>
      <c r="AH7" s="360">
        <v>0.5</v>
      </c>
      <c r="AI7" s="360"/>
      <c r="AJ7" s="360">
        <v>0.125</v>
      </c>
      <c r="AK7" s="360"/>
      <c r="AL7" s="360">
        <v>0.25</v>
      </c>
      <c r="AM7" s="360"/>
      <c r="AN7" s="360">
        <v>0.25</v>
      </c>
      <c r="AO7" s="361"/>
      <c r="AP7" s="364"/>
      <c r="AQ7" s="111">
        <f>SUM(G7:AO7)</f>
        <v>3.75</v>
      </c>
      <c r="AR7" s="111"/>
      <c r="AS7" s="365">
        <f>AX7</f>
        <v>115.99120000000001</v>
      </c>
      <c r="AT7" s="366">
        <f>AQ7*AS7</f>
        <v>434.96700000000004</v>
      </c>
      <c r="AU7" s="366">
        <f>F7*AQ7*$AU$2</f>
        <v>283.5</v>
      </c>
      <c r="AV7" s="359"/>
      <c r="AW7" s="365">
        <v>111.53</v>
      </c>
      <c r="AX7" s="203">
        <f>AW7*$AX$6</f>
        <v>115.99120000000001</v>
      </c>
    </row>
    <row r="8" spans="1:50" x14ac:dyDescent="0.2">
      <c r="C8" s="80" t="s">
        <v>578</v>
      </c>
      <c r="D8" s="363"/>
      <c r="E8" s="363"/>
      <c r="F8" s="361">
        <v>5.6</v>
      </c>
      <c r="G8" s="361"/>
      <c r="H8" s="360">
        <v>0.25</v>
      </c>
      <c r="I8" s="360"/>
      <c r="J8" s="360">
        <v>0.25</v>
      </c>
      <c r="K8" s="360"/>
      <c r="L8" s="360">
        <v>0.25</v>
      </c>
      <c r="M8" s="360"/>
      <c r="N8" s="360">
        <v>0.125</v>
      </c>
      <c r="O8" s="360"/>
      <c r="P8" s="360"/>
      <c r="Q8" s="360"/>
      <c r="R8" s="360">
        <v>0.125</v>
      </c>
      <c r="S8" s="360"/>
      <c r="T8" s="360"/>
      <c r="U8" s="360"/>
      <c r="V8" s="360">
        <v>0.5</v>
      </c>
      <c r="W8" s="360"/>
      <c r="X8" s="360">
        <v>0.25</v>
      </c>
      <c r="Y8" s="360"/>
      <c r="Z8" s="360">
        <v>0.25</v>
      </c>
      <c r="AA8" s="360"/>
      <c r="AB8" s="360">
        <v>0.125</v>
      </c>
      <c r="AC8" s="360"/>
      <c r="AD8" s="360"/>
      <c r="AE8" s="360"/>
      <c r="AF8" s="360">
        <v>0.5</v>
      </c>
      <c r="AG8" s="360"/>
      <c r="AH8" s="360">
        <v>0.5</v>
      </c>
      <c r="AI8" s="360"/>
      <c r="AJ8" s="360">
        <v>0.125</v>
      </c>
      <c r="AK8" s="360"/>
      <c r="AL8" s="360">
        <v>0.25</v>
      </c>
      <c r="AM8" s="360"/>
      <c r="AN8" s="360">
        <v>0.25</v>
      </c>
      <c r="AO8" s="361"/>
      <c r="AP8" s="364"/>
      <c r="AQ8" s="111">
        <f>SUM(G8:AO8)</f>
        <v>3.75</v>
      </c>
      <c r="AR8" s="111"/>
      <c r="AS8" s="365">
        <f t="shared" ref="AS8:AS14" si="0">AX8</f>
        <v>129.4384</v>
      </c>
      <c r="AT8" s="366">
        <f>AQ8*AS8</f>
        <v>485.39400000000001</v>
      </c>
      <c r="AU8" s="366">
        <f>F8*AQ8*$AU$2</f>
        <v>283.5</v>
      </c>
      <c r="AV8" s="359"/>
      <c r="AW8" s="365">
        <v>124.46</v>
      </c>
      <c r="AX8" s="203">
        <f t="shared" ref="AX8:AX14" si="1">AW8*$AX$6</f>
        <v>129.4384</v>
      </c>
    </row>
    <row r="9" spans="1:50" x14ac:dyDescent="0.2">
      <c r="C9" s="80"/>
      <c r="D9" s="363"/>
      <c r="E9" s="363"/>
      <c r="F9" s="361"/>
      <c r="G9" s="361"/>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1"/>
      <c r="AP9" s="364"/>
      <c r="AQ9" s="111"/>
      <c r="AR9" s="111"/>
      <c r="AS9" s="365"/>
      <c r="AT9" s="366"/>
      <c r="AU9" s="366"/>
      <c r="AV9" s="359"/>
      <c r="AW9" s="365"/>
      <c r="AX9" s="203"/>
    </row>
    <row r="10" spans="1:50" x14ac:dyDescent="0.2">
      <c r="C10" s="80" t="s">
        <v>519</v>
      </c>
      <c r="D10" s="363"/>
      <c r="E10" s="363"/>
      <c r="F10" s="361">
        <v>5.6</v>
      </c>
      <c r="G10" s="361"/>
      <c r="H10" s="360">
        <v>2</v>
      </c>
      <c r="I10" s="360"/>
      <c r="J10" s="360">
        <v>2</v>
      </c>
      <c r="K10" s="360"/>
      <c r="L10" s="360">
        <v>2</v>
      </c>
      <c r="M10" s="360"/>
      <c r="N10" s="360">
        <v>2</v>
      </c>
      <c r="O10" s="360"/>
      <c r="P10" s="360"/>
      <c r="Q10" s="360"/>
      <c r="R10" s="360">
        <v>2</v>
      </c>
      <c r="S10" s="360"/>
      <c r="T10" s="360"/>
      <c r="U10" s="360"/>
      <c r="V10" s="360">
        <v>2</v>
      </c>
      <c r="W10" s="360"/>
      <c r="X10" s="360">
        <v>2</v>
      </c>
      <c r="Y10" s="360"/>
      <c r="Z10" s="360">
        <v>2</v>
      </c>
      <c r="AA10" s="360"/>
      <c r="AB10" s="360">
        <v>2</v>
      </c>
      <c r="AC10" s="360"/>
      <c r="AD10" s="360"/>
      <c r="AE10" s="360"/>
      <c r="AF10" s="360">
        <v>2</v>
      </c>
      <c r="AG10" s="360"/>
      <c r="AH10" s="360">
        <v>2</v>
      </c>
      <c r="AI10" s="360"/>
      <c r="AJ10" s="360">
        <v>2</v>
      </c>
      <c r="AK10" s="360"/>
      <c r="AL10" s="360">
        <v>2</v>
      </c>
      <c r="AM10" s="360"/>
      <c r="AN10" s="360">
        <v>2</v>
      </c>
      <c r="AO10" s="361"/>
      <c r="AP10" s="364"/>
      <c r="AQ10" s="111">
        <f>SUM(G10:AO10)</f>
        <v>28</v>
      </c>
      <c r="AR10" s="111"/>
      <c r="AS10" s="365">
        <f t="shared" si="0"/>
        <v>149.33360000000002</v>
      </c>
      <c r="AT10" s="366">
        <f>AQ10*AS10</f>
        <v>4181.3408000000009</v>
      </c>
      <c r="AU10" s="366">
        <f>F10*AQ10*$AU$2</f>
        <v>2116.7999999999997</v>
      </c>
      <c r="AV10" s="359"/>
      <c r="AW10" s="365">
        <v>143.59</v>
      </c>
      <c r="AX10" s="203">
        <f t="shared" si="1"/>
        <v>149.33360000000002</v>
      </c>
    </row>
    <row r="11" spans="1:50" x14ac:dyDescent="0.2">
      <c r="C11" s="80" t="s">
        <v>520</v>
      </c>
      <c r="D11" s="363"/>
      <c r="E11" s="363"/>
      <c r="F11" s="361">
        <v>5.6</v>
      </c>
      <c r="G11" s="361"/>
      <c r="H11" s="360">
        <v>2</v>
      </c>
      <c r="I11" s="360"/>
      <c r="J11" s="360">
        <v>2</v>
      </c>
      <c r="K11" s="360"/>
      <c r="L11" s="360">
        <v>2</v>
      </c>
      <c r="M11" s="360"/>
      <c r="N11" s="360">
        <v>2</v>
      </c>
      <c r="O11" s="360"/>
      <c r="P11" s="360"/>
      <c r="Q11" s="360"/>
      <c r="R11" s="360">
        <v>2</v>
      </c>
      <c r="S11" s="360"/>
      <c r="T11" s="360"/>
      <c r="U11" s="360"/>
      <c r="V11" s="360">
        <v>2</v>
      </c>
      <c r="W11" s="360"/>
      <c r="X11" s="360">
        <v>2</v>
      </c>
      <c r="Y11" s="360"/>
      <c r="Z11" s="360">
        <v>2</v>
      </c>
      <c r="AA11" s="360"/>
      <c r="AB11" s="360">
        <v>2</v>
      </c>
      <c r="AC11" s="360"/>
      <c r="AD11" s="360"/>
      <c r="AE11" s="360"/>
      <c r="AF11" s="360">
        <v>2</v>
      </c>
      <c r="AG11" s="360"/>
      <c r="AH11" s="360">
        <v>2</v>
      </c>
      <c r="AI11" s="360"/>
      <c r="AJ11" s="360">
        <v>2</v>
      </c>
      <c r="AK11" s="360"/>
      <c r="AL11" s="360">
        <v>2</v>
      </c>
      <c r="AM11" s="360"/>
      <c r="AN11" s="360">
        <v>2</v>
      </c>
      <c r="AO11" s="361"/>
      <c r="AP11" s="364"/>
      <c r="AQ11" s="111">
        <f>SUM(G11:AO11)</f>
        <v>28</v>
      </c>
      <c r="AR11" s="111"/>
      <c r="AS11" s="365">
        <f t="shared" si="0"/>
        <v>135.69919999999999</v>
      </c>
      <c r="AT11" s="366">
        <f>AQ11*AS11</f>
        <v>3799.5775999999996</v>
      </c>
      <c r="AU11" s="366">
        <f>F11*AQ11*$AU$2</f>
        <v>2116.7999999999997</v>
      </c>
      <c r="AV11" s="359"/>
      <c r="AW11" s="365">
        <v>130.47999999999999</v>
      </c>
      <c r="AX11" s="203">
        <f t="shared" si="1"/>
        <v>135.69919999999999</v>
      </c>
    </row>
    <row r="12" spans="1:50" x14ac:dyDescent="0.2">
      <c r="A12" s="72"/>
      <c r="C12" s="363"/>
      <c r="D12" s="363"/>
      <c r="E12" s="363"/>
      <c r="F12" s="361"/>
      <c r="G12" s="361"/>
      <c r="H12" s="361"/>
      <c r="I12" s="361"/>
      <c r="J12" s="361"/>
      <c r="K12" s="360"/>
      <c r="L12" s="361"/>
      <c r="M12" s="361"/>
      <c r="N12" s="361"/>
      <c r="O12" s="361"/>
      <c r="P12" s="361"/>
      <c r="Q12" s="361"/>
      <c r="R12" s="361"/>
      <c r="S12" s="361"/>
      <c r="T12" s="361"/>
      <c r="U12" s="361"/>
      <c r="V12" s="361"/>
      <c r="W12" s="361"/>
      <c r="X12" s="361"/>
      <c r="Y12" s="361"/>
      <c r="Z12" s="361"/>
      <c r="AA12" s="361"/>
      <c r="AB12" s="361"/>
      <c r="AC12" s="361"/>
      <c r="AD12" s="361"/>
      <c r="AE12" s="361"/>
      <c r="AF12" s="361"/>
      <c r="AG12" s="361"/>
      <c r="AH12" s="361"/>
      <c r="AI12" s="361"/>
      <c r="AJ12" s="361"/>
      <c r="AK12" s="361"/>
      <c r="AL12" s="361"/>
      <c r="AM12" s="361"/>
      <c r="AN12" s="361"/>
      <c r="AO12" s="361"/>
      <c r="AP12" s="367"/>
      <c r="AQ12" s="111"/>
      <c r="AR12" s="111"/>
      <c r="AS12" s="365"/>
      <c r="AT12" s="366"/>
      <c r="AU12" s="366"/>
      <c r="AV12" s="359"/>
      <c r="AW12" s="365"/>
      <c r="AX12" s="203"/>
    </row>
    <row r="13" spans="1:50" x14ac:dyDescent="0.2">
      <c r="A13" s="72"/>
      <c r="C13" s="363" t="s">
        <v>552</v>
      </c>
      <c r="D13" s="363"/>
      <c r="E13" s="363"/>
      <c r="F13" s="361">
        <v>5.6</v>
      </c>
      <c r="G13" s="361"/>
      <c r="H13" s="361"/>
      <c r="I13" s="361"/>
      <c r="J13" s="361"/>
      <c r="K13" s="360"/>
      <c r="L13" s="361"/>
      <c r="M13" s="361"/>
      <c r="N13" s="361"/>
      <c r="O13" s="361"/>
      <c r="P13" s="361">
        <v>2.5</v>
      </c>
      <c r="Q13" s="361"/>
      <c r="R13" s="361"/>
      <c r="S13" s="361"/>
      <c r="T13" s="361">
        <v>2.5</v>
      </c>
      <c r="U13" s="361"/>
      <c r="V13" s="361"/>
      <c r="W13" s="361"/>
      <c r="X13" s="361"/>
      <c r="Y13" s="361"/>
      <c r="Z13" s="361"/>
      <c r="AA13" s="361"/>
      <c r="AB13" s="361"/>
      <c r="AC13" s="361"/>
      <c r="AD13" s="361">
        <v>2.5</v>
      </c>
      <c r="AE13" s="361"/>
      <c r="AF13" s="361"/>
      <c r="AG13" s="361"/>
      <c r="AH13" s="361"/>
      <c r="AI13" s="361"/>
      <c r="AJ13" s="361"/>
      <c r="AK13" s="361"/>
      <c r="AL13" s="361"/>
      <c r="AM13" s="361"/>
      <c r="AN13" s="361"/>
      <c r="AO13" s="361"/>
      <c r="AP13" s="367"/>
      <c r="AQ13" s="111">
        <f>SUM(G13:AO13)</f>
        <v>7.5</v>
      </c>
      <c r="AR13" s="111"/>
      <c r="AS13" s="365">
        <f t="shared" si="0"/>
        <v>135.74080000000001</v>
      </c>
      <c r="AT13" s="366">
        <f>AQ13*AS13</f>
        <v>1018.056</v>
      </c>
      <c r="AU13" s="366">
        <f>F13*AQ13*$AU$2</f>
        <v>567</v>
      </c>
      <c r="AV13" s="359"/>
      <c r="AW13" s="365">
        <v>130.52000000000001</v>
      </c>
      <c r="AX13" s="203">
        <f t="shared" si="1"/>
        <v>135.74080000000001</v>
      </c>
    </row>
    <row r="14" spans="1:50" x14ac:dyDescent="0.2">
      <c r="A14" s="72"/>
      <c r="C14" s="370" t="s">
        <v>553</v>
      </c>
      <c r="D14" s="370"/>
      <c r="E14" s="370"/>
      <c r="F14" s="359">
        <v>5.6</v>
      </c>
      <c r="G14" s="359"/>
      <c r="H14" s="361"/>
      <c r="I14" s="361"/>
      <c r="J14" s="361"/>
      <c r="K14" s="360"/>
      <c r="L14" s="361"/>
      <c r="M14" s="361"/>
      <c r="N14" s="361"/>
      <c r="O14" s="361"/>
      <c r="P14" s="361">
        <v>2.5</v>
      </c>
      <c r="Q14" s="361"/>
      <c r="R14" s="361"/>
      <c r="S14" s="361"/>
      <c r="T14" s="361">
        <v>2.5</v>
      </c>
      <c r="U14" s="361"/>
      <c r="V14" s="361"/>
      <c r="W14" s="361"/>
      <c r="X14" s="361"/>
      <c r="Y14" s="361"/>
      <c r="Z14" s="361"/>
      <c r="AA14" s="361"/>
      <c r="AB14" s="361"/>
      <c r="AC14" s="361"/>
      <c r="AD14" s="361">
        <v>2.5</v>
      </c>
      <c r="AE14" s="361"/>
      <c r="AF14" s="361"/>
      <c r="AG14" s="361"/>
      <c r="AH14" s="361"/>
      <c r="AI14" s="361"/>
      <c r="AJ14" s="361"/>
      <c r="AK14" s="361"/>
      <c r="AL14" s="361"/>
      <c r="AM14" s="361"/>
      <c r="AN14" s="361"/>
      <c r="AO14" s="361"/>
      <c r="AP14" s="367"/>
      <c r="AQ14" s="111">
        <f>SUM(G14:AO14)</f>
        <v>7.5</v>
      </c>
      <c r="AR14" s="111"/>
      <c r="AS14" s="365">
        <f t="shared" si="0"/>
        <v>35.4328</v>
      </c>
      <c r="AT14" s="366">
        <f>AQ14*AS14</f>
        <v>265.74599999999998</v>
      </c>
      <c r="AU14" s="366">
        <f>F14*AQ14*$AU$2</f>
        <v>567</v>
      </c>
      <c r="AV14" s="366"/>
      <c r="AW14" s="365">
        <v>34.07</v>
      </c>
      <c r="AX14" s="203">
        <f t="shared" si="1"/>
        <v>35.4328</v>
      </c>
    </row>
    <row r="15" spans="1:50" x14ac:dyDescent="0.2">
      <c r="C15" s="370"/>
      <c r="D15" s="370"/>
      <c r="E15" s="370"/>
      <c r="F15" s="359"/>
      <c r="G15" s="359"/>
      <c r="H15" s="361"/>
      <c r="I15" s="361"/>
      <c r="J15" s="361"/>
      <c r="K15" s="360"/>
      <c r="L15" s="361"/>
      <c r="M15" s="361"/>
      <c r="N15" s="361"/>
      <c r="O15" s="361"/>
      <c r="P15" s="361"/>
      <c r="Q15" s="361"/>
      <c r="R15" s="361"/>
      <c r="S15" s="361"/>
      <c r="T15" s="361"/>
      <c r="U15" s="361"/>
      <c r="V15" s="361"/>
      <c r="W15" s="361"/>
      <c r="X15" s="361"/>
      <c r="Y15" s="361"/>
      <c r="Z15" s="361"/>
      <c r="AA15" s="361"/>
      <c r="AB15" s="361"/>
      <c r="AC15" s="361"/>
      <c r="AD15" s="361"/>
      <c r="AE15" s="361"/>
      <c r="AF15" s="361"/>
      <c r="AG15" s="361"/>
      <c r="AH15" s="361"/>
      <c r="AI15" s="361"/>
      <c r="AJ15" s="361"/>
      <c r="AK15" s="361"/>
      <c r="AL15" s="361"/>
      <c r="AM15" s="361"/>
      <c r="AN15" s="361"/>
      <c r="AO15" s="361"/>
      <c r="AP15" s="367"/>
      <c r="AQ15" s="111"/>
      <c r="AR15" s="111"/>
      <c r="AS15" s="365"/>
      <c r="AT15" s="366"/>
      <c r="AU15" s="366"/>
      <c r="AV15" s="359"/>
    </row>
    <row r="16" spans="1:50" x14ac:dyDescent="0.2">
      <c r="C16" s="363" t="s">
        <v>503</v>
      </c>
      <c r="D16" s="363"/>
      <c r="E16" s="363"/>
      <c r="F16" s="363"/>
      <c r="G16" s="363"/>
      <c r="H16" s="361"/>
      <c r="I16" s="361"/>
      <c r="J16" s="361"/>
      <c r="K16" s="360"/>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71"/>
      <c r="AQ16" s="369"/>
      <c r="AR16" s="369"/>
      <c r="AS16" s="372"/>
      <c r="AT16" s="373"/>
      <c r="AU16" s="373"/>
      <c r="AV16" s="359"/>
    </row>
    <row r="17" spans="3:48" x14ac:dyDescent="0.2">
      <c r="C17" s="363"/>
      <c r="D17" s="363"/>
      <c r="E17" s="363"/>
      <c r="F17" s="363"/>
      <c r="G17" s="363"/>
      <c r="H17" s="361"/>
      <c r="I17" s="361"/>
      <c r="J17" s="361"/>
      <c r="K17" s="360"/>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71"/>
      <c r="AQ17" s="369"/>
      <c r="AR17" s="369"/>
      <c r="AS17" s="372"/>
      <c r="AT17" s="373"/>
      <c r="AU17" s="373"/>
      <c r="AV17" s="359"/>
    </row>
    <row r="18" spans="3:48" x14ac:dyDescent="0.2">
      <c r="C18" s="80" t="s">
        <v>504</v>
      </c>
      <c r="D18" s="363"/>
      <c r="E18" s="363"/>
      <c r="F18" s="363"/>
      <c r="G18" s="363"/>
      <c r="H18" s="361"/>
      <c r="I18" s="361"/>
      <c r="J18" s="361"/>
      <c r="K18" s="360"/>
      <c r="L18" s="361"/>
      <c r="M18" s="361"/>
      <c r="N18" s="361"/>
      <c r="O18" s="361"/>
      <c r="P18" s="360">
        <v>4</v>
      </c>
      <c r="Q18" s="361"/>
      <c r="R18" s="361"/>
      <c r="S18" s="361"/>
      <c r="T18" s="360">
        <v>4</v>
      </c>
      <c r="U18" s="361"/>
      <c r="V18" s="361"/>
      <c r="W18" s="361"/>
      <c r="X18" s="361"/>
      <c r="Y18" s="361"/>
      <c r="Z18" s="361"/>
      <c r="AA18" s="361"/>
      <c r="AB18" s="361"/>
      <c r="AC18" s="361"/>
      <c r="AD18" s="360">
        <v>4</v>
      </c>
      <c r="AE18" s="361"/>
      <c r="AF18" s="361"/>
      <c r="AG18" s="361"/>
      <c r="AH18" s="361"/>
      <c r="AI18" s="361"/>
      <c r="AJ18" s="361"/>
      <c r="AK18" s="361"/>
      <c r="AL18" s="361"/>
      <c r="AM18" s="361"/>
      <c r="AN18" s="361"/>
      <c r="AO18" s="361"/>
      <c r="AP18" s="371"/>
      <c r="AQ18" s="374">
        <f>SUM(G18:AO18)</f>
        <v>12</v>
      </c>
      <c r="AR18" s="374"/>
      <c r="AS18" s="372">
        <v>20</v>
      </c>
      <c r="AT18" s="373">
        <f>AQ18*AS18</f>
        <v>240</v>
      </c>
      <c r="AU18" s="373">
        <f>F18*AQ18*$AV$2</f>
        <v>0</v>
      </c>
      <c r="AV18" s="359"/>
    </row>
    <row r="19" spans="3:48" x14ac:dyDescent="0.2">
      <c r="C19" s="80"/>
      <c r="D19" s="363"/>
      <c r="E19" s="363"/>
      <c r="F19" s="363"/>
      <c r="G19" s="363"/>
      <c r="H19" s="361"/>
      <c r="I19" s="361"/>
      <c r="J19" s="361"/>
      <c r="K19" s="360"/>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71"/>
      <c r="AQ19" s="374"/>
      <c r="AR19" s="374"/>
      <c r="AS19" s="372"/>
      <c r="AT19" s="373"/>
      <c r="AU19" s="373"/>
      <c r="AV19" s="359"/>
    </row>
    <row r="20" spans="3:48" x14ac:dyDescent="0.2">
      <c r="C20" s="80" t="s">
        <v>505</v>
      </c>
      <c r="D20" s="363"/>
      <c r="E20" s="363"/>
      <c r="F20" s="363"/>
      <c r="G20" s="363"/>
      <c r="H20" s="361"/>
      <c r="I20" s="361"/>
      <c r="J20" s="361"/>
      <c r="K20" s="360"/>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1"/>
      <c r="AK20" s="361"/>
      <c r="AL20" s="361"/>
      <c r="AM20" s="361"/>
      <c r="AN20" s="361"/>
      <c r="AO20" s="361"/>
      <c r="AP20" s="371"/>
      <c r="AQ20" s="374"/>
      <c r="AR20" s="374"/>
      <c r="AS20" s="372">
        <v>82</v>
      </c>
      <c r="AT20" s="373">
        <f>AQ20*AS20</f>
        <v>0</v>
      </c>
      <c r="AU20" s="373">
        <f>F20*AQ20*$AV$2</f>
        <v>0</v>
      </c>
      <c r="AV20" s="359"/>
    </row>
    <row r="21" spans="3:48" x14ac:dyDescent="0.2">
      <c r="C21" s="80"/>
      <c r="D21" s="363"/>
      <c r="E21" s="363"/>
      <c r="F21" s="363"/>
      <c r="G21" s="363"/>
      <c r="H21" s="361"/>
      <c r="I21" s="361"/>
      <c r="J21" s="361"/>
      <c r="K21" s="360"/>
      <c r="L21" s="361"/>
      <c r="M21" s="361"/>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61"/>
      <c r="AK21" s="361"/>
      <c r="AL21" s="361"/>
      <c r="AM21" s="361"/>
      <c r="AN21" s="361"/>
      <c r="AO21" s="361"/>
      <c r="AP21" s="371"/>
      <c r="AQ21" s="374"/>
      <c r="AR21" s="374"/>
      <c r="AS21" s="372"/>
      <c r="AT21" s="373"/>
      <c r="AU21" s="373"/>
      <c r="AV21" s="359"/>
    </row>
    <row r="22" spans="3:48" x14ac:dyDescent="0.2">
      <c r="C22" s="80" t="s">
        <v>506</v>
      </c>
      <c r="D22" s="363"/>
      <c r="E22" s="363"/>
      <c r="F22" s="362"/>
      <c r="G22" s="362"/>
      <c r="H22" s="361"/>
      <c r="I22" s="361"/>
      <c r="J22" s="361"/>
      <c r="K22" s="360"/>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61"/>
      <c r="AK22" s="361"/>
      <c r="AL22" s="361"/>
      <c r="AM22" s="361"/>
      <c r="AN22" s="361"/>
      <c r="AO22" s="361"/>
      <c r="AP22" s="371"/>
      <c r="AQ22" s="374">
        <f>SUM(G22:AO22)</f>
        <v>0</v>
      </c>
      <c r="AR22" s="374" t="s">
        <v>507</v>
      </c>
      <c r="AS22" s="372">
        <v>1.1200000000000001</v>
      </c>
      <c r="AT22" s="373">
        <f>AQ22*AS22</f>
        <v>0</v>
      </c>
      <c r="AU22" s="373"/>
      <c r="AV22" s="359"/>
    </row>
    <row r="23" spans="3:48" x14ac:dyDescent="0.2">
      <c r="C23" s="80"/>
      <c r="D23" s="363"/>
      <c r="E23" s="363"/>
      <c r="F23" s="362"/>
      <c r="G23" s="362"/>
      <c r="H23" s="361"/>
      <c r="I23" s="361"/>
      <c r="J23" s="361"/>
      <c r="K23" s="360"/>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61"/>
      <c r="AK23" s="361"/>
      <c r="AL23" s="361"/>
      <c r="AM23" s="361"/>
      <c r="AN23" s="361"/>
      <c r="AO23" s="361"/>
      <c r="AP23" s="371"/>
      <c r="AQ23" s="374"/>
      <c r="AR23" s="374"/>
      <c r="AS23" s="372"/>
      <c r="AT23" s="373"/>
      <c r="AU23" s="373"/>
      <c r="AV23" s="359"/>
    </row>
    <row r="24" spans="3:48" x14ac:dyDescent="0.2">
      <c r="C24" s="362" t="s">
        <v>508</v>
      </c>
      <c r="D24" s="362"/>
      <c r="E24" s="362"/>
      <c r="F24" s="362"/>
      <c r="G24" s="362"/>
      <c r="H24" s="361"/>
      <c r="I24" s="361"/>
      <c r="J24" s="361"/>
      <c r="K24" s="360"/>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75"/>
      <c r="AQ24" s="374">
        <f>SUM(G24:AO24)</f>
        <v>0</v>
      </c>
      <c r="AR24" s="374" t="s">
        <v>507</v>
      </c>
      <c r="AS24" s="372">
        <v>1.9</v>
      </c>
      <c r="AT24" s="373">
        <f>AQ24*AS24</f>
        <v>0</v>
      </c>
      <c r="AU24" s="362"/>
      <c r="AV24" s="351"/>
    </row>
    <row r="25" spans="3:48" x14ac:dyDescent="0.2">
      <c r="C25" s="362"/>
      <c r="D25" s="362"/>
      <c r="E25" s="362"/>
      <c r="F25" s="362"/>
      <c r="G25" s="362"/>
      <c r="H25" s="361"/>
      <c r="I25" s="361"/>
      <c r="J25" s="361"/>
      <c r="K25" s="360"/>
      <c r="L25" s="361"/>
      <c r="M25" s="361"/>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361"/>
      <c r="AP25" s="375"/>
      <c r="AQ25" s="374"/>
      <c r="AR25" s="374"/>
      <c r="AS25" s="362"/>
      <c r="AT25" s="373"/>
      <c r="AU25" s="362"/>
      <c r="AV25" s="351"/>
    </row>
    <row r="26" spans="3:48" x14ac:dyDescent="0.2">
      <c r="C26" s="351" t="s">
        <v>509</v>
      </c>
      <c r="D26" s="351"/>
      <c r="E26" s="351"/>
      <c r="F26" s="351"/>
      <c r="G26" s="351"/>
      <c r="H26" s="361"/>
      <c r="I26" s="361"/>
      <c r="J26" s="361"/>
      <c r="K26" s="360"/>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48"/>
      <c r="AQ26" s="118">
        <f>SUM(G26:AO26)</f>
        <v>0</v>
      </c>
      <c r="AR26" s="118"/>
      <c r="AS26" s="368">
        <v>150</v>
      </c>
      <c r="AT26" s="352"/>
      <c r="AU26" s="376">
        <f>AQ26*AS26</f>
        <v>0</v>
      </c>
      <c r="AV26" s="352"/>
    </row>
    <row r="27" spans="3:48" x14ac:dyDescent="0.2">
      <c r="C27" s="351"/>
      <c r="D27" s="351"/>
      <c r="E27" s="351"/>
      <c r="F27" s="351"/>
      <c r="G27" s="351"/>
      <c r="H27" s="361"/>
      <c r="I27" s="361"/>
      <c r="J27" s="361"/>
      <c r="K27" s="360"/>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48"/>
      <c r="AQ27" s="118"/>
      <c r="AR27" s="118"/>
      <c r="AS27" s="351"/>
      <c r="AT27" s="352"/>
      <c r="AU27" s="351"/>
      <c r="AV27" s="351"/>
    </row>
    <row r="28" spans="3:48" x14ac:dyDescent="0.2">
      <c r="C28" s="351" t="s">
        <v>510</v>
      </c>
      <c r="D28" s="351"/>
      <c r="E28" s="351"/>
      <c r="F28" s="351"/>
      <c r="G28" s="351"/>
      <c r="H28" s="361"/>
      <c r="I28" s="361"/>
      <c r="J28" s="361"/>
      <c r="K28" s="360"/>
      <c r="L28" s="361"/>
      <c r="M28" s="361"/>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361"/>
      <c r="AP28" s="352"/>
      <c r="AQ28" s="118">
        <f>SUM(G28:AO28)</f>
        <v>0</v>
      </c>
      <c r="AR28" s="118" t="s">
        <v>148</v>
      </c>
      <c r="AS28" s="368">
        <v>7.5</v>
      </c>
      <c r="AT28" s="376">
        <f>AQ28*AS28</f>
        <v>0</v>
      </c>
      <c r="AU28" s="351"/>
      <c r="AV28" s="351"/>
    </row>
    <row r="29" spans="3:48" x14ac:dyDescent="0.2">
      <c r="H29" s="361"/>
      <c r="I29" s="361"/>
      <c r="J29" s="361"/>
      <c r="K29" s="360"/>
      <c r="L29" s="361"/>
      <c r="M29" s="361"/>
      <c r="N29" s="361"/>
      <c r="O29" s="361"/>
      <c r="P29" s="361"/>
      <c r="Q29" s="361"/>
      <c r="R29" s="361"/>
      <c r="S29" s="361"/>
      <c r="T29" s="361"/>
      <c r="U29" s="361"/>
      <c r="V29" s="361"/>
      <c r="W29" s="361"/>
      <c r="X29" s="361"/>
      <c r="Y29" s="361"/>
      <c r="Z29" s="361"/>
      <c r="AA29" s="361"/>
      <c r="AB29" s="361"/>
      <c r="AC29" s="361"/>
      <c r="AD29" s="361"/>
      <c r="AE29" s="361"/>
      <c r="AF29" s="361"/>
      <c r="AG29" s="361"/>
      <c r="AH29" s="361"/>
      <c r="AI29" s="361"/>
      <c r="AJ29" s="361"/>
      <c r="AK29" s="361"/>
      <c r="AL29" s="361"/>
      <c r="AM29" s="361"/>
      <c r="AN29" s="361"/>
      <c r="AO29" s="361"/>
      <c r="AP29" s="348"/>
      <c r="AQ29" s="118"/>
      <c r="AR29" s="118"/>
      <c r="AT29" s="376"/>
    </row>
    <row r="30" spans="3:48" x14ac:dyDescent="0.2">
      <c r="C30" s="72" t="s">
        <v>511</v>
      </c>
      <c r="H30" s="367">
        <v>4</v>
      </c>
      <c r="I30" s="367"/>
      <c r="J30" s="367">
        <v>4</v>
      </c>
      <c r="L30" s="367">
        <v>4</v>
      </c>
      <c r="M30" s="367"/>
      <c r="N30" s="367">
        <v>4</v>
      </c>
      <c r="O30" s="367"/>
      <c r="P30" s="367"/>
      <c r="Q30" s="367"/>
      <c r="R30" s="367">
        <v>4</v>
      </c>
      <c r="S30" s="367"/>
      <c r="T30" s="367"/>
      <c r="U30" s="367"/>
      <c r="V30" s="367">
        <v>4</v>
      </c>
      <c r="W30" s="367"/>
      <c r="X30" s="367">
        <v>4</v>
      </c>
      <c r="Y30" s="367"/>
      <c r="Z30" s="367">
        <v>4</v>
      </c>
      <c r="AA30" s="367"/>
      <c r="AB30" s="367">
        <v>4</v>
      </c>
      <c r="AC30" s="367"/>
      <c r="AD30" s="367"/>
      <c r="AE30" s="367"/>
      <c r="AF30" s="367">
        <v>4</v>
      </c>
      <c r="AG30" s="367"/>
      <c r="AH30" s="367">
        <v>4</v>
      </c>
      <c r="AI30" s="367"/>
      <c r="AJ30" s="367">
        <v>4</v>
      </c>
      <c r="AK30" s="367"/>
      <c r="AL30" s="367">
        <v>4</v>
      </c>
      <c r="AM30" s="367"/>
      <c r="AN30" s="367">
        <v>4</v>
      </c>
      <c r="AO30" s="367"/>
      <c r="AP30" s="348"/>
      <c r="AQ30" s="118">
        <f>SUM(G30:AO30)</f>
        <v>56</v>
      </c>
      <c r="AR30" s="118" t="s">
        <v>148</v>
      </c>
      <c r="AS30" s="368">
        <v>10</v>
      </c>
      <c r="AT30" s="376">
        <f>AQ30*AS30</f>
        <v>560</v>
      </c>
    </row>
    <row r="31" spans="3:48" x14ac:dyDescent="0.2">
      <c r="AP31" s="348"/>
      <c r="AT31" s="348"/>
    </row>
    <row r="32" spans="3:48" x14ac:dyDescent="0.2">
      <c r="C32" s="72" t="s">
        <v>512</v>
      </c>
      <c r="E32" s="377" t="s">
        <v>513</v>
      </c>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c r="AK32" s="378"/>
      <c r="AL32" s="378"/>
      <c r="AM32" s="378"/>
      <c r="AN32" s="378"/>
      <c r="AO32" s="378"/>
      <c r="AP32" s="378"/>
      <c r="AQ32" s="378"/>
      <c r="AR32" s="378"/>
      <c r="AS32" s="378"/>
      <c r="AT32" s="378"/>
      <c r="AU32" s="378"/>
      <c r="AV32" s="378"/>
    </row>
    <row r="33" spans="2:49" x14ac:dyDescent="0.2">
      <c r="AT33" s="348"/>
    </row>
    <row r="34" spans="2:49" x14ac:dyDescent="0.2">
      <c r="C34" s="72" t="s">
        <v>514</v>
      </c>
      <c r="AT34" s="349">
        <v>170</v>
      </c>
      <c r="AU34" s="376"/>
    </row>
    <row r="35" spans="2:49" x14ac:dyDescent="0.2">
      <c r="B35">
        <f>SUM(B5:B34)</f>
        <v>0</v>
      </c>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row>
    <row r="36" spans="2:49" x14ac:dyDescent="0.2">
      <c r="AT36" s="203">
        <f>SUM(AT5:AT35)</f>
        <v>11155.081399999999</v>
      </c>
      <c r="AU36" s="203">
        <f>SUM(AU5:AU35)</f>
        <v>5934.5999999999995</v>
      </c>
      <c r="AV36" s="203">
        <f>SUM(AT36:AU36)</f>
        <v>17089.681399999998</v>
      </c>
    </row>
    <row r="38" spans="2:49" x14ac:dyDescent="0.2">
      <c r="C38" s="72" t="s">
        <v>515</v>
      </c>
      <c r="AS38" s="379"/>
      <c r="AT38" s="203"/>
      <c r="AU38" s="380">
        <v>0.01</v>
      </c>
      <c r="AV38" s="203">
        <f>AV36*AU38</f>
        <v>170.89681399999998</v>
      </c>
    </row>
    <row r="40" spans="2:49" x14ac:dyDescent="0.2">
      <c r="C40" s="72" t="s">
        <v>516</v>
      </c>
      <c r="AT40" s="381"/>
      <c r="AU40" s="381"/>
      <c r="AV40" s="382">
        <f>AU40*20</f>
        <v>0</v>
      </c>
    </row>
    <row r="42" spans="2:49" x14ac:dyDescent="0.2">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72" t="s">
        <v>517</v>
      </c>
    </row>
    <row r="43" spans="2:49" x14ac:dyDescent="0.2">
      <c r="AV43" s="203">
        <f>SUM(AV36:AV42)</f>
        <v>17260.578213999997</v>
      </c>
    </row>
    <row r="45" spans="2:49" x14ac:dyDescent="0.2">
      <c r="C45" s="72" t="s">
        <v>11</v>
      </c>
      <c r="AU45" s="380">
        <v>0</v>
      </c>
      <c r="AV45" s="203">
        <f>AV43*AU45</f>
        <v>0</v>
      </c>
    </row>
    <row r="47" spans="2:49" x14ac:dyDescent="0.2">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row>
    <row r="48" spans="2:49" x14ac:dyDescent="0.2">
      <c r="AV48" s="54">
        <f>SUM(AV43:AV47)</f>
        <v>17260.578213999997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53E99-DBF7-4520-9A51-2E1AA67735D6}">
  <dimension ref="A1:AR55"/>
  <sheetViews>
    <sheetView topLeftCell="L1" zoomScale="85" zoomScaleNormal="85" workbookViewId="0">
      <selection activeCell="C29" sqref="C29:H29"/>
    </sheetView>
  </sheetViews>
  <sheetFormatPr defaultRowHeight="12.75" x14ac:dyDescent="0.2"/>
  <cols>
    <col min="6" max="7" width="9.140625" customWidth="1"/>
    <col min="8" max="8" width="16.7109375" customWidth="1"/>
    <col min="9" max="9" width="3.42578125" customWidth="1"/>
    <col min="10" max="10" width="16.28515625" customWidth="1"/>
    <col min="11" max="11" width="3" customWidth="1"/>
    <col min="12" max="12" width="16.42578125" customWidth="1"/>
    <col min="13" max="13" width="3.7109375" customWidth="1"/>
    <col min="14" max="14" width="10" customWidth="1"/>
    <col min="15" max="15" width="3.7109375" customWidth="1"/>
    <col min="16" max="16" width="15.85546875" customWidth="1"/>
    <col min="17" max="17" width="3.140625" customWidth="1"/>
    <col min="18" max="18" width="9.28515625" customWidth="1"/>
    <col min="19" max="19" width="3.140625" customWidth="1"/>
    <col min="20" max="20" width="17.140625" customWidth="1"/>
    <col min="21" max="21" width="3.7109375" customWidth="1"/>
    <col min="22" max="22" width="16.42578125" customWidth="1"/>
    <col min="23" max="23" width="3.28515625" customWidth="1"/>
    <col min="24" max="24" width="16.85546875" customWidth="1"/>
    <col min="25" max="25" width="3.42578125" customWidth="1"/>
    <col min="26" max="26" width="16.5703125" customWidth="1"/>
    <col min="27" max="27" width="4.140625" customWidth="1"/>
    <col min="28" max="28" width="16.5703125" customWidth="1"/>
    <col min="29" max="29" width="4.140625" customWidth="1"/>
    <col min="30" max="30" width="16.5703125" customWidth="1"/>
    <col min="31" max="31" width="4.28515625" customWidth="1"/>
    <col min="32" max="32" width="16.7109375" customWidth="1"/>
    <col min="33" max="33" width="4.42578125" customWidth="1"/>
    <col min="34" max="34" width="16.85546875" customWidth="1"/>
    <col min="35" max="35" width="3.85546875" customWidth="1"/>
    <col min="36" max="36" width="4.28515625" customWidth="1"/>
    <col min="37" max="38" width="9.140625" customWidth="1"/>
    <col min="39" max="39" width="10.42578125" customWidth="1"/>
    <col min="40" max="40" width="12" customWidth="1"/>
    <col min="41" max="41" width="11" customWidth="1"/>
    <col min="42" max="42" width="10.140625" customWidth="1"/>
  </cols>
  <sheetData>
    <row r="1" spans="1:44" x14ac:dyDescent="0.2">
      <c r="C1" s="186" t="s">
        <v>329</v>
      </c>
      <c r="D1" s="271"/>
      <c r="E1" s="271"/>
    </row>
    <row r="2" spans="1:44" x14ac:dyDescent="0.2">
      <c r="F2" s="348"/>
      <c r="G2" s="348"/>
      <c r="H2" s="348">
        <v>7.75</v>
      </c>
      <c r="I2" s="348"/>
      <c r="J2" s="348">
        <v>6.9</v>
      </c>
      <c r="K2" s="348"/>
      <c r="L2" s="348">
        <v>6.5</v>
      </c>
      <c r="M2" s="348"/>
      <c r="N2" s="348"/>
      <c r="O2" s="348"/>
      <c r="P2" s="348">
        <v>6.5</v>
      </c>
      <c r="Q2" s="348"/>
      <c r="R2" s="348"/>
      <c r="S2" s="348"/>
      <c r="T2" s="348">
        <v>6.5</v>
      </c>
      <c r="U2" s="348"/>
      <c r="V2" s="348">
        <v>6.5</v>
      </c>
      <c r="W2" s="348"/>
      <c r="X2" s="348">
        <v>7.7</v>
      </c>
      <c r="Y2" s="348"/>
      <c r="Z2" s="348">
        <v>7.2</v>
      </c>
      <c r="AA2" s="348"/>
      <c r="AB2" s="348">
        <v>7.7</v>
      </c>
      <c r="AC2" s="348"/>
      <c r="AD2" s="348">
        <v>6.4</v>
      </c>
      <c r="AE2" s="348"/>
      <c r="AF2" s="348">
        <v>8</v>
      </c>
      <c r="AG2" s="348"/>
      <c r="AH2" s="348">
        <v>7.6</v>
      </c>
      <c r="AI2" s="348"/>
      <c r="AK2">
        <f>SUM(H2:AI2)</f>
        <v>85.25</v>
      </c>
      <c r="AO2" s="349">
        <v>12</v>
      </c>
    </row>
    <row r="3" spans="1:44" x14ac:dyDescent="0.2">
      <c r="C3" s="350"/>
      <c r="D3" s="351"/>
      <c r="E3" s="351"/>
      <c r="F3" s="352"/>
      <c r="G3" s="352"/>
      <c r="H3" s="352">
        <v>4.7850000000000001</v>
      </c>
      <c r="I3" s="352"/>
      <c r="J3" s="352">
        <v>3.19</v>
      </c>
      <c r="K3" s="352"/>
      <c r="L3" s="352">
        <v>2.0299999999999998</v>
      </c>
      <c r="M3" s="352"/>
      <c r="N3" s="352"/>
      <c r="O3" s="352"/>
      <c r="P3" s="352">
        <v>2.0299999999999998</v>
      </c>
      <c r="Q3" s="352"/>
      <c r="R3" s="352"/>
      <c r="S3" s="352"/>
      <c r="T3" s="352">
        <v>2.0299999999999998</v>
      </c>
      <c r="U3" s="352"/>
      <c r="V3" s="352">
        <v>2.0299999999999998</v>
      </c>
      <c r="W3" s="352"/>
      <c r="X3" s="352">
        <v>5.51</v>
      </c>
      <c r="Y3" s="352"/>
      <c r="Z3" s="352">
        <v>4.0599999999999996</v>
      </c>
      <c r="AA3" s="352"/>
      <c r="AB3" s="352">
        <v>5.51</v>
      </c>
      <c r="AC3" s="352"/>
      <c r="AD3" s="352">
        <v>1.74</v>
      </c>
      <c r="AE3" s="352"/>
      <c r="AF3" s="352">
        <v>6.38</v>
      </c>
      <c r="AG3" s="352"/>
      <c r="AH3" s="352">
        <v>5.22</v>
      </c>
      <c r="AI3" s="352"/>
      <c r="AJ3" s="351"/>
      <c r="AK3" s="351">
        <f>SUM(H3:AJ3)</f>
        <v>44.515000000000001</v>
      </c>
      <c r="AL3" s="351"/>
      <c r="AM3" s="351"/>
      <c r="AN3" s="351" t="s">
        <v>499</v>
      </c>
      <c r="AO3" s="351" t="s">
        <v>500</v>
      </c>
      <c r="AP3" s="351"/>
    </row>
    <row r="4" spans="1:44" ht="39.75" customHeight="1" x14ac:dyDescent="0.2">
      <c r="B4" s="353"/>
      <c r="C4" s="354"/>
      <c r="D4" s="354"/>
      <c r="E4" s="354"/>
      <c r="F4" s="355"/>
      <c r="G4" s="355"/>
      <c r="H4" s="383" t="s">
        <v>121</v>
      </c>
      <c r="I4" s="356"/>
      <c r="J4" s="383" t="s">
        <v>122</v>
      </c>
      <c r="K4" s="356"/>
      <c r="L4" s="383" t="s">
        <v>125</v>
      </c>
      <c r="M4" s="356"/>
      <c r="N4" s="393" t="s">
        <v>554</v>
      </c>
      <c r="O4" s="356"/>
      <c r="P4" s="383" t="s">
        <v>127</v>
      </c>
      <c r="Q4" s="356"/>
      <c r="R4" s="393" t="s">
        <v>555</v>
      </c>
      <c r="S4" s="356"/>
      <c r="T4" s="383" t="s">
        <v>129</v>
      </c>
      <c r="U4" s="356"/>
      <c r="V4" s="383" t="s">
        <v>131</v>
      </c>
      <c r="W4" s="356"/>
      <c r="X4" s="383" t="s">
        <v>137</v>
      </c>
      <c r="Y4" s="383"/>
      <c r="Z4" s="383" t="s">
        <v>140</v>
      </c>
      <c r="AA4" s="383"/>
      <c r="AB4" s="383" t="s">
        <v>139</v>
      </c>
      <c r="AC4" s="357"/>
      <c r="AD4" s="383" t="s">
        <v>142</v>
      </c>
      <c r="AE4" s="383"/>
      <c r="AF4" s="383" t="s">
        <v>144</v>
      </c>
      <c r="AG4" s="383"/>
      <c r="AH4" s="383" t="s">
        <v>146</v>
      </c>
      <c r="AI4" s="383"/>
      <c r="AJ4" s="358"/>
      <c r="AK4" s="354" t="s">
        <v>501</v>
      </c>
      <c r="AL4" s="354"/>
      <c r="AM4" s="358" t="s">
        <v>502</v>
      </c>
      <c r="AN4" s="354"/>
      <c r="AO4" s="291"/>
      <c r="AP4" s="264"/>
    </row>
    <row r="5" spans="1:44" x14ac:dyDescent="0.2">
      <c r="C5" s="264"/>
      <c r="D5" s="264"/>
      <c r="E5" s="264"/>
      <c r="F5" s="359"/>
      <c r="G5" s="359"/>
      <c r="H5" s="359"/>
      <c r="I5" s="359"/>
      <c r="J5" s="359"/>
      <c r="K5" s="360"/>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2"/>
      <c r="AK5" s="80"/>
      <c r="AL5" s="80"/>
      <c r="AM5" s="351" t="s">
        <v>844</v>
      </c>
      <c r="AN5" s="264"/>
      <c r="AO5" s="264"/>
      <c r="AP5" s="264"/>
      <c r="AR5" s="72" t="s">
        <v>631</v>
      </c>
    </row>
    <row r="6" spans="1:44" x14ac:dyDescent="0.2">
      <c r="C6" s="80"/>
      <c r="D6" s="80"/>
      <c r="E6" s="80"/>
      <c r="F6" s="361"/>
      <c r="G6" s="361"/>
      <c r="H6" s="361"/>
      <c r="I6" s="361"/>
      <c r="J6" s="361"/>
      <c r="K6" s="360"/>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2"/>
      <c r="AK6" s="80"/>
      <c r="AL6" s="80"/>
      <c r="AM6" s="351"/>
      <c r="AN6" s="264"/>
      <c r="AO6" s="264"/>
      <c r="AP6" s="264"/>
      <c r="AR6">
        <v>1.04</v>
      </c>
    </row>
    <row r="7" spans="1:44" x14ac:dyDescent="0.2">
      <c r="C7" s="80" t="s">
        <v>518</v>
      </c>
      <c r="D7" s="363"/>
      <c r="E7" s="363"/>
      <c r="F7" s="361">
        <v>5.6</v>
      </c>
      <c r="G7" s="361"/>
      <c r="H7" s="360">
        <v>0.5</v>
      </c>
      <c r="I7" s="360"/>
      <c r="J7" s="360">
        <v>0.25</v>
      </c>
      <c r="K7" s="360"/>
      <c r="L7" s="360">
        <v>0.125</v>
      </c>
      <c r="M7" s="360"/>
      <c r="N7" s="360"/>
      <c r="O7" s="360"/>
      <c r="P7" s="360">
        <v>0.125</v>
      </c>
      <c r="Q7" s="360"/>
      <c r="R7" s="360"/>
      <c r="S7" s="360"/>
      <c r="T7" s="360">
        <v>0.125</v>
      </c>
      <c r="U7" s="360"/>
      <c r="V7" s="360">
        <v>0.125</v>
      </c>
      <c r="W7" s="360"/>
      <c r="X7" s="360">
        <v>0.5</v>
      </c>
      <c r="Y7" s="360"/>
      <c r="Z7" s="360">
        <v>0.5</v>
      </c>
      <c r="AA7" s="360"/>
      <c r="AB7" s="360">
        <v>0.5</v>
      </c>
      <c r="AC7" s="360"/>
      <c r="AD7" s="360">
        <v>0.125</v>
      </c>
      <c r="AE7" s="360"/>
      <c r="AF7" s="360">
        <v>0.5</v>
      </c>
      <c r="AG7" s="360"/>
      <c r="AH7" s="360">
        <v>0.5</v>
      </c>
      <c r="AI7" s="361"/>
      <c r="AJ7" s="364"/>
      <c r="AK7" s="111">
        <f>SUM(G7:AI7)</f>
        <v>3.875</v>
      </c>
      <c r="AL7" s="111"/>
      <c r="AM7" s="365">
        <f>AR7</f>
        <v>115.99120000000001</v>
      </c>
      <c r="AN7" s="366">
        <f>AK7*AM7</f>
        <v>449.46590000000003</v>
      </c>
      <c r="AO7" s="366">
        <f>F7*AK7*$AO$2</f>
        <v>260.39999999999998</v>
      </c>
      <c r="AP7" s="359">
        <f>AK7*F7</f>
        <v>21.7</v>
      </c>
      <c r="AQ7" s="576">
        <v>111.53</v>
      </c>
      <c r="AR7" s="203">
        <f>AQ7*$AR$6</f>
        <v>115.99120000000001</v>
      </c>
    </row>
    <row r="8" spans="1:44" x14ac:dyDescent="0.2">
      <c r="C8" s="80" t="s">
        <v>578</v>
      </c>
      <c r="D8" s="363"/>
      <c r="E8" s="363"/>
      <c r="F8" s="361">
        <v>5.6</v>
      </c>
      <c r="G8" s="361"/>
      <c r="H8" s="360">
        <v>0.5</v>
      </c>
      <c r="I8" s="360"/>
      <c r="J8" s="360">
        <v>0.25</v>
      </c>
      <c r="K8" s="360"/>
      <c r="L8" s="360">
        <v>0.125</v>
      </c>
      <c r="M8" s="360"/>
      <c r="N8" s="360"/>
      <c r="O8" s="360"/>
      <c r="P8" s="360">
        <v>0.125</v>
      </c>
      <c r="Q8" s="360"/>
      <c r="R8" s="360"/>
      <c r="S8" s="360"/>
      <c r="T8" s="360">
        <v>0.125</v>
      </c>
      <c r="U8" s="360"/>
      <c r="V8" s="360">
        <v>0.125</v>
      </c>
      <c r="W8" s="360"/>
      <c r="X8" s="360">
        <v>0.5</v>
      </c>
      <c r="Y8" s="360"/>
      <c r="Z8" s="360">
        <v>0.5</v>
      </c>
      <c r="AA8" s="360"/>
      <c r="AB8" s="360">
        <v>0.5</v>
      </c>
      <c r="AC8" s="360"/>
      <c r="AD8" s="360">
        <v>0.125</v>
      </c>
      <c r="AE8" s="360"/>
      <c r="AF8" s="360">
        <v>0.5</v>
      </c>
      <c r="AG8" s="360"/>
      <c r="AH8" s="360">
        <v>0.5</v>
      </c>
      <c r="AI8" s="361"/>
      <c r="AJ8" s="364"/>
      <c r="AK8" s="111">
        <f>SUM(G8:AI8)</f>
        <v>3.875</v>
      </c>
      <c r="AL8" s="111"/>
      <c r="AM8" s="365">
        <f t="shared" ref="AM8:AM18" si="0">AR8</f>
        <v>129.4384</v>
      </c>
      <c r="AN8" s="366">
        <f>AK8*AM8</f>
        <v>501.57380000000001</v>
      </c>
      <c r="AO8" s="366">
        <f>F8*AK8*$AO$2</f>
        <v>260.39999999999998</v>
      </c>
      <c r="AP8" s="359">
        <f t="shared" ref="AP8:AP18" si="1">AK8*F8</f>
        <v>21.7</v>
      </c>
      <c r="AQ8" s="576">
        <v>124.46</v>
      </c>
      <c r="AR8" s="203">
        <f t="shared" ref="AR8:AR18" si="2">AQ8*$AR$6</f>
        <v>129.4384</v>
      </c>
    </row>
    <row r="9" spans="1:44" x14ac:dyDescent="0.2">
      <c r="C9" s="80"/>
      <c r="D9" s="363"/>
      <c r="E9" s="363"/>
      <c r="F9" s="361"/>
      <c r="G9" s="361"/>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1"/>
      <c r="AJ9" s="364"/>
      <c r="AK9" s="111"/>
      <c r="AL9" s="111"/>
      <c r="AM9" s="365"/>
      <c r="AN9" s="366"/>
      <c r="AO9" s="366"/>
      <c r="AP9" s="359"/>
      <c r="AQ9" s="576"/>
      <c r="AR9" s="203"/>
    </row>
    <row r="10" spans="1:44" x14ac:dyDescent="0.2">
      <c r="C10" s="80" t="s">
        <v>519</v>
      </c>
      <c r="D10" s="363"/>
      <c r="E10" s="363"/>
      <c r="F10" s="361">
        <v>5.6</v>
      </c>
      <c r="G10" s="361"/>
      <c r="H10" s="360">
        <v>2</v>
      </c>
      <c r="I10" s="360"/>
      <c r="J10" s="360">
        <v>2</v>
      </c>
      <c r="K10" s="360"/>
      <c r="L10" s="360">
        <v>2</v>
      </c>
      <c r="M10" s="360"/>
      <c r="N10" s="360"/>
      <c r="O10" s="360"/>
      <c r="P10" s="360">
        <v>2</v>
      </c>
      <c r="Q10" s="360"/>
      <c r="R10" s="360"/>
      <c r="S10" s="360"/>
      <c r="T10" s="360">
        <v>2</v>
      </c>
      <c r="U10" s="360"/>
      <c r="V10" s="360">
        <v>2</v>
      </c>
      <c r="W10" s="360"/>
      <c r="X10" s="573">
        <v>3</v>
      </c>
      <c r="Y10" s="360"/>
      <c r="Z10" s="360">
        <v>2</v>
      </c>
      <c r="AA10" s="360"/>
      <c r="AB10" s="572">
        <v>2</v>
      </c>
      <c r="AC10" s="360"/>
      <c r="AD10" s="360">
        <v>2</v>
      </c>
      <c r="AE10" s="360"/>
      <c r="AF10" s="573">
        <v>3</v>
      </c>
      <c r="AG10" s="360"/>
      <c r="AH10" s="360">
        <v>2</v>
      </c>
      <c r="AI10" s="361"/>
      <c r="AJ10" s="364"/>
      <c r="AK10" s="111">
        <f>SUM(G10:AI10)</f>
        <v>26</v>
      </c>
      <c r="AL10" s="111"/>
      <c r="AM10" s="365">
        <f t="shared" si="0"/>
        <v>149.33360000000002</v>
      </c>
      <c r="AN10" s="366">
        <f>AK10*AM10</f>
        <v>3882.6736000000005</v>
      </c>
      <c r="AO10" s="366">
        <f>F10*AK10*$AO$2</f>
        <v>1747.1999999999998</v>
      </c>
      <c r="AP10" s="359">
        <f t="shared" si="1"/>
        <v>145.6</v>
      </c>
      <c r="AQ10" s="576">
        <v>143.59</v>
      </c>
      <c r="AR10" s="203">
        <f t="shared" si="2"/>
        <v>149.33360000000002</v>
      </c>
    </row>
    <row r="11" spans="1:44" x14ac:dyDescent="0.2">
      <c r="C11" s="80" t="s">
        <v>520</v>
      </c>
      <c r="D11" s="363"/>
      <c r="E11" s="363"/>
      <c r="F11" s="361">
        <v>5.6</v>
      </c>
      <c r="G11" s="361"/>
      <c r="H11" s="360">
        <v>2</v>
      </c>
      <c r="I11" s="360"/>
      <c r="J11" s="360">
        <v>2</v>
      </c>
      <c r="K11" s="360"/>
      <c r="L11" s="360">
        <v>2</v>
      </c>
      <c r="M11" s="360"/>
      <c r="N11" s="360"/>
      <c r="O11" s="360"/>
      <c r="P11" s="360">
        <v>2</v>
      </c>
      <c r="Q11" s="360"/>
      <c r="R11" s="360"/>
      <c r="S11" s="360"/>
      <c r="T11" s="360">
        <v>2</v>
      </c>
      <c r="U11" s="360"/>
      <c r="V11" s="360">
        <v>2</v>
      </c>
      <c r="W11" s="360"/>
      <c r="X11" s="573">
        <v>3</v>
      </c>
      <c r="Y11" s="360"/>
      <c r="Z11" s="360">
        <v>2</v>
      </c>
      <c r="AA11" s="360"/>
      <c r="AB11" s="572">
        <v>2</v>
      </c>
      <c r="AC11" s="360"/>
      <c r="AD11" s="360">
        <v>2</v>
      </c>
      <c r="AE11" s="360"/>
      <c r="AF11" s="573">
        <v>3</v>
      </c>
      <c r="AG11" s="360"/>
      <c r="AH11" s="360">
        <v>2</v>
      </c>
      <c r="AI11" s="361"/>
      <c r="AJ11" s="364"/>
      <c r="AK11" s="111">
        <f>SUM(G11:AI11)</f>
        <v>26</v>
      </c>
      <c r="AL11" s="111"/>
      <c r="AM11" s="365">
        <f t="shared" si="0"/>
        <v>135.69919999999999</v>
      </c>
      <c r="AN11" s="366">
        <f>AK11*AM11</f>
        <v>3528.1791999999996</v>
      </c>
      <c r="AO11" s="366">
        <f>F11*AK11*$AO$2</f>
        <v>1747.1999999999998</v>
      </c>
      <c r="AP11" s="359">
        <f t="shared" si="1"/>
        <v>145.6</v>
      </c>
      <c r="AQ11" s="576">
        <v>130.47999999999999</v>
      </c>
      <c r="AR11" s="203">
        <f t="shared" si="2"/>
        <v>135.69919999999999</v>
      </c>
    </row>
    <row r="12" spans="1:44" x14ac:dyDescent="0.2">
      <c r="A12" s="72"/>
      <c r="C12" s="363"/>
      <c r="D12" s="363"/>
      <c r="E12" s="363"/>
      <c r="F12" s="361"/>
      <c r="G12" s="361"/>
      <c r="H12" s="361"/>
      <c r="I12" s="361"/>
      <c r="J12" s="361"/>
      <c r="K12" s="360"/>
      <c r="L12" s="361"/>
      <c r="M12" s="361"/>
      <c r="N12" s="361"/>
      <c r="O12" s="361"/>
      <c r="P12" s="361"/>
      <c r="Q12" s="361"/>
      <c r="R12" s="361"/>
      <c r="S12" s="361"/>
      <c r="T12" s="361"/>
      <c r="U12" s="361"/>
      <c r="V12" s="361"/>
      <c r="W12" s="361"/>
      <c r="X12" s="361"/>
      <c r="Y12" s="361"/>
      <c r="Z12" s="361"/>
      <c r="AA12" s="361"/>
      <c r="AB12" s="361"/>
      <c r="AC12" s="361"/>
      <c r="AD12" s="361"/>
      <c r="AE12" s="361"/>
      <c r="AF12" s="361"/>
      <c r="AG12" s="361"/>
      <c r="AH12" s="361"/>
      <c r="AI12" s="361"/>
      <c r="AJ12" s="367"/>
      <c r="AK12" s="111"/>
      <c r="AL12" s="111"/>
      <c r="AM12" s="365"/>
      <c r="AN12" s="366"/>
      <c r="AO12" s="366"/>
      <c r="AP12" s="359"/>
      <c r="AQ12" s="576"/>
      <c r="AR12" s="203"/>
    </row>
    <row r="13" spans="1:44" x14ac:dyDescent="0.2">
      <c r="A13" s="72"/>
      <c r="C13" s="363" t="s">
        <v>552</v>
      </c>
      <c r="D13" s="363"/>
      <c r="E13" s="363"/>
      <c r="F13" s="361">
        <v>5.6</v>
      </c>
      <c r="G13" s="361"/>
      <c r="H13" s="361"/>
      <c r="I13" s="361"/>
      <c r="J13" s="361"/>
      <c r="K13" s="360"/>
      <c r="L13" s="361"/>
      <c r="M13" s="361"/>
      <c r="N13" s="361">
        <v>2.5</v>
      </c>
      <c r="O13" s="361"/>
      <c r="P13" s="361"/>
      <c r="Q13" s="361"/>
      <c r="R13" s="361">
        <v>2.5</v>
      </c>
      <c r="S13" s="361"/>
      <c r="T13" s="361"/>
      <c r="U13" s="361"/>
      <c r="V13" s="361"/>
      <c r="W13" s="361"/>
      <c r="X13" s="361"/>
      <c r="Y13" s="361"/>
      <c r="Z13" s="361"/>
      <c r="AA13" s="361"/>
      <c r="AB13" s="361"/>
      <c r="AC13" s="361"/>
      <c r="AD13" s="361"/>
      <c r="AE13" s="361"/>
      <c r="AF13" s="361"/>
      <c r="AG13" s="361"/>
      <c r="AH13" s="361"/>
      <c r="AI13" s="361"/>
      <c r="AJ13" s="367"/>
      <c r="AK13" s="111">
        <f>SUM(G13:AI13)</f>
        <v>5</v>
      </c>
      <c r="AL13" s="111"/>
      <c r="AM13" s="365">
        <f t="shared" si="0"/>
        <v>135.74080000000001</v>
      </c>
      <c r="AN13" s="366">
        <f>AK13*AM13</f>
        <v>678.70400000000006</v>
      </c>
      <c r="AO13" s="366">
        <f>F13*AK13*$AO$2</f>
        <v>336</v>
      </c>
      <c r="AP13" s="359">
        <f t="shared" si="1"/>
        <v>28</v>
      </c>
      <c r="AQ13" s="576">
        <v>130.52000000000001</v>
      </c>
      <c r="AR13" s="203">
        <f t="shared" si="2"/>
        <v>135.74080000000001</v>
      </c>
    </row>
    <row r="14" spans="1:44" x14ac:dyDescent="0.2">
      <c r="A14" s="72"/>
      <c r="C14" s="370" t="s">
        <v>553</v>
      </c>
      <c r="D14" s="370"/>
      <c r="E14" s="370"/>
      <c r="F14" s="359">
        <v>5.6</v>
      </c>
      <c r="G14" s="361"/>
      <c r="H14" s="571">
        <v>0.5</v>
      </c>
      <c r="I14" s="361"/>
      <c r="J14" s="571">
        <v>0.5</v>
      </c>
      <c r="K14" s="360"/>
      <c r="L14" s="571">
        <v>0.5</v>
      </c>
      <c r="M14" s="361"/>
      <c r="N14" s="361">
        <v>2.5</v>
      </c>
      <c r="O14" s="361"/>
      <c r="P14" s="571">
        <v>0.5</v>
      </c>
      <c r="Q14" s="361"/>
      <c r="R14" s="361">
        <v>2.5</v>
      </c>
      <c r="S14" s="361"/>
      <c r="T14" s="571">
        <v>0.5</v>
      </c>
      <c r="U14" s="361"/>
      <c r="V14" s="571">
        <v>0.5</v>
      </c>
      <c r="W14" s="361"/>
      <c r="X14" s="571">
        <v>0.5</v>
      </c>
      <c r="Y14" s="361"/>
      <c r="Z14" s="571">
        <v>0.5</v>
      </c>
      <c r="AA14" s="361"/>
      <c r="AB14" s="571"/>
      <c r="AC14" s="361"/>
      <c r="AD14" s="571">
        <v>0.5</v>
      </c>
      <c r="AE14" s="361"/>
      <c r="AF14" s="571">
        <v>0.5</v>
      </c>
      <c r="AG14" s="361"/>
      <c r="AH14" s="571">
        <v>0.5</v>
      </c>
      <c r="AI14" s="361"/>
      <c r="AJ14" s="367"/>
      <c r="AK14" s="111">
        <f>SUM(G14:AI14)</f>
        <v>10.5</v>
      </c>
      <c r="AL14" s="111"/>
      <c r="AM14" s="365">
        <f t="shared" si="0"/>
        <v>35.4328</v>
      </c>
      <c r="AN14" s="366">
        <f>AK14*AM14</f>
        <v>372.0444</v>
      </c>
      <c r="AO14" s="366">
        <f>F14*AK14*$AO$2</f>
        <v>705.59999999999991</v>
      </c>
      <c r="AP14" s="359">
        <f t="shared" si="1"/>
        <v>58.8</v>
      </c>
      <c r="AQ14" s="576">
        <v>34.07</v>
      </c>
      <c r="AR14" s="203">
        <f t="shared" si="2"/>
        <v>35.4328</v>
      </c>
    </row>
    <row r="15" spans="1:44" x14ac:dyDescent="0.2">
      <c r="A15" s="72"/>
      <c r="C15" s="370"/>
      <c r="D15" s="370"/>
      <c r="E15" s="370"/>
      <c r="F15" s="359"/>
      <c r="G15" s="361"/>
      <c r="H15" s="571"/>
      <c r="I15" s="361"/>
      <c r="J15" s="571"/>
      <c r="K15" s="360"/>
      <c r="L15" s="571"/>
      <c r="M15" s="361"/>
      <c r="N15" s="361"/>
      <c r="O15" s="361"/>
      <c r="P15" s="571"/>
      <c r="Q15" s="361"/>
      <c r="R15" s="361"/>
      <c r="S15" s="361"/>
      <c r="T15" s="571"/>
      <c r="U15" s="361"/>
      <c r="V15" s="571"/>
      <c r="W15" s="361"/>
      <c r="X15" s="571"/>
      <c r="Y15" s="361"/>
      <c r="Z15" s="571"/>
      <c r="AA15" s="361"/>
      <c r="AB15" s="571"/>
      <c r="AC15" s="361"/>
      <c r="AD15" s="571"/>
      <c r="AE15" s="361"/>
      <c r="AF15" s="571"/>
      <c r="AG15" s="361"/>
      <c r="AH15" s="571"/>
      <c r="AI15" s="361"/>
      <c r="AJ15" s="367"/>
      <c r="AK15" s="111"/>
      <c r="AL15" s="111"/>
      <c r="AM15" s="365"/>
      <c r="AN15" s="366"/>
      <c r="AO15" s="366"/>
      <c r="AP15" s="359"/>
      <c r="AQ15" s="576"/>
      <c r="AR15" s="203"/>
    </row>
    <row r="16" spans="1:44" x14ac:dyDescent="0.2">
      <c r="A16" s="72"/>
      <c r="C16" s="574" t="s">
        <v>842</v>
      </c>
      <c r="D16" s="370"/>
      <c r="E16" s="370"/>
      <c r="F16" s="359">
        <v>5.6</v>
      </c>
      <c r="G16" s="361"/>
      <c r="H16" s="573">
        <v>1</v>
      </c>
      <c r="I16" s="361"/>
      <c r="J16" s="573">
        <v>1</v>
      </c>
      <c r="K16" s="360"/>
      <c r="L16" s="573">
        <v>1</v>
      </c>
      <c r="M16" s="361"/>
      <c r="N16" s="361"/>
      <c r="O16" s="361"/>
      <c r="P16" s="573">
        <v>1</v>
      </c>
      <c r="Q16" s="361"/>
      <c r="R16" s="361"/>
      <c r="S16" s="361"/>
      <c r="T16" s="573">
        <v>1</v>
      </c>
      <c r="U16" s="361"/>
      <c r="V16" s="573">
        <v>1</v>
      </c>
      <c r="W16" s="361"/>
      <c r="X16" s="573">
        <v>1</v>
      </c>
      <c r="Y16" s="361"/>
      <c r="Z16" s="573">
        <v>1</v>
      </c>
      <c r="AA16" s="361"/>
      <c r="AB16" s="573"/>
      <c r="AC16" s="361"/>
      <c r="AD16" s="573">
        <v>1</v>
      </c>
      <c r="AE16" s="361"/>
      <c r="AF16" s="573">
        <v>1</v>
      </c>
      <c r="AG16" s="361"/>
      <c r="AH16" s="573">
        <v>1</v>
      </c>
      <c r="AI16" s="361"/>
      <c r="AJ16" s="367"/>
      <c r="AK16" s="111">
        <f>SUM(G16:AI16)</f>
        <v>11</v>
      </c>
      <c r="AL16" s="111"/>
      <c r="AM16" s="365">
        <f t="shared" si="0"/>
        <v>127.61839999999999</v>
      </c>
      <c r="AN16" s="366">
        <f>AK16*AM16</f>
        <v>1403.8024</v>
      </c>
      <c r="AO16" s="366">
        <f>F16*AK16*$AO$2</f>
        <v>739.19999999999993</v>
      </c>
      <c r="AP16" s="359">
        <f t="shared" si="1"/>
        <v>61.599999999999994</v>
      </c>
      <c r="AQ16" s="576">
        <v>122.71</v>
      </c>
      <c r="AR16" s="203">
        <f t="shared" si="2"/>
        <v>127.61839999999999</v>
      </c>
    </row>
    <row r="17" spans="1:44" x14ac:dyDescent="0.2">
      <c r="A17" s="72"/>
      <c r="C17" s="574" t="s">
        <v>841</v>
      </c>
      <c r="D17" s="370"/>
      <c r="E17" s="370"/>
      <c r="F17" s="359">
        <v>5.6</v>
      </c>
      <c r="G17" s="361"/>
      <c r="H17" s="571">
        <v>1.25</v>
      </c>
      <c r="I17" s="361"/>
      <c r="J17" s="571">
        <v>1.25</v>
      </c>
      <c r="K17" s="360"/>
      <c r="L17" s="571">
        <v>1.25</v>
      </c>
      <c r="M17" s="361"/>
      <c r="N17" s="361"/>
      <c r="O17" s="361"/>
      <c r="P17" s="571">
        <v>1.25</v>
      </c>
      <c r="Q17" s="361"/>
      <c r="R17" s="361"/>
      <c r="S17" s="361"/>
      <c r="T17" s="571">
        <v>1.25</v>
      </c>
      <c r="U17" s="361"/>
      <c r="V17" s="571">
        <v>1.25</v>
      </c>
      <c r="W17" s="361"/>
      <c r="X17" s="571">
        <v>1.25</v>
      </c>
      <c r="Y17" s="361"/>
      <c r="Z17" s="571">
        <v>1.25</v>
      </c>
      <c r="AA17" s="361"/>
      <c r="AB17" s="571"/>
      <c r="AC17" s="361"/>
      <c r="AD17" s="571">
        <v>1.25</v>
      </c>
      <c r="AE17" s="361"/>
      <c r="AF17" s="571">
        <v>1.25</v>
      </c>
      <c r="AG17" s="361"/>
      <c r="AH17" s="571">
        <v>1.25</v>
      </c>
      <c r="AI17" s="361"/>
      <c r="AJ17" s="367"/>
      <c r="AK17" s="111">
        <f>SUM(G17:AI17)</f>
        <v>13.75</v>
      </c>
      <c r="AL17" s="111"/>
      <c r="AM17" s="365">
        <f t="shared" si="0"/>
        <v>100.91120000000001</v>
      </c>
      <c r="AN17" s="366">
        <f>AK17*AM17</f>
        <v>1387.529</v>
      </c>
      <c r="AO17" s="366">
        <f>F17*AK17*$AO$2</f>
        <v>924</v>
      </c>
      <c r="AP17" s="359">
        <f t="shared" si="1"/>
        <v>77</v>
      </c>
      <c r="AQ17" s="576">
        <v>97.03</v>
      </c>
      <c r="AR17" s="203">
        <f t="shared" si="2"/>
        <v>100.91120000000001</v>
      </c>
    </row>
    <row r="18" spans="1:44" x14ac:dyDescent="0.2">
      <c r="A18" s="72"/>
      <c r="C18" s="574" t="s">
        <v>840</v>
      </c>
      <c r="D18" s="370"/>
      <c r="E18" s="370"/>
      <c r="F18" s="359">
        <v>5.6</v>
      </c>
      <c r="G18" s="361"/>
      <c r="H18" s="571">
        <v>1.25</v>
      </c>
      <c r="I18" s="361"/>
      <c r="J18" s="571">
        <v>1.25</v>
      </c>
      <c r="K18" s="360"/>
      <c r="L18" s="571">
        <v>1.25</v>
      </c>
      <c r="M18" s="361"/>
      <c r="N18" s="361"/>
      <c r="O18" s="361"/>
      <c r="P18" s="571">
        <v>1.25</v>
      </c>
      <c r="Q18" s="361"/>
      <c r="R18" s="361"/>
      <c r="S18" s="361"/>
      <c r="T18" s="571">
        <v>1.25</v>
      </c>
      <c r="U18" s="361"/>
      <c r="V18" s="571">
        <v>1.25</v>
      </c>
      <c r="W18" s="361"/>
      <c r="X18" s="571">
        <v>1.25</v>
      </c>
      <c r="Y18" s="361"/>
      <c r="Z18" s="571">
        <v>1.25</v>
      </c>
      <c r="AA18" s="361"/>
      <c r="AB18" s="571"/>
      <c r="AC18" s="361"/>
      <c r="AD18" s="571">
        <v>1.25</v>
      </c>
      <c r="AE18" s="361"/>
      <c r="AF18" s="571">
        <v>1.25</v>
      </c>
      <c r="AG18" s="361"/>
      <c r="AH18" s="571">
        <v>1.25</v>
      </c>
      <c r="AI18" s="361"/>
      <c r="AJ18" s="367"/>
      <c r="AK18" s="111">
        <f>SUM(G18:AI18)</f>
        <v>13.75</v>
      </c>
      <c r="AL18" s="111"/>
      <c r="AM18" s="365">
        <f t="shared" si="0"/>
        <v>47.933600000000006</v>
      </c>
      <c r="AN18" s="366">
        <f>AK18*AM18</f>
        <v>659.0870000000001</v>
      </c>
      <c r="AO18" s="366">
        <f>F18*AK18*$AO$2</f>
        <v>924</v>
      </c>
      <c r="AP18" s="359">
        <f t="shared" si="1"/>
        <v>77</v>
      </c>
      <c r="AQ18" s="576">
        <v>46.09</v>
      </c>
      <c r="AR18" s="203">
        <f t="shared" si="2"/>
        <v>47.933600000000006</v>
      </c>
    </row>
    <row r="19" spans="1:44" x14ac:dyDescent="0.2">
      <c r="A19" s="72"/>
      <c r="C19" s="574"/>
      <c r="D19" s="370"/>
      <c r="E19" s="370"/>
      <c r="F19" s="359"/>
      <c r="G19" s="361"/>
      <c r="H19" s="361"/>
      <c r="I19" s="361"/>
      <c r="J19" s="361"/>
      <c r="K19" s="360"/>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7"/>
      <c r="AK19" s="111"/>
      <c r="AL19" s="111"/>
      <c r="AM19" s="365"/>
      <c r="AN19" s="366"/>
      <c r="AO19" s="366"/>
      <c r="AP19" s="359"/>
      <c r="AQ19" s="365"/>
      <c r="AR19" s="203"/>
    </row>
    <row r="20" spans="1:44" x14ac:dyDescent="0.2">
      <c r="A20" s="72"/>
      <c r="C20" s="574" t="s">
        <v>843</v>
      </c>
      <c r="D20" s="370"/>
      <c r="E20" s="370"/>
      <c r="F20" s="359"/>
      <c r="G20" s="361"/>
      <c r="H20" s="361"/>
      <c r="I20" s="361"/>
      <c r="J20" s="361"/>
      <c r="K20" s="360"/>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7"/>
      <c r="AK20" s="111">
        <f>SUM(AP7:AP18)</f>
        <v>637</v>
      </c>
      <c r="AL20" s="111"/>
      <c r="AM20" s="365">
        <v>4.8</v>
      </c>
      <c r="AN20" s="366">
        <f>AK20*AM20</f>
        <v>3057.6</v>
      </c>
      <c r="AO20" s="366"/>
      <c r="AP20" s="359"/>
      <c r="AQ20" s="365"/>
      <c r="AR20" s="203"/>
    </row>
    <row r="21" spans="1:44" x14ac:dyDescent="0.2">
      <c r="A21" s="72"/>
      <c r="C21" s="370"/>
      <c r="D21" s="370"/>
      <c r="E21" s="370"/>
      <c r="F21" s="359"/>
      <c r="G21" s="361"/>
      <c r="H21" s="361"/>
      <c r="I21" s="361"/>
      <c r="J21" s="361"/>
      <c r="K21" s="360"/>
      <c r="L21" s="361"/>
      <c r="M21" s="361"/>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67"/>
      <c r="AK21" s="111"/>
      <c r="AL21" s="111"/>
      <c r="AM21" s="365"/>
      <c r="AN21" s="366"/>
      <c r="AO21" s="366"/>
      <c r="AP21" s="359"/>
      <c r="AQ21" s="365"/>
      <c r="AR21" s="203"/>
    </row>
    <row r="22" spans="1:44" x14ac:dyDescent="0.2">
      <c r="A22" s="72"/>
      <c r="C22" s="370"/>
      <c r="D22" s="370"/>
      <c r="E22" s="370"/>
      <c r="F22" s="359"/>
      <c r="G22" s="361"/>
      <c r="H22" s="361"/>
      <c r="I22" s="361"/>
      <c r="J22" s="361"/>
      <c r="K22" s="360"/>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67"/>
      <c r="AK22" s="111"/>
      <c r="AL22" s="111"/>
      <c r="AM22" s="365"/>
      <c r="AN22" s="366"/>
      <c r="AO22" s="366"/>
      <c r="AP22" s="366"/>
      <c r="AQ22" s="365"/>
      <c r="AR22" s="203"/>
    </row>
    <row r="23" spans="1:44" x14ac:dyDescent="0.2">
      <c r="C23" s="363" t="s">
        <v>503</v>
      </c>
      <c r="D23" s="363"/>
      <c r="E23" s="363"/>
      <c r="F23" s="363"/>
      <c r="G23" s="363"/>
      <c r="H23" s="361"/>
      <c r="I23" s="361"/>
      <c r="J23" s="361"/>
      <c r="K23" s="360"/>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71"/>
      <c r="AK23" s="369"/>
      <c r="AL23" s="369"/>
      <c r="AM23" s="372"/>
      <c r="AN23" s="373"/>
      <c r="AO23" s="373"/>
      <c r="AP23" s="359"/>
    </row>
    <row r="24" spans="1:44" x14ac:dyDescent="0.2">
      <c r="C24" s="363"/>
      <c r="D24" s="363"/>
      <c r="E24" s="363"/>
      <c r="F24" s="363"/>
      <c r="G24" s="363"/>
      <c r="H24" s="361"/>
      <c r="I24" s="361"/>
      <c r="J24" s="361"/>
      <c r="K24" s="360"/>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71"/>
      <c r="AK24" s="369"/>
      <c r="AL24" s="369"/>
      <c r="AM24" s="372"/>
      <c r="AN24" s="373"/>
      <c r="AO24" s="373"/>
      <c r="AP24" s="359"/>
    </row>
    <row r="25" spans="1:44" x14ac:dyDescent="0.2">
      <c r="C25" s="80" t="s">
        <v>504</v>
      </c>
      <c r="D25" s="363"/>
      <c r="E25" s="363"/>
      <c r="F25" s="363"/>
      <c r="G25" s="363"/>
      <c r="H25" s="360">
        <v>4</v>
      </c>
      <c r="I25" s="361"/>
      <c r="J25" s="360">
        <v>4</v>
      </c>
      <c r="K25" s="360"/>
      <c r="L25" s="360">
        <v>4</v>
      </c>
      <c r="M25" s="361"/>
      <c r="N25" s="360">
        <v>4</v>
      </c>
      <c r="O25" s="361"/>
      <c r="P25" s="360">
        <v>4</v>
      </c>
      <c r="Q25" s="361"/>
      <c r="R25" s="360">
        <v>4</v>
      </c>
      <c r="S25" s="361"/>
      <c r="T25" s="360">
        <v>4</v>
      </c>
      <c r="U25" s="361"/>
      <c r="V25" s="360">
        <v>4</v>
      </c>
      <c r="W25" s="361"/>
      <c r="X25" s="360">
        <v>4</v>
      </c>
      <c r="Y25" s="361"/>
      <c r="Z25" s="360">
        <v>4</v>
      </c>
      <c r="AA25" s="361"/>
      <c r="AB25" s="360"/>
      <c r="AC25" s="361"/>
      <c r="AD25" s="360">
        <v>4</v>
      </c>
      <c r="AE25" s="361"/>
      <c r="AF25" s="360">
        <v>4</v>
      </c>
      <c r="AG25" s="361"/>
      <c r="AH25" s="360">
        <v>4</v>
      </c>
      <c r="AI25" s="361"/>
      <c r="AJ25" s="371"/>
      <c r="AK25" s="374">
        <f>SUM(G25:AI25)</f>
        <v>52</v>
      </c>
      <c r="AL25" s="374"/>
      <c r="AM25" s="372">
        <v>20</v>
      </c>
      <c r="AN25" s="373">
        <f>AK25*AM25</f>
        <v>1040</v>
      </c>
      <c r="AO25" s="373">
        <f>F25*AK25*$AP$2</f>
        <v>0</v>
      </c>
      <c r="AP25" s="359"/>
    </row>
    <row r="26" spans="1:44" x14ac:dyDescent="0.2">
      <c r="C26" s="80"/>
      <c r="D26" s="363"/>
      <c r="E26" s="363"/>
      <c r="F26" s="363"/>
      <c r="G26" s="363"/>
      <c r="H26" s="361"/>
      <c r="I26" s="361"/>
      <c r="J26" s="361"/>
      <c r="K26" s="360"/>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71"/>
      <c r="AK26" s="374"/>
      <c r="AL26" s="374"/>
      <c r="AM26" s="372"/>
      <c r="AN26" s="373"/>
      <c r="AO26" s="373"/>
      <c r="AP26" s="359"/>
    </row>
    <row r="27" spans="1:44" x14ac:dyDescent="0.2">
      <c r="C27" s="80" t="s">
        <v>505</v>
      </c>
      <c r="D27" s="363"/>
      <c r="E27" s="363"/>
      <c r="F27" s="363"/>
      <c r="G27" s="363"/>
      <c r="H27" s="361"/>
      <c r="I27" s="361"/>
      <c r="J27" s="361"/>
      <c r="K27" s="360"/>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71"/>
      <c r="AK27" s="374"/>
      <c r="AL27" s="374"/>
      <c r="AM27" s="372">
        <v>82</v>
      </c>
      <c r="AN27" s="373">
        <f>AK27*AM27</f>
        <v>0</v>
      </c>
      <c r="AO27" s="373">
        <f>F27*AK27*$AP$2</f>
        <v>0</v>
      </c>
      <c r="AP27" s="359"/>
    </row>
    <row r="28" spans="1:44" x14ac:dyDescent="0.2">
      <c r="C28" s="80"/>
      <c r="D28" s="363"/>
      <c r="E28" s="363"/>
      <c r="F28" s="363"/>
      <c r="G28" s="363"/>
      <c r="H28" s="361"/>
      <c r="I28" s="361"/>
      <c r="J28" s="361"/>
      <c r="K28" s="360"/>
      <c r="L28" s="361"/>
      <c r="M28" s="361"/>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71"/>
      <c r="AK28" s="374"/>
      <c r="AL28" s="374"/>
      <c r="AM28" s="372"/>
      <c r="AN28" s="373"/>
      <c r="AO28" s="373"/>
      <c r="AP28" s="359"/>
    </row>
    <row r="29" spans="1:44" x14ac:dyDescent="0.2">
      <c r="C29" s="80" t="s">
        <v>847</v>
      </c>
      <c r="D29" s="363"/>
      <c r="E29" s="363"/>
      <c r="F29" s="362"/>
      <c r="G29" s="362"/>
      <c r="H29" s="360">
        <v>6</v>
      </c>
      <c r="I29" s="361"/>
      <c r="J29" s="360">
        <v>6</v>
      </c>
      <c r="K29" s="360"/>
      <c r="L29" s="360">
        <v>6</v>
      </c>
      <c r="M29" s="360"/>
      <c r="N29" s="360">
        <v>6</v>
      </c>
      <c r="O29" s="361"/>
      <c r="P29" s="360">
        <v>6</v>
      </c>
      <c r="Q29" s="361"/>
      <c r="R29" s="360">
        <v>6</v>
      </c>
      <c r="S29" s="361"/>
      <c r="T29" s="360">
        <v>6</v>
      </c>
      <c r="U29" s="361"/>
      <c r="V29" s="360">
        <v>6</v>
      </c>
      <c r="W29" s="361"/>
      <c r="X29" s="360">
        <v>6</v>
      </c>
      <c r="Y29" s="361"/>
      <c r="Z29" s="360">
        <v>6</v>
      </c>
      <c r="AA29" s="361"/>
      <c r="AB29" s="361"/>
      <c r="AC29" s="361"/>
      <c r="AD29" s="360">
        <v>6</v>
      </c>
      <c r="AE29" s="361"/>
      <c r="AF29" s="360">
        <v>6</v>
      </c>
      <c r="AG29" s="361"/>
      <c r="AH29" s="360">
        <v>6</v>
      </c>
      <c r="AI29" s="361"/>
      <c r="AJ29" s="371"/>
      <c r="AK29" s="374">
        <f>SUM(G29:AI29)</f>
        <v>78</v>
      </c>
      <c r="AL29" s="374" t="s">
        <v>507</v>
      </c>
      <c r="AM29" s="372">
        <v>5.6</v>
      </c>
      <c r="AN29" s="373">
        <f>AK29*AM29</f>
        <v>436.79999999999995</v>
      </c>
      <c r="AO29" s="373"/>
      <c r="AP29" s="359"/>
    </row>
    <row r="30" spans="1:44" x14ac:dyDescent="0.2">
      <c r="C30" s="80"/>
      <c r="D30" s="363"/>
      <c r="E30" s="363"/>
      <c r="F30" s="362"/>
      <c r="G30" s="362"/>
      <c r="H30" s="361"/>
      <c r="I30" s="361"/>
      <c r="J30" s="361"/>
      <c r="K30" s="360"/>
      <c r="L30" s="361"/>
      <c r="M30" s="361"/>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71"/>
      <c r="AK30" s="374"/>
      <c r="AL30" s="374"/>
      <c r="AM30" s="372"/>
      <c r="AN30" s="373"/>
      <c r="AO30" s="373"/>
      <c r="AP30" s="359"/>
    </row>
    <row r="31" spans="1:44" x14ac:dyDescent="0.2">
      <c r="C31" s="362" t="s">
        <v>508</v>
      </c>
      <c r="D31" s="362"/>
      <c r="E31" s="362"/>
      <c r="F31" s="362"/>
      <c r="G31" s="362"/>
      <c r="H31" s="361"/>
      <c r="I31" s="361"/>
      <c r="J31" s="361"/>
      <c r="K31" s="360"/>
      <c r="L31" s="361"/>
      <c r="M31" s="361"/>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75"/>
      <c r="AK31" s="374">
        <f>SUM(G31:AI31)</f>
        <v>0</v>
      </c>
      <c r="AL31" s="374" t="s">
        <v>507</v>
      </c>
      <c r="AM31" s="372">
        <v>1.9</v>
      </c>
      <c r="AN31" s="373">
        <f>AK31*AM31</f>
        <v>0</v>
      </c>
      <c r="AO31" s="362"/>
      <c r="AP31" s="351"/>
    </row>
    <row r="32" spans="1:44" x14ac:dyDescent="0.2">
      <c r="C32" s="362"/>
      <c r="D32" s="362"/>
      <c r="E32" s="362"/>
      <c r="F32" s="362"/>
      <c r="G32" s="362"/>
      <c r="H32" s="361"/>
      <c r="I32" s="361"/>
      <c r="J32" s="361"/>
      <c r="K32" s="360"/>
      <c r="L32" s="361"/>
      <c r="M32" s="361"/>
      <c r="N32" s="361"/>
      <c r="O32" s="361"/>
      <c r="P32" s="361"/>
      <c r="Q32" s="361"/>
      <c r="R32" s="361"/>
      <c r="S32" s="361"/>
      <c r="T32" s="361"/>
      <c r="U32" s="361"/>
      <c r="V32" s="361"/>
      <c r="W32" s="361"/>
      <c r="X32" s="361"/>
      <c r="Y32" s="361"/>
      <c r="Z32" s="361"/>
      <c r="AA32" s="361"/>
      <c r="AB32" s="361"/>
      <c r="AC32" s="361"/>
      <c r="AD32" s="361"/>
      <c r="AE32" s="361"/>
      <c r="AF32" s="361"/>
      <c r="AG32" s="361"/>
      <c r="AH32" s="361"/>
      <c r="AI32" s="361"/>
      <c r="AJ32" s="375"/>
      <c r="AK32" s="374"/>
      <c r="AL32" s="374"/>
      <c r="AM32" s="362"/>
      <c r="AN32" s="373"/>
      <c r="AO32" s="362"/>
      <c r="AP32" s="351"/>
    </row>
    <row r="33" spans="2:42" x14ac:dyDescent="0.2">
      <c r="C33" s="351" t="s">
        <v>509</v>
      </c>
      <c r="D33" s="351"/>
      <c r="E33" s="351"/>
      <c r="F33" s="351"/>
      <c r="G33" s="351"/>
      <c r="H33" s="361"/>
      <c r="I33" s="361"/>
      <c r="J33" s="361"/>
      <c r="K33" s="360"/>
      <c r="L33" s="361"/>
      <c r="M33" s="361"/>
      <c r="N33" s="361"/>
      <c r="O33" s="361"/>
      <c r="P33" s="361"/>
      <c r="Q33" s="361"/>
      <c r="R33" s="361"/>
      <c r="S33" s="361"/>
      <c r="T33" s="361"/>
      <c r="U33" s="361"/>
      <c r="V33" s="361"/>
      <c r="W33" s="361"/>
      <c r="X33" s="361"/>
      <c r="Y33" s="361"/>
      <c r="Z33" s="361"/>
      <c r="AA33" s="361"/>
      <c r="AB33" s="361"/>
      <c r="AC33" s="361"/>
      <c r="AD33" s="361"/>
      <c r="AE33" s="361"/>
      <c r="AF33" s="361"/>
      <c r="AG33" s="361"/>
      <c r="AH33" s="361"/>
      <c r="AI33" s="361"/>
      <c r="AJ33" s="348"/>
      <c r="AK33" s="118">
        <f>SUM(G33:AI33)</f>
        <v>0</v>
      </c>
      <c r="AL33" s="118"/>
      <c r="AM33" s="368">
        <v>150</v>
      </c>
      <c r="AN33" s="352"/>
      <c r="AO33" s="376">
        <f>AK33*AM33</f>
        <v>0</v>
      </c>
      <c r="AP33" s="352"/>
    </row>
    <row r="34" spans="2:42" x14ac:dyDescent="0.2">
      <c r="C34" s="351"/>
      <c r="D34" s="351"/>
      <c r="E34" s="351"/>
      <c r="F34" s="351"/>
      <c r="G34" s="351"/>
      <c r="H34" s="361"/>
      <c r="I34" s="361"/>
      <c r="J34" s="361"/>
      <c r="K34" s="360"/>
      <c r="L34" s="361"/>
      <c r="M34" s="361"/>
      <c r="N34" s="361"/>
      <c r="O34" s="361"/>
      <c r="P34" s="361"/>
      <c r="Q34" s="361"/>
      <c r="R34" s="361"/>
      <c r="S34" s="361"/>
      <c r="T34" s="361"/>
      <c r="U34" s="361"/>
      <c r="V34" s="361"/>
      <c r="W34" s="361"/>
      <c r="X34" s="361"/>
      <c r="Y34" s="361"/>
      <c r="Z34" s="361"/>
      <c r="AA34" s="361"/>
      <c r="AB34" s="361"/>
      <c r="AC34" s="361"/>
      <c r="AD34" s="361"/>
      <c r="AE34" s="361"/>
      <c r="AF34" s="361"/>
      <c r="AG34" s="361"/>
      <c r="AH34" s="361"/>
      <c r="AI34" s="361"/>
      <c r="AJ34" s="348"/>
      <c r="AK34" s="118"/>
      <c r="AL34" s="118"/>
      <c r="AM34" s="351"/>
      <c r="AN34" s="352"/>
      <c r="AO34" s="351"/>
      <c r="AP34" s="351"/>
    </row>
    <row r="35" spans="2:42" x14ac:dyDescent="0.2">
      <c r="C35" s="351" t="s">
        <v>510</v>
      </c>
      <c r="D35" s="351"/>
      <c r="E35" s="351"/>
      <c r="F35" s="351"/>
      <c r="G35" s="351"/>
      <c r="H35" s="361"/>
      <c r="I35" s="361"/>
      <c r="J35" s="361"/>
      <c r="K35" s="360"/>
      <c r="L35" s="361"/>
      <c r="M35" s="361"/>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52"/>
      <c r="AK35" s="118">
        <f>SUM(G35:AI35)</f>
        <v>0</v>
      </c>
      <c r="AL35" s="118" t="s">
        <v>148</v>
      </c>
      <c r="AM35" s="368">
        <v>7.5</v>
      </c>
      <c r="AN35" s="376">
        <f>AK35*AM35</f>
        <v>0</v>
      </c>
      <c r="AO35" s="351"/>
      <c r="AP35" s="351"/>
    </row>
    <row r="36" spans="2:42" x14ac:dyDescent="0.2">
      <c r="H36" s="361"/>
      <c r="I36" s="361"/>
      <c r="J36" s="361"/>
      <c r="K36" s="360"/>
      <c r="L36" s="361"/>
      <c r="M36" s="361"/>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48"/>
      <c r="AK36" s="118"/>
      <c r="AL36" s="118"/>
      <c r="AN36" s="376"/>
    </row>
    <row r="37" spans="2:42" x14ac:dyDescent="0.2">
      <c r="C37" s="72" t="s">
        <v>511</v>
      </c>
      <c r="H37" s="367">
        <v>4</v>
      </c>
      <c r="I37" s="367"/>
      <c r="J37" s="367">
        <v>4</v>
      </c>
      <c r="L37" s="367">
        <v>4</v>
      </c>
      <c r="M37" s="367"/>
      <c r="N37" s="367"/>
      <c r="O37" s="367"/>
      <c r="P37" s="367">
        <v>4</v>
      </c>
      <c r="Q37" s="367"/>
      <c r="R37" s="367"/>
      <c r="S37" s="367"/>
      <c r="T37" s="367">
        <v>4</v>
      </c>
      <c r="U37" s="367"/>
      <c r="V37" s="367">
        <v>4</v>
      </c>
      <c r="W37" s="367"/>
      <c r="X37" s="367">
        <v>4</v>
      </c>
      <c r="Y37" s="367"/>
      <c r="Z37" s="367">
        <v>4</v>
      </c>
      <c r="AA37" s="367"/>
      <c r="AB37" s="367">
        <v>4</v>
      </c>
      <c r="AC37" s="367"/>
      <c r="AD37" s="367">
        <v>4</v>
      </c>
      <c r="AE37" s="367"/>
      <c r="AF37" s="367">
        <v>4</v>
      </c>
      <c r="AG37" s="367"/>
      <c r="AH37" s="367">
        <v>4</v>
      </c>
      <c r="AI37" s="367"/>
      <c r="AJ37" s="348"/>
      <c r="AK37" s="118">
        <f>SUM(G37:AI37)</f>
        <v>48</v>
      </c>
      <c r="AL37" s="118" t="s">
        <v>148</v>
      </c>
      <c r="AM37" s="368">
        <v>10</v>
      </c>
      <c r="AN37" s="376">
        <f>AK37*AM37</f>
        <v>480</v>
      </c>
    </row>
    <row r="38" spans="2:42" x14ac:dyDescent="0.2">
      <c r="AJ38" s="348"/>
      <c r="AN38" s="348"/>
    </row>
    <row r="39" spans="2:42" x14ac:dyDescent="0.2">
      <c r="C39" s="72" t="s">
        <v>512</v>
      </c>
      <c r="E39" s="377" t="s">
        <v>513</v>
      </c>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row>
    <row r="40" spans="2:42" x14ac:dyDescent="0.2">
      <c r="AN40" s="348"/>
    </row>
    <row r="41" spans="2:42" x14ac:dyDescent="0.2">
      <c r="C41" s="72" t="s">
        <v>514</v>
      </c>
      <c r="AN41" s="349">
        <v>140</v>
      </c>
      <c r="AO41" s="376"/>
    </row>
    <row r="42" spans="2:42" x14ac:dyDescent="0.2">
      <c r="B42">
        <f>SUM(B5:B41)</f>
        <v>0</v>
      </c>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row>
    <row r="43" spans="2:42" x14ac:dyDescent="0.2">
      <c r="AN43" s="203">
        <f>SUM(AN5:AN42)</f>
        <v>18017.459299999999</v>
      </c>
      <c r="AO43" s="203">
        <f>SUM(AO5:AO42)</f>
        <v>7643.9999999999991</v>
      </c>
      <c r="AP43" s="203">
        <f>SUM(AN43:AO43)</f>
        <v>25661.459299999999</v>
      </c>
    </row>
    <row r="45" spans="2:42" x14ac:dyDescent="0.2">
      <c r="C45" s="72" t="s">
        <v>515</v>
      </c>
      <c r="AM45" s="379"/>
      <c r="AN45" s="203"/>
      <c r="AO45" s="380">
        <v>0.01</v>
      </c>
      <c r="AP45" s="203">
        <f>AP43*AO45</f>
        <v>256.61459300000001</v>
      </c>
    </row>
    <row r="47" spans="2:42" x14ac:dyDescent="0.2">
      <c r="C47" s="72" t="s">
        <v>516</v>
      </c>
      <c r="AN47" s="381"/>
      <c r="AO47" s="381"/>
      <c r="AP47" s="382">
        <f>AO47*20</f>
        <v>0</v>
      </c>
    </row>
    <row r="49" spans="3:42" x14ac:dyDescent="0.2">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row>
    <row r="50" spans="3:42" x14ac:dyDescent="0.2">
      <c r="AP50" s="203">
        <f>SUM(AP43:AP49)</f>
        <v>25918.073892999997</v>
      </c>
    </row>
    <row r="52" spans="3:42" x14ac:dyDescent="0.2">
      <c r="C52" s="72" t="s">
        <v>11</v>
      </c>
      <c r="AO52" s="380">
        <v>0</v>
      </c>
      <c r="AP52" s="203">
        <f>AP50*AO52</f>
        <v>0</v>
      </c>
    </row>
    <row r="54" spans="3:42" x14ac:dyDescent="0.2">
      <c r="C54" s="216"/>
      <c r="D54" s="216"/>
      <c r="E54" s="216"/>
      <c r="F54" s="216"/>
      <c r="G54" s="216"/>
      <c r="H54" s="216"/>
      <c r="I54" s="216"/>
      <c r="J54" s="216"/>
      <c r="K54" s="216"/>
      <c r="L54" s="216"/>
      <c r="M54" s="216"/>
      <c r="N54" s="216"/>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row>
    <row r="55" spans="3:42" x14ac:dyDescent="0.2">
      <c r="AP55" s="54">
        <f>SUM(AP50:AP54)</f>
        <v>25918.073892999997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6213-B853-4D3A-90E4-E1017CD85F05}">
  <dimension ref="A1:AR48"/>
  <sheetViews>
    <sheetView workbookViewId="0">
      <selection activeCell="AM19" sqref="AM19"/>
    </sheetView>
  </sheetViews>
  <sheetFormatPr defaultRowHeight="12.75" x14ac:dyDescent="0.2"/>
  <cols>
    <col min="8" max="8" width="16.7109375" customWidth="1"/>
    <col min="9" max="9" width="3.42578125" customWidth="1"/>
    <col min="10" max="10" width="16.28515625" customWidth="1"/>
    <col min="11" max="11" width="3" customWidth="1"/>
    <col min="12" max="12" width="16.42578125" customWidth="1"/>
    <col min="13" max="13" width="3.7109375" customWidth="1"/>
    <col min="14" max="14" width="10" customWidth="1"/>
    <col min="15" max="15" width="3.7109375" customWidth="1"/>
    <col min="16" max="16" width="15.85546875" customWidth="1"/>
    <col min="17" max="17" width="3.140625" customWidth="1"/>
    <col min="18" max="18" width="9.28515625" customWidth="1"/>
    <col min="19" max="19" width="3.140625" customWidth="1"/>
    <col min="20" max="20" width="17.140625" customWidth="1"/>
    <col min="21" max="21" width="3.7109375" customWidth="1"/>
    <col min="22" max="22" width="16.42578125" customWidth="1"/>
    <col min="23" max="23" width="3.28515625" customWidth="1"/>
    <col min="24" max="24" width="16.85546875" customWidth="1"/>
    <col min="25" max="25" width="3.42578125" customWidth="1"/>
    <col min="26" max="26" width="16.5703125" customWidth="1"/>
    <col min="27" max="27" width="4.140625" customWidth="1"/>
    <col min="28" max="28" width="16.5703125" customWidth="1"/>
    <col min="29" max="29" width="4.140625" customWidth="1"/>
    <col min="30" max="30" width="16.5703125" customWidth="1"/>
    <col min="31" max="31" width="4.28515625" customWidth="1"/>
    <col min="32" max="32" width="16.7109375" customWidth="1"/>
    <col min="33" max="33" width="4.42578125" customWidth="1"/>
    <col min="34" max="34" width="16.85546875" customWidth="1"/>
    <col min="35" max="35" width="3.85546875" customWidth="1"/>
    <col min="36" max="36" width="4.28515625" customWidth="1"/>
    <col min="40" max="40" width="12" bestFit="1" customWidth="1"/>
    <col min="41" max="41" width="11" bestFit="1" customWidth="1"/>
    <col min="42" max="42" width="10.140625" bestFit="1" customWidth="1"/>
  </cols>
  <sheetData>
    <row r="1" spans="1:44" x14ac:dyDescent="0.2">
      <c r="C1" s="186" t="s">
        <v>329</v>
      </c>
      <c r="D1" s="271"/>
      <c r="E1" s="271"/>
    </row>
    <row r="2" spans="1:44" x14ac:dyDescent="0.2">
      <c r="F2" s="348"/>
      <c r="G2" s="348"/>
      <c r="H2" s="348">
        <v>7.75</v>
      </c>
      <c r="I2" s="348"/>
      <c r="J2" s="348">
        <v>6.9</v>
      </c>
      <c r="K2" s="348"/>
      <c r="L2" s="348">
        <v>6.5</v>
      </c>
      <c r="M2" s="348"/>
      <c r="N2" s="348"/>
      <c r="O2" s="348"/>
      <c r="P2" s="348">
        <v>6.5</v>
      </c>
      <c r="Q2" s="348"/>
      <c r="R2" s="348"/>
      <c r="S2" s="348"/>
      <c r="T2" s="348">
        <v>6.5</v>
      </c>
      <c r="U2" s="348"/>
      <c r="V2" s="348">
        <v>6.5</v>
      </c>
      <c r="W2" s="348"/>
      <c r="X2" s="348">
        <v>7.7</v>
      </c>
      <c r="Y2" s="348"/>
      <c r="Z2" s="348">
        <v>7.2</v>
      </c>
      <c r="AA2" s="348"/>
      <c r="AB2" s="348">
        <v>7.7</v>
      </c>
      <c r="AC2" s="348"/>
      <c r="AD2" s="348">
        <v>6.4</v>
      </c>
      <c r="AE2" s="348"/>
      <c r="AF2" s="348">
        <v>8</v>
      </c>
      <c r="AG2" s="348"/>
      <c r="AH2" s="348">
        <v>7.6</v>
      </c>
      <c r="AI2" s="348"/>
      <c r="AK2">
        <f>SUM(H2:AI2)</f>
        <v>85.25</v>
      </c>
      <c r="AO2" s="349">
        <v>13.5</v>
      </c>
    </row>
    <row r="3" spans="1:44" x14ac:dyDescent="0.2">
      <c r="C3" s="350"/>
      <c r="D3" s="351"/>
      <c r="E3" s="351"/>
      <c r="F3" s="352"/>
      <c r="G3" s="352"/>
      <c r="H3" s="352">
        <v>4.7850000000000001</v>
      </c>
      <c r="I3" s="352"/>
      <c r="J3" s="352">
        <v>3.19</v>
      </c>
      <c r="K3" s="352"/>
      <c r="L3" s="352">
        <v>2.0299999999999998</v>
      </c>
      <c r="M3" s="352"/>
      <c r="N3" s="352"/>
      <c r="O3" s="352"/>
      <c r="P3" s="352">
        <v>2.0299999999999998</v>
      </c>
      <c r="Q3" s="352"/>
      <c r="R3" s="352"/>
      <c r="S3" s="352"/>
      <c r="T3" s="352">
        <v>2.0299999999999998</v>
      </c>
      <c r="U3" s="352"/>
      <c r="V3" s="352">
        <v>2.0299999999999998</v>
      </c>
      <c r="W3" s="352"/>
      <c r="X3" s="352">
        <v>5.51</v>
      </c>
      <c r="Y3" s="352"/>
      <c r="Z3" s="352">
        <v>4.0599999999999996</v>
      </c>
      <c r="AA3" s="352"/>
      <c r="AB3" s="352">
        <v>5.51</v>
      </c>
      <c r="AC3" s="352"/>
      <c r="AD3" s="352">
        <v>1.74</v>
      </c>
      <c r="AE3" s="352"/>
      <c r="AF3" s="352">
        <v>6.38</v>
      </c>
      <c r="AG3" s="352"/>
      <c r="AH3" s="352">
        <v>5.22</v>
      </c>
      <c r="AI3" s="352"/>
      <c r="AJ3" s="351"/>
      <c r="AK3" s="351">
        <f>SUM(H3:AJ3)</f>
        <v>44.515000000000001</v>
      </c>
      <c r="AL3" s="351"/>
      <c r="AM3" s="351"/>
      <c r="AN3" s="351" t="s">
        <v>499</v>
      </c>
      <c r="AO3" s="351" t="s">
        <v>500</v>
      </c>
      <c r="AP3" s="351"/>
    </row>
    <row r="4" spans="1:44" ht="39.75" customHeight="1" x14ac:dyDescent="0.2">
      <c r="B4" s="353"/>
      <c r="C4" s="354"/>
      <c r="D4" s="354"/>
      <c r="E4" s="354"/>
      <c r="F4" s="355"/>
      <c r="G4" s="355"/>
      <c r="H4" s="383" t="s">
        <v>121</v>
      </c>
      <c r="I4" s="356"/>
      <c r="J4" s="383" t="s">
        <v>122</v>
      </c>
      <c r="K4" s="356"/>
      <c r="L4" s="383" t="s">
        <v>125</v>
      </c>
      <c r="M4" s="356"/>
      <c r="N4" s="393" t="s">
        <v>554</v>
      </c>
      <c r="O4" s="356"/>
      <c r="P4" s="383" t="s">
        <v>127</v>
      </c>
      <c r="Q4" s="356"/>
      <c r="R4" s="393" t="s">
        <v>555</v>
      </c>
      <c r="S4" s="356"/>
      <c r="T4" s="383" t="s">
        <v>129</v>
      </c>
      <c r="U4" s="356"/>
      <c r="V4" s="383" t="s">
        <v>131</v>
      </c>
      <c r="W4" s="356"/>
      <c r="X4" s="383" t="s">
        <v>137</v>
      </c>
      <c r="Y4" s="383"/>
      <c r="Z4" s="383" t="s">
        <v>140</v>
      </c>
      <c r="AA4" s="383"/>
      <c r="AB4" s="383" t="s">
        <v>139</v>
      </c>
      <c r="AC4" s="357"/>
      <c r="AD4" s="383" t="s">
        <v>142</v>
      </c>
      <c r="AE4" s="383"/>
      <c r="AF4" s="383" t="s">
        <v>144</v>
      </c>
      <c r="AG4" s="383"/>
      <c r="AH4" s="383" t="s">
        <v>146</v>
      </c>
      <c r="AI4" s="383"/>
      <c r="AJ4" s="358"/>
      <c r="AK4" s="354" t="s">
        <v>501</v>
      </c>
      <c r="AL4" s="354"/>
      <c r="AM4" s="358" t="s">
        <v>502</v>
      </c>
      <c r="AN4" s="354"/>
      <c r="AO4" s="291"/>
      <c r="AP4" s="264"/>
    </row>
    <row r="5" spans="1:44" x14ac:dyDescent="0.2">
      <c r="C5" s="264"/>
      <c r="D5" s="264"/>
      <c r="E5" s="264"/>
      <c r="F5" s="359"/>
      <c r="G5" s="359"/>
      <c r="H5" s="359"/>
      <c r="I5" s="359"/>
      <c r="J5" s="359"/>
      <c r="K5" s="360"/>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2"/>
      <c r="AK5" s="80"/>
      <c r="AL5" s="80"/>
      <c r="AM5" s="351"/>
      <c r="AN5" s="264"/>
      <c r="AO5" s="264"/>
      <c r="AP5" s="264"/>
      <c r="AR5" s="72" t="s">
        <v>631</v>
      </c>
    </row>
    <row r="6" spans="1:44" x14ac:dyDescent="0.2">
      <c r="C6" s="80"/>
      <c r="D6" s="80"/>
      <c r="E6" s="80"/>
      <c r="F6" s="361"/>
      <c r="G6" s="361"/>
      <c r="H6" s="361"/>
      <c r="I6" s="361"/>
      <c r="J6" s="361"/>
      <c r="K6" s="360"/>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2"/>
      <c r="AK6" s="80"/>
      <c r="AL6" s="80"/>
      <c r="AM6" s="351"/>
      <c r="AN6" s="264"/>
      <c r="AO6" s="264"/>
      <c r="AP6" s="264"/>
      <c r="AR6">
        <v>1.04</v>
      </c>
    </row>
    <row r="7" spans="1:44" x14ac:dyDescent="0.2">
      <c r="C7" s="80" t="s">
        <v>518</v>
      </c>
      <c r="D7" s="363"/>
      <c r="E7" s="363"/>
      <c r="F7" s="361">
        <v>5.6</v>
      </c>
      <c r="G7" s="361"/>
      <c r="H7" s="360">
        <v>0.5</v>
      </c>
      <c r="I7" s="360"/>
      <c r="J7" s="360">
        <v>0.25</v>
      </c>
      <c r="K7" s="360"/>
      <c r="L7" s="360">
        <v>0.125</v>
      </c>
      <c r="M7" s="360"/>
      <c r="N7" s="360"/>
      <c r="O7" s="360"/>
      <c r="P7" s="360">
        <v>0.125</v>
      </c>
      <c r="Q7" s="360"/>
      <c r="R7" s="360"/>
      <c r="S7" s="360"/>
      <c r="T7" s="360">
        <v>0.125</v>
      </c>
      <c r="U7" s="360"/>
      <c r="V7" s="360">
        <v>0.125</v>
      </c>
      <c r="W7" s="360"/>
      <c r="X7" s="360">
        <v>0.5</v>
      </c>
      <c r="Y7" s="360"/>
      <c r="Z7" s="360">
        <v>0.5</v>
      </c>
      <c r="AA7" s="360"/>
      <c r="AB7" s="360">
        <v>0.5</v>
      </c>
      <c r="AC7" s="360"/>
      <c r="AD7" s="360">
        <v>0.125</v>
      </c>
      <c r="AE7" s="360"/>
      <c r="AF7" s="360">
        <v>0.5</v>
      </c>
      <c r="AG7" s="360"/>
      <c r="AH7" s="360">
        <v>0.5</v>
      </c>
      <c r="AI7" s="361"/>
      <c r="AJ7" s="364"/>
      <c r="AK7" s="111">
        <f>SUM(G7:AI7)</f>
        <v>3.875</v>
      </c>
      <c r="AL7" s="111"/>
      <c r="AM7" s="365">
        <f>AR7</f>
        <v>115.99120000000001</v>
      </c>
      <c r="AN7" s="366">
        <f>AK7*AM7</f>
        <v>449.46590000000003</v>
      </c>
      <c r="AO7" s="366">
        <f>F7*AK7*$AO$2</f>
        <v>292.95</v>
      </c>
      <c r="AP7" s="359"/>
      <c r="AQ7" s="365">
        <v>111.53</v>
      </c>
      <c r="AR7" s="203">
        <f>AQ7*$AR$6</f>
        <v>115.99120000000001</v>
      </c>
    </row>
    <row r="8" spans="1:44" x14ac:dyDescent="0.2">
      <c r="C8" s="80" t="s">
        <v>578</v>
      </c>
      <c r="D8" s="363"/>
      <c r="E8" s="363"/>
      <c r="F8" s="361">
        <v>5.6</v>
      </c>
      <c r="G8" s="361"/>
      <c r="H8" s="360">
        <v>0.5</v>
      </c>
      <c r="I8" s="360"/>
      <c r="J8" s="360">
        <v>0.25</v>
      </c>
      <c r="K8" s="360"/>
      <c r="L8" s="360">
        <v>0.125</v>
      </c>
      <c r="M8" s="360"/>
      <c r="N8" s="360"/>
      <c r="O8" s="360"/>
      <c r="P8" s="360">
        <v>0.125</v>
      </c>
      <c r="Q8" s="360"/>
      <c r="R8" s="360"/>
      <c r="S8" s="360"/>
      <c r="T8" s="360">
        <v>0.125</v>
      </c>
      <c r="U8" s="360"/>
      <c r="V8" s="360">
        <v>0.125</v>
      </c>
      <c r="W8" s="360"/>
      <c r="X8" s="360">
        <v>0.5</v>
      </c>
      <c r="Y8" s="360"/>
      <c r="Z8" s="360">
        <v>0.5</v>
      </c>
      <c r="AA8" s="360"/>
      <c r="AB8" s="360">
        <v>0.5</v>
      </c>
      <c r="AC8" s="360"/>
      <c r="AD8" s="360">
        <v>0.125</v>
      </c>
      <c r="AE8" s="360"/>
      <c r="AF8" s="360">
        <v>0.5</v>
      </c>
      <c r="AG8" s="360"/>
      <c r="AH8" s="360">
        <v>0.5</v>
      </c>
      <c r="AI8" s="361"/>
      <c r="AJ8" s="364"/>
      <c r="AK8" s="111">
        <f>SUM(G8:AI8)</f>
        <v>3.875</v>
      </c>
      <c r="AL8" s="111"/>
      <c r="AM8" s="365">
        <f t="shared" ref="AM8:AM14" si="0">AR8</f>
        <v>129.4384</v>
      </c>
      <c r="AN8" s="366">
        <f>AK8*AM8</f>
        <v>501.57380000000001</v>
      </c>
      <c r="AO8" s="366">
        <f>F8*AK8*$AO$2</f>
        <v>292.95</v>
      </c>
      <c r="AP8" s="359"/>
      <c r="AQ8" s="365">
        <v>124.46</v>
      </c>
      <c r="AR8" s="203">
        <f t="shared" ref="AR8:AR14" si="1">AQ8*$AR$6</f>
        <v>129.4384</v>
      </c>
    </row>
    <row r="9" spans="1:44" x14ac:dyDescent="0.2">
      <c r="C9" s="80"/>
      <c r="D9" s="363"/>
      <c r="E9" s="363"/>
      <c r="F9" s="361"/>
      <c r="G9" s="361"/>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1"/>
      <c r="AJ9" s="364"/>
      <c r="AK9" s="111"/>
      <c r="AL9" s="111"/>
      <c r="AM9" s="365"/>
      <c r="AN9" s="366"/>
      <c r="AO9" s="366"/>
      <c r="AP9" s="359"/>
      <c r="AQ9" s="365"/>
      <c r="AR9" s="203"/>
    </row>
    <row r="10" spans="1:44" x14ac:dyDescent="0.2">
      <c r="C10" s="80" t="s">
        <v>519</v>
      </c>
      <c r="D10" s="363"/>
      <c r="E10" s="363"/>
      <c r="F10" s="361">
        <v>5.6</v>
      </c>
      <c r="G10" s="361"/>
      <c r="H10" s="360">
        <v>2</v>
      </c>
      <c r="I10" s="360"/>
      <c r="J10" s="360">
        <v>2</v>
      </c>
      <c r="K10" s="360"/>
      <c r="L10" s="360">
        <v>2</v>
      </c>
      <c r="M10" s="360"/>
      <c r="N10" s="360"/>
      <c r="O10" s="360"/>
      <c r="P10" s="360">
        <v>2</v>
      </c>
      <c r="Q10" s="360"/>
      <c r="R10" s="360"/>
      <c r="S10" s="360"/>
      <c r="T10" s="360">
        <v>2</v>
      </c>
      <c r="U10" s="360"/>
      <c r="V10" s="360">
        <v>2</v>
      </c>
      <c r="W10" s="360"/>
      <c r="X10" s="360">
        <v>2</v>
      </c>
      <c r="Y10" s="360"/>
      <c r="Z10" s="360">
        <v>2</v>
      </c>
      <c r="AA10" s="360"/>
      <c r="AB10" s="360">
        <v>2</v>
      </c>
      <c r="AC10" s="360"/>
      <c r="AD10" s="360">
        <v>2</v>
      </c>
      <c r="AE10" s="360"/>
      <c r="AF10" s="360">
        <v>2</v>
      </c>
      <c r="AG10" s="360"/>
      <c r="AH10" s="360">
        <v>2</v>
      </c>
      <c r="AI10" s="361"/>
      <c r="AJ10" s="364"/>
      <c r="AK10" s="111">
        <f>SUM(G10:AI10)</f>
        <v>24</v>
      </c>
      <c r="AL10" s="111"/>
      <c r="AM10" s="365">
        <f t="shared" si="0"/>
        <v>149.33360000000002</v>
      </c>
      <c r="AN10" s="366">
        <f>AK10*AM10</f>
        <v>3584.0064000000002</v>
      </c>
      <c r="AO10" s="366">
        <f>F10*AK10*$AO$2</f>
        <v>1814.3999999999996</v>
      </c>
      <c r="AP10" s="359"/>
      <c r="AQ10" s="365">
        <v>143.59</v>
      </c>
      <c r="AR10" s="203">
        <f t="shared" si="1"/>
        <v>149.33360000000002</v>
      </c>
    </row>
    <row r="11" spans="1:44" x14ac:dyDescent="0.2">
      <c r="C11" s="80" t="s">
        <v>520</v>
      </c>
      <c r="D11" s="363"/>
      <c r="E11" s="363"/>
      <c r="F11" s="361">
        <v>5.6</v>
      </c>
      <c r="G11" s="361"/>
      <c r="H11" s="360">
        <v>2</v>
      </c>
      <c r="I11" s="360"/>
      <c r="J11" s="360">
        <v>2</v>
      </c>
      <c r="K11" s="360"/>
      <c r="L11" s="360">
        <v>2</v>
      </c>
      <c r="M11" s="360"/>
      <c r="N11" s="360"/>
      <c r="O11" s="360"/>
      <c r="P11" s="360">
        <v>2</v>
      </c>
      <c r="Q11" s="360"/>
      <c r="R11" s="360"/>
      <c r="S11" s="360"/>
      <c r="T11" s="360">
        <v>2</v>
      </c>
      <c r="U11" s="360"/>
      <c r="V11" s="360">
        <v>2</v>
      </c>
      <c r="W11" s="360"/>
      <c r="X11" s="360">
        <v>2</v>
      </c>
      <c r="Y11" s="360"/>
      <c r="Z11" s="360">
        <v>2</v>
      </c>
      <c r="AA11" s="360"/>
      <c r="AB11" s="360">
        <v>2</v>
      </c>
      <c r="AC11" s="360"/>
      <c r="AD11" s="360">
        <v>2</v>
      </c>
      <c r="AE11" s="360"/>
      <c r="AF11" s="360">
        <v>2</v>
      </c>
      <c r="AG11" s="360"/>
      <c r="AH11" s="360">
        <v>2</v>
      </c>
      <c r="AI11" s="361"/>
      <c r="AJ11" s="364"/>
      <c r="AK11" s="111">
        <f>SUM(G11:AI11)</f>
        <v>24</v>
      </c>
      <c r="AL11" s="111"/>
      <c r="AM11" s="365">
        <f t="shared" si="0"/>
        <v>135.69919999999999</v>
      </c>
      <c r="AN11" s="366">
        <f>AK11*AM11</f>
        <v>3256.7807999999995</v>
      </c>
      <c r="AO11" s="366">
        <f>F11*AK11*$AO$2</f>
        <v>1814.3999999999996</v>
      </c>
      <c r="AP11" s="359"/>
      <c r="AQ11" s="365">
        <v>130.47999999999999</v>
      </c>
      <c r="AR11" s="203">
        <f t="shared" si="1"/>
        <v>135.69919999999999</v>
      </c>
    </row>
    <row r="12" spans="1:44" x14ac:dyDescent="0.2">
      <c r="A12" s="72"/>
      <c r="C12" s="363"/>
      <c r="D12" s="363"/>
      <c r="E12" s="363"/>
      <c r="F12" s="361"/>
      <c r="G12" s="361"/>
      <c r="H12" s="361"/>
      <c r="I12" s="361"/>
      <c r="J12" s="361"/>
      <c r="K12" s="360"/>
      <c r="L12" s="361"/>
      <c r="M12" s="361"/>
      <c r="N12" s="361"/>
      <c r="O12" s="361"/>
      <c r="P12" s="361"/>
      <c r="Q12" s="361"/>
      <c r="R12" s="361"/>
      <c r="S12" s="361"/>
      <c r="T12" s="361"/>
      <c r="U12" s="361"/>
      <c r="V12" s="361"/>
      <c r="W12" s="361"/>
      <c r="X12" s="361"/>
      <c r="Y12" s="361"/>
      <c r="Z12" s="361"/>
      <c r="AA12" s="361"/>
      <c r="AB12" s="361"/>
      <c r="AC12" s="361"/>
      <c r="AD12" s="361"/>
      <c r="AE12" s="361"/>
      <c r="AF12" s="361"/>
      <c r="AG12" s="361"/>
      <c r="AH12" s="361"/>
      <c r="AI12" s="361"/>
      <c r="AJ12" s="367"/>
      <c r="AK12" s="111"/>
      <c r="AL12" s="111"/>
      <c r="AM12" s="365"/>
      <c r="AN12" s="366"/>
      <c r="AO12" s="366"/>
      <c r="AP12" s="359"/>
      <c r="AQ12" s="365"/>
      <c r="AR12" s="203"/>
    </row>
    <row r="13" spans="1:44" x14ac:dyDescent="0.2">
      <c r="A13" s="72"/>
      <c r="C13" s="363" t="s">
        <v>552</v>
      </c>
      <c r="D13" s="363"/>
      <c r="E13" s="363"/>
      <c r="F13" s="361">
        <v>5.6</v>
      </c>
      <c r="G13" s="361"/>
      <c r="H13" s="361"/>
      <c r="I13" s="361"/>
      <c r="J13" s="361"/>
      <c r="K13" s="360"/>
      <c r="L13" s="361"/>
      <c r="M13" s="361"/>
      <c r="N13" s="361">
        <v>2.5</v>
      </c>
      <c r="O13" s="361"/>
      <c r="P13" s="361"/>
      <c r="Q13" s="361"/>
      <c r="R13" s="361">
        <v>2.5</v>
      </c>
      <c r="S13" s="361"/>
      <c r="T13" s="361"/>
      <c r="U13" s="361"/>
      <c r="V13" s="361"/>
      <c r="W13" s="361"/>
      <c r="X13" s="361"/>
      <c r="Y13" s="361"/>
      <c r="Z13" s="361"/>
      <c r="AA13" s="361"/>
      <c r="AB13" s="361"/>
      <c r="AC13" s="361"/>
      <c r="AD13" s="361"/>
      <c r="AE13" s="361"/>
      <c r="AF13" s="361"/>
      <c r="AG13" s="361"/>
      <c r="AH13" s="361"/>
      <c r="AI13" s="361"/>
      <c r="AJ13" s="367"/>
      <c r="AK13" s="111">
        <f>SUM(G13:AI13)</f>
        <v>5</v>
      </c>
      <c r="AL13" s="111"/>
      <c r="AM13" s="365">
        <f t="shared" si="0"/>
        <v>135.74080000000001</v>
      </c>
      <c r="AN13" s="366">
        <f>AK13*AM13</f>
        <v>678.70400000000006</v>
      </c>
      <c r="AO13" s="366">
        <f>F13*AK13*$AO$2</f>
        <v>378</v>
      </c>
      <c r="AP13" s="359"/>
      <c r="AQ13" s="365">
        <v>130.52000000000001</v>
      </c>
      <c r="AR13" s="203">
        <f t="shared" si="1"/>
        <v>135.74080000000001</v>
      </c>
    </row>
    <row r="14" spans="1:44" x14ac:dyDescent="0.2">
      <c r="A14" s="72"/>
      <c r="C14" s="370" t="s">
        <v>553</v>
      </c>
      <c r="D14" s="370"/>
      <c r="E14" s="370"/>
      <c r="F14" s="359">
        <v>5.6</v>
      </c>
      <c r="G14" s="361"/>
      <c r="H14" s="361"/>
      <c r="I14" s="361"/>
      <c r="J14" s="361"/>
      <c r="K14" s="360"/>
      <c r="L14" s="361"/>
      <c r="M14" s="361"/>
      <c r="N14" s="361">
        <v>2.5</v>
      </c>
      <c r="O14" s="361"/>
      <c r="P14" s="361"/>
      <c r="Q14" s="361"/>
      <c r="R14" s="361">
        <v>2.5</v>
      </c>
      <c r="S14" s="361"/>
      <c r="T14" s="361"/>
      <c r="U14" s="361"/>
      <c r="V14" s="361"/>
      <c r="W14" s="361"/>
      <c r="X14" s="361"/>
      <c r="Y14" s="361"/>
      <c r="Z14" s="361"/>
      <c r="AA14" s="361"/>
      <c r="AB14" s="361"/>
      <c r="AC14" s="361"/>
      <c r="AD14" s="361"/>
      <c r="AE14" s="361"/>
      <c r="AF14" s="361"/>
      <c r="AG14" s="361"/>
      <c r="AH14" s="361"/>
      <c r="AI14" s="361"/>
      <c r="AJ14" s="367"/>
      <c r="AK14" s="111">
        <f>SUM(G14:AI14)</f>
        <v>5</v>
      </c>
      <c r="AL14" s="111"/>
      <c r="AM14" s="365">
        <f t="shared" si="0"/>
        <v>35.4328</v>
      </c>
      <c r="AN14" s="366">
        <f>AK14*AM14</f>
        <v>177.16399999999999</v>
      </c>
      <c r="AO14" s="366">
        <f>F14*AK14*$AO$2</f>
        <v>378</v>
      </c>
      <c r="AP14" s="366"/>
      <c r="AQ14" s="365">
        <v>34.07</v>
      </c>
      <c r="AR14" s="203">
        <f t="shared" si="1"/>
        <v>35.4328</v>
      </c>
    </row>
    <row r="15" spans="1:44" x14ac:dyDescent="0.2">
      <c r="A15" s="72"/>
      <c r="C15" s="370"/>
      <c r="D15" s="370"/>
      <c r="E15" s="370"/>
      <c r="F15" s="359"/>
      <c r="G15" s="359"/>
      <c r="H15" s="361"/>
      <c r="I15" s="361"/>
      <c r="J15" s="361"/>
      <c r="K15" s="360"/>
      <c r="L15" s="361"/>
      <c r="M15" s="361"/>
      <c r="N15" s="361"/>
      <c r="O15" s="361"/>
      <c r="P15" s="361"/>
      <c r="Q15" s="361"/>
      <c r="R15" s="361"/>
      <c r="S15" s="361"/>
      <c r="T15" s="361"/>
      <c r="U15" s="361"/>
      <c r="V15" s="361"/>
      <c r="W15" s="361"/>
      <c r="X15" s="361"/>
      <c r="Y15" s="361"/>
      <c r="Z15" s="361"/>
      <c r="AA15" s="361"/>
      <c r="AB15" s="361"/>
      <c r="AC15" s="361"/>
      <c r="AD15" s="361"/>
      <c r="AE15" s="361"/>
      <c r="AF15" s="361"/>
      <c r="AG15" s="361"/>
      <c r="AH15" s="361"/>
      <c r="AI15" s="361"/>
      <c r="AJ15" s="367"/>
      <c r="AK15" s="111"/>
      <c r="AL15" s="111"/>
      <c r="AM15" s="365"/>
      <c r="AN15" s="366"/>
      <c r="AO15" s="366"/>
      <c r="AP15" s="366"/>
    </row>
    <row r="16" spans="1:44" x14ac:dyDescent="0.2">
      <c r="C16" s="363" t="s">
        <v>503</v>
      </c>
      <c r="D16" s="363"/>
      <c r="E16" s="363"/>
      <c r="F16" s="363"/>
      <c r="G16" s="363"/>
      <c r="H16" s="361"/>
      <c r="I16" s="361"/>
      <c r="J16" s="361"/>
      <c r="K16" s="360"/>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71"/>
      <c r="AK16" s="369"/>
      <c r="AL16" s="369"/>
      <c r="AM16" s="372"/>
      <c r="AN16" s="373"/>
      <c r="AO16" s="373"/>
      <c r="AP16" s="359"/>
    </row>
    <row r="17" spans="3:42" x14ac:dyDescent="0.2">
      <c r="C17" s="363"/>
      <c r="D17" s="363"/>
      <c r="E17" s="363"/>
      <c r="F17" s="363"/>
      <c r="G17" s="363"/>
      <c r="H17" s="361"/>
      <c r="I17" s="361"/>
      <c r="J17" s="361"/>
      <c r="K17" s="360"/>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71"/>
      <c r="AK17" s="369"/>
      <c r="AL17" s="369"/>
      <c r="AM17" s="372"/>
      <c r="AN17" s="373"/>
      <c r="AO17" s="373"/>
      <c r="AP17" s="359"/>
    </row>
    <row r="18" spans="3:42" x14ac:dyDescent="0.2">
      <c r="C18" s="80" t="s">
        <v>504</v>
      </c>
      <c r="D18" s="363"/>
      <c r="E18" s="363"/>
      <c r="F18" s="363"/>
      <c r="G18" s="363"/>
      <c r="H18" s="361"/>
      <c r="I18" s="361"/>
      <c r="J18" s="361"/>
      <c r="K18" s="360"/>
      <c r="L18" s="361"/>
      <c r="M18" s="361"/>
      <c r="N18" s="360">
        <v>4</v>
      </c>
      <c r="O18" s="361"/>
      <c r="P18" s="361"/>
      <c r="Q18" s="361"/>
      <c r="R18" s="360">
        <v>4</v>
      </c>
      <c r="S18" s="361"/>
      <c r="T18" s="361"/>
      <c r="U18" s="361"/>
      <c r="V18" s="361"/>
      <c r="W18" s="361"/>
      <c r="X18" s="361"/>
      <c r="Y18" s="361"/>
      <c r="Z18" s="361"/>
      <c r="AA18" s="361"/>
      <c r="AB18" s="361"/>
      <c r="AC18" s="361"/>
      <c r="AD18" s="361"/>
      <c r="AE18" s="361"/>
      <c r="AF18" s="361"/>
      <c r="AG18" s="361"/>
      <c r="AH18" s="361"/>
      <c r="AI18" s="361"/>
      <c r="AJ18" s="371"/>
      <c r="AK18" s="374">
        <f>SUM(G18:AI18)</f>
        <v>8</v>
      </c>
      <c r="AL18" s="374"/>
      <c r="AM18" s="372">
        <v>20</v>
      </c>
      <c r="AN18" s="373">
        <f>AK18*AM18</f>
        <v>160</v>
      </c>
      <c r="AO18" s="373">
        <f>F18*AK18*$AP$2</f>
        <v>0</v>
      </c>
      <c r="AP18" s="359"/>
    </row>
    <row r="19" spans="3:42" x14ac:dyDescent="0.2">
      <c r="C19" s="80"/>
      <c r="D19" s="363"/>
      <c r="E19" s="363"/>
      <c r="F19" s="363"/>
      <c r="G19" s="363"/>
      <c r="H19" s="361"/>
      <c r="I19" s="361"/>
      <c r="J19" s="361"/>
      <c r="K19" s="360"/>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71"/>
      <c r="AK19" s="374"/>
      <c r="AL19" s="374"/>
      <c r="AM19" s="372"/>
      <c r="AN19" s="373"/>
      <c r="AO19" s="373"/>
      <c r="AP19" s="359"/>
    </row>
    <row r="20" spans="3:42" x14ac:dyDescent="0.2">
      <c r="C20" s="80" t="s">
        <v>505</v>
      </c>
      <c r="D20" s="363"/>
      <c r="E20" s="363"/>
      <c r="F20" s="363"/>
      <c r="G20" s="363"/>
      <c r="H20" s="361"/>
      <c r="I20" s="361"/>
      <c r="J20" s="361"/>
      <c r="K20" s="360"/>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71"/>
      <c r="AK20" s="374"/>
      <c r="AL20" s="374"/>
      <c r="AM20" s="372">
        <v>82</v>
      </c>
      <c r="AN20" s="373">
        <f>AK20*AM20</f>
        <v>0</v>
      </c>
      <c r="AO20" s="373">
        <f>F20*AK20*$AP$2</f>
        <v>0</v>
      </c>
      <c r="AP20" s="359"/>
    </row>
    <row r="21" spans="3:42" x14ac:dyDescent="0.2">
      <c r="C21" s="80"/>
      <c r="D21" s="363"/>
      <c r="E21" s="363"/>
      <c r="F21" s="363"/>
      <c r="G21" s="363"/>
      <c r="H21" s="361"/>
      <c r="I21" s="361"/>
      <c r="J21" s="361"/>
      <c r="K21" s="360"/>
      <c r="L21" s="361"/>
      <c r="M21" s="361"/>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71"/>
      <c r="AK21" s="374"/>
      <c r="AL21" s="374"/>
      <c r="AM21" s="372"/>
      <c r="AN21" s="373"/>
      <c r="AO21" s="373"/>
      <c r="AP21" s="359"/>
    </row>
    <row r="22" spans="3:42" x14ac:dyDescent="0.2">
      <c r="C22" s="80" t="s">
        <v>506</v>
      </c>
      <c r="D22" s="363"/>
      <c r="E22" s="363"/>
      <c r="F22" s="362"/>
      <c r="G22" s="362"/>
      <c r="H22" s="361"/>
      <c r="I22" s="361"/>
      <c r="J22" s="361"/>
      <c r="K22" s="360"/>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71"/>
      <c r="AK22" s="374">
        <f>SUM(G22:AI22)</f>
        <v>0</v>
      </c>
      <c r="AL22" s="374" t="s">
        <v>507</v>
      </c>
      <c r="AM22" s="372">
        <v>1.1200000000000001</v>
      </c>
      <c r="AN22" s="373">
        <f>AK22*AM22</f>
        <v>0</v>
      </c>
      <c r="AO22" s="373"/>
      <c r="AP22" s="359"/>
    </row>
    <row r="23" spans="3:42" x14ac:dyDescent="0.2">
      <c r="C23" s="80"/>
      <c r="D23" s="363"/>
      <c r="E23" s="363"/>
      <c r="F23" s="362"/>
      <c r="G23" s="362"/>
      <c r="H23" s="361"/>
      <c r="I23" s="361"/>
      <c r="J23" s="361"/>
      <c r="K23" s="360"/>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71"/>
      <c r="AK23" s="374"/>
      <c r="AL23" s="374"/>
      <c r="AM23" s="372"/>
      <c r="AN23" s="373"/>
      <c r="AO23" s="373"/>
      <c r="AP23" s="359"/>
    </row>
    <row r="24" spans="3:42" x14ac:dyDescent="0.2">
      <c r="C24" s="362" t="s">
        <v>508</v>
      </c>
      <c r="D24" s="362"/>
      <c r="E24" s="362"/>
      <c r="F24" s="362"/>
      <c r="G24" s="362"/>
      <c r="H24" s="361"/>
      <c r="I24" s="361"/>
      <c r="J24" s="361"/>
      <c r="K24" s="360"/>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75"/>
      <c r="AK24" s="374">
        <f>SUM(G24:AI24)</f>
        <v>0</v>
      </c>
      <c r="AL24" s="374" t="s">
        <v>507</v>
      </c>
      <c r="AM24" s="372">
        <v>1.9</v>
      </c>
      <c r="AN24" s="373">
        <f>AK24*AM24</f>
        <v>0</v>
      </c>
      <c r="AO24" s="362"/>
      <c r="AP24" s="351"/>
    </row>
    <row r="25" spans="3:42" x14ac:dyDescent="0.2">
      <c r="C25" s="362"/>
      <c r="D25" s="362"/>
      <c r="E25" s="362"/>
      <c r="F25" s="362"/>
      <c r="G25" s="362"/>
      <c r="H25" s="361"/>
      <c r="I25" s="361"/>
      <c r="J25" s="361"/>
      <c r="K25" s="360"/>
      <c r="L25" s="361"/>
      <c r="M25" s="361"/>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75"/>
      <c r="AK25" s="374"/>
      <c r="AL25" s="374"/>
      <c r="AM25" s="362"/>
      <c r="AN25" s="373"/>
      <c r="AO25" s="362"/>
      <c r="AP25" s="351"/>
    </row>
    <row r="26" spans="3:42" x14ac:dyDescent="0.2">
      <c r="C26" s="351" t="s">
        <v>509</v>
      </c>
      <c r="D26" s="351"/>
      <c r="E26" s="351"/>
      <c r="F26" s="351"/>
      <c r="G26" s="351"/>
      <c r="H26" s="361"/>
      <c r="I26" s="361"/>
      <c r="J26" s="361"/>
      <c r="K26" s="360"/>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48"/>
      <c r="AK26" s="118">
        <f>SUM(G26:AI26)</f>
        <v>0</v>
      </c>
      <c r="AL26" s="118"/>
      <c r="AM26" s="368">
        <v>150</v>
      </c>
      <c r="AN26" s="352"/>
      <c r="AO26" s="376">
        <f>AK26*AM26</f>
        <v>0</v>
      </c>
      <c r="AP26" s="352"/>
    </row>
    <row r="27" spans="3:42" x14ac:dyDescent="0.2">
      <c r="C27" s="351"/>
      <c r="D27" s="351"/>
      <c r="E27" s="351"/>
      <c r="F27" s="351"/>
      <c r="G27" s="351"/>
      <c r="H27" s="361"/>
      <c r="I27" s="361"/>
      <c r="J27" s="361"/>
      <c r="K27" s="360"/>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48"/>
      <c r="AK27" s="118"/>
      <c r="AL27" s="118"/>
      <c r="AM27" s="351"/>
      <c r="AN27" s="352"/>
      <c r="AO27" s="351"/>
      <c r="AP27" s="351"/>
    </row>
    <row r="28" spans="3:42" x14ac:dyDescent="0.2">
      <c r="C28" s="351" t="s">
        <v>510</v>
      </c>
      <c r="D28" s="351"/>
      <c r="E28" s="351"/>
      <c r="F28" s="351"/>
      <c r="G28" s="351"/>
      <c r="H28" s="361"/>
      <c r="I28" s="361"/>
      <c r="J28" s="361"/>
      <c r="K28" s="360"/>
      <c r="L28" s="361"/>
      <c r="M28" s="361"/>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52"/>
      <c r="AK28" s="118">
        <f>SUM(G28:AI28)</f>
        <v>0</v>
      </c>
      <c r="AL28" s="118" t="s">
        <v>148</v>
      </c>
      <c r="AM28" s="368">
        <v>7.5</v>
      </c>
      <c r="AN28" s="376">
        <f>AK28*AM28</f>
        <v>0</v>
      </c>
      <c r="AO28" s="351"/>
      <c r="AP28" s="351"/>
    </row>
    <row r="29" spans="3:42" x14ac:dyDescent="0.2">
      <c r="H29" s="361"/>
      <c r="I29" s="361"/>
      <c r="J29" s="361"/>
      <c r="K29" s="360"/>
      <c r="L29" s="361"/>
      <c r="M29" s="361"/>
      <c r="N29" s="361"/>
      <c r="O29" s="361"/>
      <c r="P29" s="361"/>
      <c r="Q29" s="361"/>
      <c r="R29" s="361"/>
      <c r="S29" s="361"/>
      <c r="T29" s="361"/>
      <c r="U29" s="361"/>
      <c r="V29" s="361"/>
      <c r="W29" s="361"/>
      <c r="X29" s="361"/>
      <c r="Y29" s="361"/>
      <c r="Z29" s="361"/>
      <c r="AA29" s="361"/>
      <c r="AB29" s="361"/>
      <c r="AC29" s="361"/>
      <c r="AD29" s="361"/>
      <c r="AE29" s="361"/>
      <c r="AF29" s="361"/>
      <c r="AG29" s="361"/>
      <c r="AH29" s="361"/>
      <c r="AI29" s="361"/>
      <c r="AJ29" s="348"/>
      <c r="AK29" s="118"/>
      <c r="AL29" s="118"/>
      <c r="AN29" s="376"/>
    </row>
    <row r="30" spans="3:42" x14ac:dyDescent="0.2">
      <c r="C30" s="72" t="s">
        <v>511</v>
      </c>
      <c r="H30" s="367">
        <v>4</v>
      </c>
      <c r="I30" s="367"/>
      <c r="J30" s="367">
        <v>4</v>
      </c>
      <c r="L30" s="367">
        <v>4</v>
      </c>
      <c r="M30" s="367"/>
      <c r="N30" s="367"/>
      <c r="O30" s="367"/>
      <c r="P30" s="367">
        <v>4</v>
      </c>
      <c r="Q30" s="367"/>
      <c r="R30" s="367"/>
      <c r="S30" s="367"/>
      <c r="T30" s="367">
        <v>4</v>
      </c>
      <c r="U30" s="367"/>
      <c r="V30" s="367">
        <v>4</v>
      </c>
      <c r="W30" s="367"/>
      <c r="X30" s="367">
        <v>4</v>
      </c>
      <c r="Y30" s="367"/>
      <c r="Z30" s="367">
        <v>4</v>
      </c>
      <c r="AA30" s="367"/>
      <c r="AB30" s="367">
        <v>4</v>
      </c>
      <c r="AC30" s="367"/>
      <c r="AD30" s="367">
        <v>4</v>
      </c>
      <c r="AE30" s="367"/>
      <c r="AF30" s="367">
        <v>4</v>
      </c>
      <c r="AG30" s="367"/>
      <c r="AH30" s="367">
        <v>4</v>
      </c>
      <c r="AI30" s="367"/>
      <c r="AJ30" s="348"/>
      <c r="AK30" s="118">
        <f>SUM(G30:AI30)</f>
        <v>48</v>
      </c>
      <c r="AL30" s="118" t="s">
        <v>148</v>
      </c>
      <c r="AM30" s="368">
        <v>10</v>
      </c>
      <c r="AN30" s="376">
        <f>AK30*AM30</f>
        <v>480</v>
      </c>
    </row>
    <row r="31" spans="3:42" x14ac:dyDescent="0.2">
      <c r="AJ31" s="348"/>
      <c r="AN31" s="348"/>
    </row>
    <row r="32" spans="3:42" x14ac:dyDescent="0.2">
      <c r="C32" s="72" t="s">
        <v>512</v>
      </c>
      <c r="E32" s="377" t="s">
        <v>513</v>
      </c>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c r="AK32" s="378"/>
      <c r="AL32" s="378"/>
      <c r="AM32" s="378"/>
      <c r="AN32" s="378"/>
      <c r="AO32" s="378"/>
      <c r="AP32" s="378"/>
    </row>
    <row r="33" spans="2:42" x14ac:dyDescent="0.2">
      <c r="AN33" s="348"/>
    </row>
    <row r="34" spans="2:42" x14ac:dyDescent="0.2">
      <c r="C34" s="72" t="s">
        <v>514</v>
      </c>
      <c r="AN34" s="349">
        <v>140</v>
      </c>
      <c r="AO34" s="376"/>
    </row>
    <row r="35" spans="2:42" x14ac:dyDescent="0.2">
      <c r="B35">
        <f>SUM(B5:B34)</f>
        <v>0</v>
      </c>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row>
    <row r="36" spans="2:42" x14ac:dyDescent="0.2">
      <c r="AN36" s="203">
        <f>SUM(AN5:AN35)</f>
        <v>9427.6949000000004</v>
      </c>
      <c r="AO36" s="203">
        <f>SUM(AO5:AO35)</f>
        <v>4970.6999999999989</v>
      </c>
      <c r="AP36" s="203">
        <f>SUM(AN36:AO36)</f>
        <v>14398.394899999999</v>
      </c>
    </row>
    <row r="38" spans="2:42" x14ac:dyDescent="0.2">
      <c r="C38" s="72" t="s">
        <v>515</v>
      </c>
      <c r="AM38" s="379"/>
      <c r="AN38" s="203"/>
      <c r="AO38" s="380">
        <v>0.01</v>
      </c>
      <c r="AP38" s="203">
        <f>AP36*AO38</f>
        <v>143.983949</v>
      </c>
    </row>
    <row r="40" spans="2:42" x14ac:dyDescent="0.2">
      <c r="C40" s="72" t="s">
        <v>516</v>
      </c>
      <c r="AN40" s="381"/>
      <c r="AO40" s="381"/>
      <c r="AP40" s="382">
        <f>AO40*20</f>
        <v>0</v>
      </c>
    </row>
    <row r="42" spans="2:42" x14ac:dyDescent="0.2">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row>
    <row r="43" spans="2:42" x14ac:dyDescent="0.2">
      <c r="AP43" s="203">
        <f>SUM(AP36:AP42)</f>
        <v>14542.378848999999</v>
      </c>
    </row>
    <row r="45" spans="2:42" x14ac:dyDescent="0.2">
      <c r="C45" s="72" t="s">
        <v>11</v>
      </c>
      <c r="AO45" s="380">
        <v>0</v>
      </c>
      <c r="AP45" s="203">
        <f>AP43*AO45</f>
        <v>0</v>
      </c>
    </row>
    <row r="47" spans="2:42" x14ac:dyDescent="0.2">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row>
    <row r="48" spans="2:42" x14ac:dyDescent="0.2">
      <c r="AP48" s="54">
        <f>SUM(AP43:AP47)</f>
        <v>14542.378848999999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0F9E-E36B-441C-8FDE-8034710DB171}">
  <dimension ref="A1:AZ83"/>
  <sheetViews>
    <sheetView topLeftCell="V45" zoomScale="85" zoomScaleNormal="85" workbookViewId="0">
      <selection activeCell="C57" sqref="C57:N57"/>
    </sheetView>
  </sheetViews>
  <sheetFormatPr defaultRowHeight="12.75" x14ac:dyDescent="0.2"/>
  <cols>
    <col min="6" max="7" width="9.140625" customWidth="1"/>
    <col min="8" max="8" width="15.5703125" customWidth="1"/>
    <col min="9" max="9" width="4" customWidth="1"/>
    <col min="10" max="10" width="16.140625" customWidth="1"/>
    <col min="11" max="11" width="4" customWidth="1"/>
    <col min="12" max="12" width="13.42578125" customWidth="1"/>
    <col min="13" max="13" width="4" customWidth="1"/>
    <col min="14" max="14" width="16.85546875" customWidth="1"/>
    <col min="15" max="15" width="4.5703125" customWidth="1"/>
    <col min="16" max="16" width="16.42578125" customWidth="1"/>
    <col min="17" max="17" width="4.28515625" customWidth="1"/>
    <col min="18" max="18" width="16.42578125" customWidth="1"/>
    <col min="19" max="19" width="4.28515625" customWidth="1"/>
    <col min="20" max="20" width="16.7109375" customWidth="1"/>
    <col min="21" max="21" width="3.7109375" customWidth="1"/>
    <col min="22" max="22" width="16.42578125" customWidth="1"/>
    <col min="23" max="23" width="4" customWidth="1"/>
    <col min="24" max="24" width="17" customWidth="1"/>
    <col min="25" max="25" width="4.5703125" customWidth="1"/>
    <col min="26" max="26" width="17" customWidth="1"/>
    <col min="27" max="27" width="3.85546875" customWidth="1"/>
    <col min="28" max="28" width="16.7109375" customWidth="1"/>
    <col min="29" max="29" width="4.5703125" customWidth="1"/>
    <col min="30" max="30" width="17" customWidth="1"/>
    <col min="31" max="31" width="4" customWidth="1"/>
    <col min="32" max="32" width="16.42578125" customWidth="1"/>
    <col min="33" max="33" width="3.28515625" customWidth="1"/>
    <col min="34" max="34" width="16.7109375" customWidth="1"/>
    <col min="35" max="35" width="4" customWidth="1"/>
    <col min="36" max="36" width="16.7109375" customWidth="1"/>
    <col min="37" max="37" width="4.5703125" customWidth="1"/>
    <col min="38" max="38" width="16.7109375" customWidth="1"/>
    <col min="39" max="39" width="3.28515625" customWidth="1"/>
    <col min="40" max="40" width="16.7109375" customWidth="1"/>
    <col min="41" max="41" width="3.7109375" customWidth="1"/>
    <col min="42" max="42" width="16.7109375" customWidth="1"/>
    <col min="43" max="43" width="4.5703125" customWidth="1"/>
    <col min="44" max="44" width="5.28515625" customWidth="1"/>
    <col min="45" max="47" width="9.140625" customWidth="1"/>
    <col min="48" max="48" width="12" customWidth="1"/>
    <col min="49" max="49" width="11" customWidth="1"/>
    <col min="50" max="50" width="10.28515625" customWidth="1"/>
  </cols>
  <sheetData>
    <row r="1" spans="2:52" x14ac:dyDescent="0.2">
      <c r="C1" s="186" t="s">
        <v>330</v>
      </c>
      <c r="D1" s="271"/>
      <c r="E1" s="271"/>
    </row>
    <row r="2" spans="2:52" x14ac:dyDescent="0.2">
      <c r="F2" s="348"/>
      <c r="G2" s="348"/>
      <c r="H2" s="348">
        <v>7.7</v>
      </c>
      <c r="I2" s="348"/>
      <c r="J2" s="348">
        <v>7.7</v>
      </c>
      <c r="K2" s="348"/>
      <c r="L2" s="348"/>
      <c r="M2" s="348"/>
      <c r="N2" s="348">
        <v>14.9</v>
      </c>
      <c r="O2" s="348"/>
      <c r="P2" s="348">
        <v>7.8</v>
      </c>
      <c r="Q2" s="348"/>
      <c r="R2" s="348">
        <v>8</v>
      </c>
      <c r="S2" s="348"/>
      <c r="T2" s="348">
        <v>8</v>
      </c>
      <c r="U2" s="348"/>
      <c r="V2" s="348">
        <v>8</v>
      </c>
      <c r="W2" s="348"/>
      <c r="X2" s="348">
        <v>8</v>
      </c>
      <c r="Y2" s="348"/>
      <c r="Z2" s="348">
        <v>8</v>
      </c>
      <c r="AA2" s="348"/>
      <c r="AB2" s="348">
        <v>7.6</v>
      </c>
      <c r="AC2" s="348"/>
      <c r="AD2" s="348">
        <v>7.2</v>
      </c>
      <c r="AE2" s="348"/>
      <c r="AF2" s="348">
        <v>8.4</v>
      </c>
      <c r="AG2" s="348"/>
      <c r="AH2" s="348">
        <v>8.8000000000000007</v>
      </c>
      <c r="AI2" s="348"/>
      <c r="AJ2" s="348">
        <v>9.1999999999999993</v>
      </c>
      <c r="AK2" s="348"/>
      <c r="AL2" s="348">
        <v>7.7</v>
      </c>
      <c r="AM2" s="348"/>
      <c r="AN2" s="348">
        <v>7.2</v>
      </c>
      <c r="AO2" s="348"/>
      <c r="AP2" s="348">
        <v>8.3000000000000007</v>
      </c>
      <c r="AQ2" s="348"/>
      <c r="AR2" s="348"/>
      <c r="AS2" s="351">
        <f>SUM(H2:AR2)</f>
        <v>142.5</v>
      </c>
      <c r="AW2" s="349">
        <v>12</v>
      </c>
    </row>
    <row r="3" spans="2:52" x14ac:dyDescent="0.2">
      <c r="C3" s="350"/>
      <c r="D3" s="351"/>
      <c r="E3" s="351"/>
      <c r="F3" s="352"/>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1">
        <f>SUM(H3:AR3)</f>
        <v>0</v>
      </c>
      <c r="AT3" s="351"/>
      <c r="AU3" s="351"/>
      <c r="AV3" s="351" t="s">
        <v>499</v>
      </c>
      <c r="AW3" s="351" t="s">
        <v>500</v>
      </c>
      <c r="AX3" s="351"/>
    </row>
    <row r="4" spans="2:52" ht="50.25" customHeight="1" x14ac:dyDescent="0.2">
      <c r="B4" s="353"/>
      <c r="C4" s="354"/>
      <c r="D4" s="354"/>
      <c r="E4" s="354"/>
      <c r="F4" s="355"/>
      <c r="G4" s="355"/>
      <c r="H4" s="383" t="s">
        <v>173</v>
      </c>
      <c r="I4" s="356"/>
      <c r="J4" s="383" t="s">
        <v>173</v>
      </c>
      <c r="K4" s="356"/>
      <c r="L4" s="356" t="s">
        <v>556</v>
      </c>
      <c r="M4" s="356"/>
      <c r="N4" s="383" t="s">
        <v>337</v>
      </c>
      <c r="O4" s="356"/>
      <c r="P4" s="383" t="s">
        <v>191</v>
      </c>
      <c r="Q4" s="356"/>
      <c r="R4" s="383" t="s">
        <v>193</v>
      </c>
      <c r="S4" s="356"/>
      <c r="T4" s="383" t="s">
        <v>194</v>
      </c>
      <c r="U4" s="356"/>
      <c r="V4" s="383" t="s">
        <v>197</v>
      </c>
      <c r="W4" s="383"/>
      <c r="X4" s="383" t="s">
        <v>198</v>
      </c>
      <c r="Y4" s="383"/>
      <c r="Z4" s="383" t="s">
        <v>205</v>
      </c>
      <c r="AA4" s="357"/>
      <c r="AB4" s="383" t="s">
        <v>206</v>
      </c>
      <c r="AC4" s="383"/>
      <c r="AD4" s="383" t="s">
        <v>210</v>
      </c>
      <c r="AE4" s="383"/>
      <c r="AF4" s="383" t="s">
        <v>211</v>
      </c>
      <c r="AG4" s="383"/>
      <c r="AH4" s="383" t="s">
        <v>213</v>
      </c>
      <c r="AI4" s="383"/>
      <c r="AJ4" s="383" t="s">
        <v>215</v>
      </c>
      <c r="AK4" s="383"/>
      <c r="AL4" s="383" t="s">
        <v>217</v>
      </c>
      <c r="AM4" s="383"/>
      <c r="AN4" s="383" t="s">
        <v>219</v>
      </c>
      <c r="AO4" s="383"/>
      <c r="AP4" s="383" t="s">
        <v>220</v>
      </c>
      <c r="AQ4" s="383"/>
      <c r="AR4" s="383"/>
      <c r="AS4" s="354" t="s">
        <v>501</v>
      </c>
      <c r="AT4" s="354"/>
      <c r="AU4" s="358" t="s">
        <v>502</v>
      </c>
      <c r="AV4" s="354"/>
      <c r="AW4" s="291"/>
      <c r="AX4" s="264"/>
    </row>
    <row r="5" spans="2:52" x14ac:dyDescent="0.2">
      <c r="C5" s="264"/>
      <c r="D5" s="264"/>
      <c r="E5" s="264"/>
      <c r="F5" s="359"/>
      <c r="G5" s="359"/>
      <c r="H5" s="386" t="s">
        <v>532</v>
      </c>
      <c r="I5" s="359"/>
      <c r="J5" s="386" t="s">
        <v>532</v>
      </c>
      <c r="K5" s="360"/>
      <c r="L5" s="360"/>
      <c r="M5" s="360"/>
      <c r="N5" s="361" t="s">
        <v>533</v>
      </c>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1"/>
      <c r="AQ5" s="361"/>
      <c r="AR5" s="361"/>
      <c r="AS5" s="80"/>
      <c r="AT5" s="80"/>
      <c r="AU5" s="351" t="s">
        <v>844</v>
      </c>
      <c r="AV5" s="264"/>
      <c r="AW5" s="264"/>
      <c r="AX5" s="264"/>
      <c r="AZ5" s="72" t="s">
        <v>631</v>
      </c>
    </row>
    <row r="6" spans="2:52" x14ac:dyDescent="0.2">
      <c r="C6" s="80"/>
      <c r="D6" s="80"/>
      <c r="E6" s="80"/>
      <c r="F6" s="361"/>
      <c r="G6" s="361"/>
      <c r="H6" s="361"/>
      <c r="I6" s="361"/>
      <c r="J6" s="361"/>
      <c r="K6" s="360"/>
      <c r="L6" s="360"/>
      <c r="M6" s="360"/>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80"/>
      <c r="AT6" s="80"/>
      <c r="AU6" s="351"/>
      <c r="AV6" s="264"/>
      <c r="AW6" s="264"/>
      <c r="AX6" s="264"/>
      <c r="AZ6">
        <v>1.04</v>
      </c>
    </row>
    <row r="7" spans="2:52" x14ac:dyDescent="0.2">
      <c r="C7" s="80" t="s">
        <v>518</v>
      </c>
      <c r="D7" s="363"/>
      <c r="E7" s="363"/>
      <c r="F7" s="361">
        <v>5.6</v>
      </c>
      <c r="G7" s="361"/>
      <c r="H7" s="360"/>
      <c r="I7" s="360"/>
      <c r="J7" s="360"/>
      <c r="K7" s="360"/>
      <c r="L7" s="360"/>
      <c r="M7" s="360"/>
      <c r="N7" s="360">
        <v>2</v>
      </c>
      <c r="O7" s="360"/>
      <c r="P7" s="360">
        <v>0.5</v>
      </c>
      <c r="Q7" s="360"/>
      <c r="R7" s="360">
        <v>0.5</v>
      </c>
      <c r="S7" s="360"/>
      <c r="T7" s="360">
        <v>0.5</v>
      </c>
      <c r="U7" s="360"/>
      <c r="V7" s="360">
        <v>0.5</v>
      </c>
      <c r="W7" s="360"/>
      <c r="X7" s="360">
        <v>0.5</v>
      </c>
      <c r="Y7" s="360"/>
      <c r="Z7" s="360">
        <v>0.5</v>
      </c>
      <c r="AA7" s="360"/>
      <c r="AB7" s="360">
        <v>0.5</v>
      </c>
      <c r="AC7" s="360"/>
      <c r="AD7" s="360">
        <v>0.25</v>
      </c>
      <c r="AE7" s="360"/>
      <c r="AF7" s="360">
        <v>0.5</v>
      </c>
      <c r="AG7" s="360"/>
      <c r="AH7" s="360">
        <v>0.5</v>
      </c>
      <c r="AI7" s="360"/>
      <c r="AJ7" s="360">
        <v>1</v>
      </c>
      <c r="AK7" s="360"/>
      <c r="AL7" s="360">
        <v>0.5</v>
      </c>
      <c r="AM7" s="360"/>
      <c r="AN7" s="360">
        <v>0.25</v>
      </c>
      <c r="AO7" s="360"/>
      <c r="AP7" s="360">
        <v>0.5</v>
      </c>
      <c r="AQ7" s="360"/>
      <c r="AR7" s="361"/>
      <c r="AS7" s="111">
        <f>SUM(G7:AR7)</f>
        <v>9</v>
      </c>
      <c r="AT7" s="365"/>
      <c r="AU7" s="365">
        <f>AZ7</f>
        <v>115.99120000000001</v>
      </c>
      <c r="AV7" s="366">
        <f>AS7*AU7</f>
        <v>1043.9208000000001</v>
      </c>
      <c r="AW7" s="366">
        <f>F7*AS7*$AW$2</f>
        <v>604.79999999999995</v>
      </c>
      <c r="AX7" s="359">
        <f>AS7*F7</f>
        <v>50.4</v>
      </c>
      <c r="AY7" s="576">
        <v>111.53</v>
      </c>
      <c r="AZ7" s="203">
        <f>AY7*$AZ$6</f>
        <v>115.99120000000001</v>
      </c>
    </row>
    <row r="8" spans="2:52" x14ac:dyDescent="0.2">
      <c r="C8" s="80" t="s">
        <v>578</v>
      </c>
      <c r="D8" s="363"/>
      <c r="E8" s="363"/>
      <c r="F8" s="361">
        <v>5.6</v>
      </c>
      <c r="G8" s="361"/>
      <c r="H8" s="360"/>
      <c r="I8" s="360"/>
      <c r="J8" s="360"/>
      <c r="K8" s="360"/>
      <c r="L8" s="360"/>
      <c r="M8" s="360"/>
      <c r="N8" s="360">
        <v>2</v>
      </c>
      <c r="O8" s="360"/>
      <c r="P8" s="360">
        <v>0.5</v>
      </c>
      <c r="Q8" s="360"/>
      <c r="R8" s="360">
        <v>0.5</v>
      </c>
      <c r="S8" s="360"/>
      <c r="T8" s="360">
        <v>0.5</v>
      </c>
      <c r="U8" s="360"/>
      <c r="V8" s="360">
        <v>0.5</v>
      </c>
      <c r="W8" s="360"/>
      <c r="X8" s="360">
        <v>0.5</v>
      </c>
      <c r="Y8" s="360"/>
      <c r="Z8" s="360">
        <v>0.5</v>
      </c>
      <c r="AA8" s="360"/>
      <c r="AB8" s="360">
        <v>0.5</v>
      </c>
      <c r="AC8" s="360"/>
      <c r="AD8" s="360">
        <v>0.25</v>
      </c>
      <c r="AE8" s="360"/>
      <c r="AF8" s="360">
        <v>0.5</v>
      </c>
      <c r="AG8" s="360"/>
      <c r="AH8" s="360">
        <v>0.5</v>
      </c>
      <c r="AI8" s="360"/>
      <c r="AJ8" s="360">
        <v>1</v>
      </c>
      <c r="AK8" s="360"/>
      <c r="AL8" s="360">
        <v>0.5</v>
      </c>
      <c r="AM8" s="360"/>
      <c r="AN8" s="360">
        <v>0.25</v>
      </c>
      <c r="AO8" s="360"/>
      <c r="AP8" s="360">
        <v>0.5</v>
      </c>
      <c r="AQ8" s="360"/>
      <c r="AR8" s="361"/>
      <c r="AS8" s="111">
        <f>SUM(G8:AR8)</f>
        <v>9</v>
      </c>
      <c r="AT8" s="365"/>
      <c r="AU8" s="365">
        <f t="shared" ref="AU8:AU47" si="0">AZ8</f>
        <v>129.4384</v>
      </c>
      <c r="AV8" s="366">
        <f>AS8*AU8</f>
        <v>1164.9456</v>
      </c>
      <c r="AW8" s="366">
        <f>F8*AS8*$AW$2</f>
        <v>604.79999999999995</v>
      </c>
      <c r="AX8" s="359">
        <f t="shared" ref="AX8:AX47" si="1">AS8*F8</f>
        <v>50.4</v>
      </c>
      <c r="AY8" s="576">
        <v>124.46</v>
      </c>
      <c r="AZ8" s="203">
        <f t="shared" ref="AZ8:AZ47" si="2">AY8*$AZ$6</f>
        <v>129.4384</v>
      </c>
    </row>
    <row r="9" spans="2:52" x14ac:dyDescent="0.2">
      <c r="C9" s="80"/>
      <c r="D9" s="363"/>
      <c r="E9" s="363"/>
      <c r="F9" s="361"/>
      <c r="G9" s="361"/>
      <c r="H9" s="360"/>
      <c r="I9" s="360"/>
      <c r="J9" s="360"/>
      <c r="K9" s="360"/>
      <c r="L9" s="360"/>
      <c r="M9" s="360"/>
      <c r="N9" s="360"/>
      <c r="O9" s="360"/>
      <c r="P9" s="360"/>
      <c r="Q9" s="360"/>
      <c r="R9" s="573"/>
      <c r="S9" s="360"/>
      <c r="T9" s="360"/>
      <c r="U9" s="360"/>
      <c r="V9" s="360"/>
      <c r="W9" s="360"/>
      <c r="X9" s="360"/>
      <c r="Y9" s="360"/>
      <c r="Z9" s="360"/>
      <c r="AA9" s="360"/>
      <c r="AB9" s="360"/>
      <c r="AC9" s="360"/>
      <c r="AD9" s="360"/>
      <c r="AE9" s="360"/>
      <c r="AF9" s="360"/>
      <c r="AG9" s="360"/>
      <c r="AH9" s="360"/>
      <c r="AI9" s="360"/>
      <c r="AJ9" s="360"/>
      <c r="AK9" s="360"/>
      <c r="AL9" s="360"/>
      <c r="AM9" s="360"/>
      <c r="AN9" s="360"/>
      <c r="AO9" s="360"/>
      <c r="AP9" s="360"/>
      <c r="AQ9" s="360"/>
      <c r="AR9" s="361"/>
      <c r="AS9" s="111"/>
      <c r="AT9" s="365"/>
      <c r="AU9" s="365"/>
      <c r="AV9" s="366"/>
      <c r="AW9" s="366"/>
      <c r="AX9" s="359">
        <f t="shared" si="1"/>
        <v>0</v>
      </c>
      <c r="AY9" s="576"/>
      <c r="AZ9" s="203"/>
    </row>
    <row r="10" spans="2:52" x14ac:dyDescent="0.2">
      <c r="C10" s="80" t="s">
        <v>519</v>
      </c>
      <c r="D10" s="363"/>
      <c r="E10" s="363"/>
      <c r="F10" s="361">
        <v>5.6</v>
      </c>
      <c r="G10" s="361"/>
      <c r="H10" s="360"/>
      <c r="I10" s="360"/>
      <c r="J10" s="360"/>
      <c r="K10" s="360"/>
      <c r="L10" s="360"/>
      <c r="M10" s="360"/>
      <c r="N10" s="360">
        <v>4</v>
      </c>
      <c r="O10" s="360"/>
      <c r="P10" s="573">
        <v>3</v>
      </c>
      <c r="Q10" s="360"/>
      <c r="R10" s="573">
        <v>3</v>
      </c>
      <c r="S10" s="360"/>
      <c r="T10" s="573">
        <v>3</v>
      </c>
      <c r="U10" s="360"/>
      <c r="V10" s="573">
        <v>3</v>
      </c>
      <c r="W10" s="360"/>
      <c r="X10" s="573">
        <v>3</v>
      </c>
      <c r="Y10" s="360"/>
      <c r="Z10" s="573">
        <v>3</v>
      </c>
      <c r="AA10" s="360"/>
      <c r="AB10" s="573">
        <v>3</v>
      </c>
      <c r="AC10" s="360"/>
      <c r="AD10" s="360">
        <v>2</v>
      </c>
      <c r="AE10" s="360"/>
      <c r="AF10" s="573">
        <v>3</v>
      </c>
      <c r="AG10" s="360"/>
      <c r="AH10" s="573">
        <v>3</v>
      </c>
      <c r="AI10" s="360"/>
      <c r="AJ10" s="573">
        <v>3</v>
      </c>
      <c r="AK10" s="360"/>
      <c r="AL10" s="573">
        <v>3</v>
      </c>
      <c r="AM10" s="360"/>
      <c r="AN10" s="573">
        <v>3</v>
      </c>
      <c r="AO10" s="360"/>
      <c r="AP10" s="573">
        <v>3</v>
      </c>
      <c r="AQ10" s="360"/>
      <c r="AR10" s="361"/>
      <c r="AS10" s="111">
        <f>SUM(G10:AR10)</f>
        <v>45</v>
      </c>
      <c r="AT10" s="365"/>
      <c r="AU10" s="365">
        <f t="shared" si="0"/>
        <v>149.33360000000002</v>
      </c>
      <c r="AV10" s="366">
        <f>AS10*AU10</f>
        <v>6720.0120000000006</v>
      </c>
      <c r="AW10" s="366">
        <f>F10*AS10*$AW$2</f>
        <v>3023.9999999999995</v>
      </c>
      <c r="AX10" s="359">
        <f t="shared" si="1"/>
        <v>251.99999999999997</v>
      </c>
      <c r="AY10" s="576">
        <v>143.59</v>
      </c>
      <c r="AZ10" s="203">
        <f t="shared" si="2"/>
        <v>149.33360000000002</v>
      </c>
    </row>
    <row r="11" spans="2:52" x14ac:dyDescent="0.2">
      <c r="C11" s="80" t="s">
        <v>520</v>
      </c>
      <c r="D11" s="363"/>
      <c r="E11" s="363"/>
      <c r="F11" s="361">
        <v>5.6</v>
      </c>
      <c r="G11" s="361"/>
      <c r="H11" s="360"/>
      <c r="I11" s="360"/>
      <c r="J11" s="360"/>
      <c r="K11" s="360"/>
      <c r="L11" s="360"/>
      <c r="M11" s="360"/>
      <c r="N11" s="360">
        <v>4</v>
      </c>
      <c r="O11" s="360"/>
      <c r="P11" s="573">
        <v>3</v>
      </c>
      <c r="Q11" s="360"/>
      <c r="R11" s="573">
        <v>3</v>
      </c>
      <c r="S11" s="360"/>
      <c r="T11" s="573">
        <v>3</v>
      </c>
      <c r="U11" s="360"/>
      <c r="V11" s="573">
        <v>3</v>
      </c>
      <c r="W11" s="360"/>
      <c r="X11" s="573">
        <v>3</v>
      </c>
      <c r="Y11" s="360"/>
      <c r="Z11" s="573">
        <v>3</v>
      </c>
      <c r="AA11" s="360"/>
      <c r="AB11" s="573">
        <v>3</v>
      </c>
      <c r="AC11" s="360"/>
      <c r="AD11" s="360">
        <v>2</v>
      </c>
      <c r="AE11" s="360"/>
      <c r="AF11" s="573">
        <v>3</v>
      </c>
      <c r="AG11" s="360"/>
      <c r="AH11" s="573">
        <v>3</v>
      </c>
      <c r="AI11" s="360"/>
      <c r="AJ11" s="573">
        <v>3</v>
      </c>
      <c r="AK11" s="360"/>
      <c r="AL11" s="573">
        <v>3</v>
      </c>
      <c r="AM11" s="360"/>
      <c r="AN11" s="573">
        <v>3</v>
      </c>
      <c r="AO11" s="360"/>
      <c r="AP11" s="573">
        <v>3</v>
      </c>
      <c r="AQ11" s="360"/>
      <c r="AR11" s="361"/>
      <c r="AS11" s="111">
        <f>SUM(G11:AR11)</f>
        <v>45</v>
      </c>
      <c r="AT11" s="365"/>
      <c r="AU11" s="365">
        <f t="shared" si="0"/>
        <v>135.69919999999999</v>
      </c>
      <c r="AV11" s="366">
        <f>AS11*AU11</f>
        <v>6106.4639999999999</v>
      </c>
      <c r="AW11" s="366">
        <f>F11*AS11*$AW$2</f>
        <v>3023.9999999999995</v>
      </c>
      <c r="AX11" s="359">
        <f t="shared" si="1"/>
        <v>251.99999999999997</v>
      </c>
      <c r="AY11" s="576">
        <v>130.47999999999999</v>
      </c>
      <c r="AZ11" s="203">
        <f t="shared" si="2"/>
        <v>135.69919999999999</v>
      </c>
    </row>
    <row r="12" spans="2:52" x14ac:dyDescent="0.2">
      <c r="C12" s="80"/>
      <c r="D12" s="363"/>
      <c r="E12" s="363"/>
      <c r="F12" s="361"/>
      <c r="G12" s="361"/>
      <c r="H12" s="360"/>
      <c r="I12" s="360"/>
      <c r="J12" s="360"/>
      <c r="K12" s="360"/>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1"/>
      <c r="AS12" s="111"/>
      <c r="AT12" s="365"/>
      <c r="AU12" s="365"/>
      <c r="AV12" s="366"/>
      <c r="AW12" s="366"/>
      <c r="AX12" s="359"/>
      <c r="AY12" s="576"/>
      <c r="AZ12" s="203"/>
    </row>
    <row r="13" spans="2:52" x14ac:dyDescent="0.2">
      <c r="C13" s="575" t="s">
        <v>553</v>
      </c>
      <c r="D13" s="363"/>
      <c r="E13" s="363"/>
      <c r="F13" s="361">
        <v>5.6</v>
      </c>
      <c r="G13" s="361"/>
      <c r="H13" s="360"/>
      <c r="I13" s="360"/>
      <c r="J13" s="360"/>
      <c r="K13" s="360"/>
      <c r="L13" s="360"/>
      <c r="M13" s="360"/>
      <c r="N13" s="571">
        <v>0.5</v>
      </c>
      <c r="O13" s="360"/>
      <c r="P13" s="571">
        <v>0.5</v>
      </c>
      <c r="Q13" s="360"/>
      <c r="R13" s="571">
        <v>0.5</v>
      </c>
      <c r="S13" s="360"/>
      <c r="T13" s="571">
        <v>0.5</v>
      </c>
      <c r="U13" s="360"/>
      <c r="V13" s="571">
        <v>0.5</v>
      </c>
      <c r="W13" s="360"/>
      <c r="X13" s="571">
        <v>0.5</v>
      </c>
      <c r="Y13" s="360"/>
      <c r="Z13" s="571">
        <v>0.5</v>
      </c>
      <c r="AA13" s="360"/>
      <c r="AB13" s="571">
        <v>0.5</v>
      </c>
      <c r="AC13" s="360"/>
      <c r="AD13" s="571">
        <v>0.5</v>
      </c>
      <c r="AE13" s="360"/>
      <c r="AF13" s="571">
        <v>0.5</v>
      </c>
      <c r="AG13" s="360"/>
      <c r="AH13" s="571">
        <v>0.5</v>
      </c>
      <c r="AI13" s="360"/>
      <c r="AJ13" s="571">
        <v>0.5</v>
      </c>
      <c r="AK13" s="360"/>
      <c r="AL13" s="571">
        <v>0.5</v>
      </c>
      <c r="AM13" s="360"/>
      <c r="AN13" s="571">
        <v>0.5</v>
      </c>
      <c r="AO13" s="360"/>
      <c r="AP13" s="571">
        <v>0.5</v>
      </c>
      <c r="AQ13" s="360"/>
      <c r="AR13" s="361"/>
      <c r="AS13" s="111">
        <f>SUM(G13:AR13)</f>
        <v>7.5</v>
      </c>
      <c r="AT13" s="365"/>
      <c r="AU13" s="365">
        <f t="shared" si="0"/>
        <v>21.32</v>
      </c>
      <c r="AV13" s="366">
        <f>AS13*AU13</f>
        <v>159.9</v>
      </c>
      <c r="AW13" s="366">
        <f>F13*AS13*$AW$2</f>
        <v>504</v>
      </c>
      <c r="AX13" s="359">
        <f t="shared" si="1"/>
        <v>42</v>
      </c>
      <c r="AY13" s="576">
        <v>20.5</v>
      </c>
      <c r="AZ13" s="203">
        <f t="shared" si="2"/>
        <v>21.32</v>
      </c>
    </row>
    <row r="14" spans="2:52" x14ac:dyDescent="0.2">
      <c r="C14" s="574" t="s">
        <v>842</v>
      </c>
      <c r="D14" s="370"/>
      <c r="E14" s="370"/>
      <c r="F14" s="359">
        <v>5.6</v>
      </c>
      <c r="G14" s="361"/>
      <c r="H14" s="360"/>
      <c r="I14" s="360"/>
      <c r="J14" s="360"/>
      <c r="K14" s="360"/>
      <c r="L14" s="360"/>
      <c r="M14" s="360"/>
      <c r="N14" s="573">
        <v>1</v>
      </c>
      <c r="O14" s="360"/>
      <c r="P14" s="573">
        <v>1</v>
      </c>
      <c r="Q14" s="360"/>
      <c r="R14" s="573">
        <v>1</v>
      </c>
      <c r="S14" s="360"/>
      <c r="T14" s="573">
        <v>1</v>
      </c>
      <c r="U14" s="360"/>
      <c r="V14" s="573">
        <v>1</v>
      </c>
      <c r="W14" s="360"/>
      <c r="X14" s="573">
        <v>1</v>
      </c>
      <c r="Y14" s="360"/>
      <c r="Z14" s="573">
        <v>1</v>
      </c>
      <c r="AA14" s="360"/>
      <c r="AB14" s="573">
        <v>1</v>
      </c>
      <c r="AC14" s="360"/>
      <c r="AD14" s="573">
        <v>1</v>
      </c>
      <c r="AE14" s="360"/>
      <c r="AF14" s="573">
        <v>1</v>
      </c>
      <c r="AG14" s="360"/>
      <c r="AH14" s="573">
        <v>1</v>
      </c>
      <c r="AI14" s="360"/>
      <c r="AJ14" s="573">
        <v>1</v>
      </c>
      <c r="AK14" s="360"/>
      <c r="AL14" s="573">
        <v>1</v>
      </c>
      <c r="AM14" s="360"/>
      <c r="AN14" s="573">
        <v>1</v>
      </c>
      <c r="AO14" s="360"/>
      <c r="AP14" s="573">
        <v>1</v>
      </c>
      <c r="AQ14" s="360"/>
      <c r="AR14" s="361"/>
      <c r="AS14" s="111">
        <f>SUM(G14:AR14)</f>
        <v>15</v>
      </c>
      <c r="AT14" s="365"/>
      <c r="AU14" s="365">
        <f t="shared" si="0"/>
        <v>127.61839999999999</v>
      </c>
      <c r="AV14" s="366">
        <f>AS14*AU14</f>
        <v>1914.2759999999998</v>
      </c>
      <c r="AW14" s="366">
        <f>F14*AS14*$AW$2</f>
        <v>1008</v>
      </c>
      <c r="AX14" s="359">
        <f t="shared" si="1"/>
        <v>84</v>
      </c>
      <c r="AY14" s="576">
        <v>122.71</v>
      </c>
      <c r="AZ14" s="203">
        <f t="shared" si="2"/>
        <v>127.61839999999999</v>
      </c>
    </row>
    <row r="15" spans="2:52" x14ac:dyDescent="0.2">
      <c r="C15" s="574" t="s">
        <v>841</v>
      </c>
      <c r="D15" s="370"/>
      <c r="E15" s="370"/>
      <c r="F15" s="359">
        <v>5.6</v>
      </c>
      <c r="G15" s="361"/>
      <c r="H15" s="360"/>
      <c r="I15" s="360"/>
      <c r="J15" s="360"/>
      <c r="K15" s="360"/>
      <c r="L15" s="360"/>
      <c r="M15" s="360"/>
      <c r="N15" s="571">
        <v>1.25</v>
      </c>
      <c r="O15" s="360"/>
      <c r="P15" s="571">
        <v>1.25</v>
      </c>
      <c r="Q15" s="360"/>
      <c r="R15" s="571">
        <v>1.25</v>
      </c>
      <c r="S15" s="360"/>
      <c r="T15" s="571">
        <v>1.25</v>
      </c>
      <c r="U15" s="360"/>
      <c r="V15" s="571">
        <v>1.25</v>
      </c>
      <c r="W15" s="360"/>
      <c r="X15" s="571">
        <v>1.25</v>
      </c>
      <c r="Y15" s="360"/>
      <c r="Z15" s="571">
        <v>1.25</v>
      </c>
      <c r="AA15" s="360"/>
      <c r="AB15" s="571">
        <v>1.25</v>
      </c>
      <c r="AC15" s="360"/>
      <c r="AD15" s="571">
        <v>1.25</v>
      </c>
      <c r="AE15" s="360"/>
      <c r="AF15" s="571">
        <v>1.25</v>
      </c>
      <c r="AG15" s="360"/>
      <c r="AH15" s="571">
        <v>1.25</v>
      </c>
      <c r="AI15" s="360"/>
      <c r="AJ15" s="571">
        <v>1.25</v>
      </c>
      <c r="AK15" s="360"/>
      <c r="AL15" s="571">
        <v>1.25</v>
      </c>
      <c r="AM15" s="360"/>
      <c r="AN15" s="571">
        <v>1.25</v>
      </c>
      <c r="AO15" s="360"/>
      <c r="AP15" s="571">
        <v>1.25</v>
      </c>
      <c r="AQ15" s="360"/>
      <c r="AR15" s="361"/>
      <c r="AS15" s="111">
        <f>SUM(G15:AR15)</f>
        <v>18.75</v>
      </c>
      <c r="AT15" s="365"/>
      <c r="AU15" s="365">
        <f t="shared" si="0"/>
        <v>100.91120000000001</v>
      </c>
      <c r="AV15" s="366">
        <f>AS15*AU15</f>
        <v>1892.085</v>
      </c>
      <c r="AW15" s="366">
        <f>F15*AS15*$AW$2</f>
        <v>1260</v>
      </c>
      <c r="AX15" s="359">
        <f t="shared" si="1"/>
        <v>105</v>
      </c>
      <c r="AY15" s="576">
        <v>97.03</v>
      </c>
      <c r="AZ15" s="203">
        <f t="shared" si="2"/>
        <v>100.91120000000001</v>
      </c>
    </row>
    <row r="16" spans="2:52" x14ac:dyDescent="0.2">
      <c r="C16" s="574" t="s">
        <v>840</v>
      </c>
      <c r="D16" s="370"/>
      <c r="E16" s="370"/>
      <c r="F16" s="359">
        <v>5.6</v>
      </c>
      <c r="G16" s="361"/>
      <c r="H16" s="360"/>
      <c r="I16" s="360"/>
      <c r="J16" s="360"/>
      <c r="K16" s="360"/>
      <c r="L16" s="360"/>
      <c r="M16" s="360"/>
      <c r="N16" s="571">
        <v>1.25</v>
      </c>
      <c r="O16" s="360"/>
      <c r="P16" s="571">
        <v>1.25</v>
      </c>
      <c r="Q16" s="360"/>
      <c r="R16" s="571">
        <v>1.25</v>
      </c>
      <c r="S16" s="360"/>
      <c r="T16" s="571">
        <v>1.25</v>
      </c>
      <c r="U16" s="360"/>
      <c r="V16" s="571">
        <v>1.25</v>
      </c>
      <c r="W16" s="360"/>
      <c r="X16" s="571">
        <v>1.25</v>
      </c>
      <c r="Y16" s="360"/>
      <c r="Z16" s="571">
        <v>1.25</v>
      </c>
      <c r="AA16" s="360"/>
      <c r="AB16" s="571">
        <v>1.25</v>
      </c>
      <c r="AC16" s="360"/>
      <c r="AD16" s="571">
        <v>1.25</v>
      </c>
      <c r="AE16" s="360"/>
      <c r="AF16" s="571">
        <v>1.25</v>
      </c>
      <c r="AG16" s="360"/>
      <c r="AH16" s="571">
        <v>1.25</v>
      </c>
      <c r="AI16" s="360"/>
      <c r="AJ16" s="571">
        <v>1.25</v>
      </c>
      <c r="AK16" s="360"/>
      <c r="AL16" s="571">
        <v>1.25</v>
      </c>
      <c r="AM16" s="360"/>
      <c r="AN16" s="571">
        <v>1.25</v>
      </c>
      <c r="AO16" s="360"/>
      <c r="AP16" s="571">
        <v>1.25</v>
      </c>
      <c r="AQ16" s="360"/>
      <c r="AR16" s="361"/>
      <c r="AS16" s="111">
        <f>SUM(G16:AR16)</f>
        <v>18.75</v>
      </c>
      <c r="AT16" s="365"/>
      <c r="AU16" s="365">
        <f t="shared" si="0"/>
        <v>47.933600000000006</v>
      </c>
      <c r="AV16" s="366">
        <f>AS16*AU16</f>
        <v>898.75500000000011</v>
      </c>
      <c r="AW16" s="366">
        <f>F16*AS16*$AW$2</f>
        <v>1260</v>
      </c>
      <c r="AX16" s="359">
        <f t="shared" si="1"/>
        <v>105</v>
      </c>
      <c r="AY16" s="576">
        <v>46.09</v>
      </c>
      <c r="AZ16" s="203">
        <f t="shared" si="2"/>
        <v>47.933600000000006</v>
      </c>
    </row>
    <row r="17" spans="1:52" x14ac:dyDescent="0.2">
      <c r="C17" s="80"/>
      <c r="D17" s="363"/>
      <c r="E17" s="363"/>
      <c r="F17" s="361"/>
      <c r="G17" s="361"/>
      <c r="H17" s="360"/>
      <c r="I17" s="360"/>
      <c r="J17" s="360"/>
      <c r="K17" s="360"/>
      <c r="L17" s="360"/>
      <c r="M17" s="360"/>
      <c r="N17" s="571"/>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1"/>
      <c r="AS17" s="111"/>
      <c r="AT17" s="365"/>
      <c r="AU17" s="365"/>
      <c r="AV17" s="366"/>
      <c r="AW17" s="366"/>
      <c r="AX17" s="359"/>
      <c r="AY17" s="365"/>
      <c r="AZ17" s="203"/>
    </row>
    <row r="18" spans="1:52" x14ac:dyDescent="0.2">
      <c r="C18" s="80"/>
      <c r="D18" s="363"/>
      <c r="E18" s="363"/>
      <c r="F18" s="361"/>
      <c r="G18" s="361"/>
      <c r="H18" s="360"/>
      <c r="I18" s="360"/>
      <c r="J18" s="360"/>
      <c r="K18" s="360"/>
      <c r="L18" s="360"/>
      <c r="M18" s="360"/>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1"/>
      <c r="AS18" s="111"/>
      <c r="AT18" s="365"/>
      <c r="AU18" s="365"/>
      <c r="AV18" s="366"/>
      <c r="AW18" s="366"/>
      <c r="AX18" s="359"/>
      <c r="AY18" s="365"/>
      <c r="AZ18" s="203"/>
    </row>
    <row r="19" spans="1:52" x14ac:dyDescent="0.2">
      <c r="C19" s="80"/>
      <c r="D19" s="363"/>
      <c r="E19" s="363"/>
      <c r="F19" s="361"/>
      <c r="G19" s="361"/>
      <c r="H19" s="360"/>
      <c r="I19" s="360"/>
      <c r="J19" s="360"/>
      <c r="K19" s="360"/>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1"/>
      <c r="AS19" s="111"/>
      <c r="AT19" s="365"/>
      <c r="AU19" s="365"/>
      <c r="AV19" s="366"/>
      <c r="AW19" s="366"/>
      <c r="AX19" s="359"/>
      <c r="AY19" s="365"/>
      <c r="AZ19" s="203"/>
    </row>
    <row r="20" spans="1:52" x14ac:dyDescent="0.2">
      <c r="C20" s="80"/>
      <c r="D20" s="363"/>
      <c r="E20" s="363"/>
      <c r="F20" s="361"/>
      <c r="G20" s="361"/>
      <c r="H20" s="360"/>
      <c r="I20" s="360"/>
      <c r="J20" s="360"/>
      <c r="K20" s="360"/>
      <c r="L20" s="360"/>
      <c r="M20" s="360"/>
      <c r="N20" s="360"/>
      <c r="O20" s="360"/>
      <c r="P20" s="360"/>
      <c r="Q20" s="360"/>
      <c r="R20" s="360"/>
      <c r="S20" s="360"/>
      <c r="T20" s="360"/>
      <c r="U20" s="360"/>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1"/>
      <c r="AS20" s="111"/>
      <c r="AT20" s="365"/>
      <c r="AU20" s="365"/>
      <c r="AV20" s="366"/>
      <c r="AW20" s="366"/>
      <c r="AX20" s="359"/>
      <c r="AY20" s="365"/>
      <c r="AZ20" s="203"/>
    </row>
    <row r="21" spans="1:52" x14ac:dyDescent="0.2">
      <c r="C21" s="80" t="s">
        <v>519</v>
      </c>
      <c r="D21" s="363"/>
      <c r="E21" s="363"/>
      <c r="F21" s="361">
        <v>5.6</v>
      </c>
      <c r="G21" s="361"/>
      <c r="H21" s="360">
        <v>2</v>
      </c>
      <c r="I21" s="360"/>
      <c r="J21" s="360">
        <v>2</v>
      </c>
      <c r="K21" s="360"/>
      <c r="L21" s="360"/>
      <c r="M21" s="360"/>
      <c r="N21" s="360"/>
      <c r="O21" s="360"/>
      <c r="P21" s="360"/>
      <c r="Q21" s="360"/>
      <c r="R21" s="360"/>
      <c r="S21" s="360"/>
      <c r="T21" s="360"/>
      <c r="U21" s="360"/>
      <c r="V21" s="360"/>
      <c r="W21" s="360"/>
      <c r="X21" s="360"/>
      <c r="Y21" s="360"/>
      <c r="Z21" s="360"/>
      <c r="AA21" s="360"/>
      <c r="AB21" s="360"/>
      <c r="AC21" s="360"/>
      <c r="AD21" s="360"/>
      <c r="AE21" s="360"/>
      <c r="AF21" s="360"/>
      <c r="AG21" s="360"/>
      <c r="AH21" s="360"/>
      <c r="AI21" s="360"/>
      <c r="AJ21" s="360"/>
      <c r="AK21" s="360"/>
      <c r="AL21" s="360"/>
      <c r="AM21" s="360"/>
      <c r="AN21" s="360"/>
      <c r="AO21" s="360"/>
      <c r="AP21" s="360"/>
      <c r="AQ21" s="360"/>
      <c r="AR21" s="361"/>
      <c r="AS21" s="111">
        <f t="shared" ref="AS21:AS47" si="3">SUM(G21:AR21)</f>
        <v>4</v>
      </c>
      <c r="AT21" s="365"/>
      <c r="AU21" s="365">
        <f t="shared" si="0"/>
        <v>103.5112</v>
      </c>
      <c r="AV21" s="366">
        <f t="shared" ref="AV21:AV47" si="4">AS21*AU21</f>
        <v>414.04480000000001</v>
      </c>
      <c r="AW21" s="366">
        <f t="shared" ref="AW21:AW47" si="5">F21*AS21*$AW$2</f>
        <v>268.79999999999995</v>
      </c>
      <c r="AX21" s="359">
        <f t="shared" si="1"/>
        <v>22.4</v>
      </c>
      <c r="AY21" s="577">
        <v>99.53</v>
      </c>
      <c r="AZ21" s="203">
        <f t="shared" si="2"/>
        <v>103.5112</v>
      </c>
    </row>
    <row r="22" spans="1:52" x14ac:dyDescent="0.2">
      <c r="C22" s="80" t="s">
        <v>557</v>
      </c>
      <c r="D22" s="363"/>
      <c r="E22" s="363"/>
      <c r="F22" s="361">
        <v>5.6</v>
      </c>
      <c r="G22" s="361"/>
      <c r="H22" s="360">
        <v>2</v>
      </c>
      <c r="I22" s="360"/>
      <c r="J22" s="360">
        <v>2</v>
      </c>
      <c r="K22" s="360"/>
      <c r="L22" s="360"/>
      <c r="M22" s="360"/>
      <c r="N22" s="360"/>
      <c r="O22" s="360"/>
      <c r="P22" s="360"/>
      <c r="Q22" s="360"/>
      <c r="R22" s="360"/>
      <c r="S22" s="360"/>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0"/>
      <c r="AR22" s="361"/>
      <c r="AS22" s="111">
        <f t="shared" si="3"/>
        <v>4</v>
      </c>
      <c r="AT22" s="365"/>
      <c r="AU22" s="365">
        <f t="shared" si="0"/>
        <v>124.852</v>
      </c>
      <c r="AV22" s="366">
        <f t="shared" si="4"/>
        <v>499.40800000000002</v>
      </c>
      <c r="AW22" s="366">
        <f t="shared" si="5"/>
        <v>268.79999999999995</v>
      </c>
      <c r="AX22" s="359">
        <f t="shared" si="1"/>
        <v>22.4</v>
      </c>
      <c r="AY22" s="577">
        <v>120.05</v>
      </c>
      <c r="AZ22" s="203">
        <f t="shared" si="2"/>
        <v>124.852</v>
      </c>
    </row>
    <row r="23" spans="1:52" x14ac:dyDescent="0.2">
      <c r="C23" s="80" t="s">
        <v>518</v>
      </c>
      <c r="D23" s="363"/>
      <c r="E23" s="363"/>
      <c r="F23" s="361">
        <v>5.6</v>
      </c>
      <c r="G23" s="361"/>
      <c r="H23" s="360">
        <v>0.5</v>
      </c>
      <c r="I23" s="360"/>
      <c r="J23" s="360">
        <v>0.5</v>
      </c>
      <c r="K23" s="360"/>
      <c r="L23" s="360"/>
      <c r="M23" s="360"/>
      <c r="N23" s="36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0"/>
      <c r="AM23" s="360"/>
      <c r="AN23" s="360"/>
      <c r="AO23" s="360"/>
      <c r="AP23" s="360"/>
      <c r="AQ23" s="360"/>
      <c r="AR23" s="361"/>
      <c r="AS23" s="111">
        <f t="shared" si="3"/>
        <v>1</v>
      </c>
      <c r="AT23" s="365"/>
      <c r="AU23" s="365">
        <f t="shared" si="0"/>
        <v>75.275199999999998</v>
      </c>
      <c r="AV23" s="366">
        <f t="shared" si="4"/>
        <v>75.275199999999998</v>
      </c>
      <c r="AW23" s="366">
        <f t="shared" si="5"/>
        <v>67.199999999999989</v>
      </c>
      <c r="AX23" s="359">
        <f t="shared" si="1"/>
        <v>5.6</v>
      </c>
      <c r="AY23" s="577">
        <v>72.38</v>
      </c>
      <c r="AZ23" s="203">
        <f t="shared" si="2"/>
        <v>75.275199999999998</v>
      </c>
    </row>
    <row r="24" spans="1:52" x14ac:dyDescent="0.2">
      <c r="C24" s="80" t="s">
        <v>558</v>
      </c>
      <c r="D24" s="363"/>
      <c r="E24" s="363"/>
      <c r="F24" s="361">
        <v>5.6</v>
      </c>
      <c r="G24" s="361"/>
      <c r="H24" s="360">
        <v>0.5</v>
      </c>
      <c r="I24" s="360"/>
      <c r="J24" s="360">
        <v>0.5</v>
      </c>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0"/>
      <c r="AM24" s="360"/>
      <c r="AN24" s="360"/>
      <c r="AO24" s="360"/>
      <c r="AP24" s="360"/>
      <c r="AQ24" s="360"/>
      <c r="AR24" s="361"/>
      <c r="AS24" s="111">
        <f t="shared" si="3"/>
        <v>1</v>
      </c>
      <c r="AT24" s="365"/>
      <c r="AU24" s="365">
        <f t="shared" si="0"/>
        <v>97.656000000000006</v>
      </c>
      <c r="AV24" s="366">
        <f t="shared" si="4"/>
        <v>97.656000000000006</v>
      </c>
      <c r="AW24" s="366">
        <f t="shared" si="5"/>
        <v>67.199999999999989</v>
      </c>
      <c r="AX24" s="359">
        <f t="shared" si="1"/>
        <v>5.6</v>
      </c>
      <c r="AY24" s="577">
        <v>93.9</v>
      </c>
      <c r="AZ24" s="203">
        <f t="shared" si="2"/>
        <v>97.656000000000006</v>
      </c>
    </row>
    <row r="25" spans="1:52" x14ac:dyDescent="0.2">
      <c r="A25" s="72"/>
      <c r="C25" s="363" t="s">
        <v>559</v>
      </c>
      <c r="D25" s="363"/>
      <c r="E25" s="363"/>
      <c r="F25" s="361">
        <v>5.6</v>
      </c>
      <c r="G25" s="361"/>
      <c r="H25" s="361">
        <v>0.5</v>
      </c>
      <c r="I25" s="361"/>
      <c r="J25" s="361">
        <v>0.5</v>
      </c>
      <c r="K25" s="360"/>
      <c r="L25" s="360"/>
      <c r="M25" s="360"/>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361"/>
      <c r="AP25" s="361"/>
      <c r="AQ25" s="361"/>
      <c r="AR25" s="361"/>
      <c r="AS25" s="111">
        <f t="shared" si="3"/>
        <v>1</v>
      </c>
      <c r="AT25" s="365"/>
      <c r="AU25" s="365">
        <f t="shared" si="0"/>
        <v>15.3712</v>
      </c>
      <c r="AV25" s="366">
        <f t="shared" si="4"/>
        <v>15.3712</v>
      </c>
      <c r="AW25" s="366">
        <f t="shared" si="5"/>
        <v>67.199999999999989</v>
      </c>
      <c r="AX25" s="359">
        <f t="shared" si="1"/>
        <v>5.6</v>
      </c>
      <c r="AY25" s="577">
        <v>14.78</v>
      </c>
      <c r="AZ25" s="203">
        <f t="shared" si="2"/>
        <v>15.3712</v>
      </c>
    </row>
    <row r="26" spans="1:52" x14ac:dyDescent="0.2">
      <c r="A26" s="72"/>
      <c r="C26" s="363"/>
      <c r="D26" s="363"/>
      <c r="E26" s="363"/>
      <c r="F26" s="361"/>
      <c r="G26" s="361"/>
      <c r="H26" s="361"/>
      <c r="I26" s="361"/>
      <c r="J26" s="361"/>
      <c r="K26" s="360"/>
      <c r="L26" s="360"/>
      <c r="M26" s="360"/>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61"/>
      <c r="AQ26" s="361"/>
      <c r="AR26" s="361"/>
      <c r="AS26" s="111"/>
      <c r="AT26" s="365"/>
      <c r="AU26" s="365"/>
      <c r="AV26" s="366"/>
      <c r="AW26" s="366"/>
      <c r="AX26" s="359"/>
      <c r="AY26" s="365"/>
      <c r="AZ26" s="203"/>
    </row>
    <row r="27" spans="1:52" x14ac:dyDescent="0.2">
      <c r="A27" s="72"/>
      <c r="C27" s="363" t="s">
        <v>570</v>
      </c>
      <c r="D27" s="363"/>
      <c r="E27" s="363"/>
      <c r="F27" s="361">
        <v>5.0999999999999996</v>
      </c>
      <c r="G27" s="361"/>
      <c r="H27" s="361"/>
      <c r="I27" s="361"/>
      <c r="J27" s="361"/>
      <c r="K27" s="360"/>
      <c r="L27" s="360">
        <v>2</v>
      </c>
      <c r="M27" s="360"/>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111">
        <f t="shared" si="3"/>
        <v>2</v>
      </c>
      <c r="AT27" s="365"/>
      <c r="AU27" s="365">
        <f t="shared" si="0"/>
        <v>186.3888</v>
      </c>
      <c r="AV27" s="366">
        <f t="shared" si="4"/>
        <v>372.77760000000001</v>
      </c>
      <c r="AW27" s="366">
        <f t="shared" si="5"/>
        <v>122.39999999999999</v>
      </c>
      <c r="AX27" s="359">
        <f t="shared" si="1"/>
        <v>10.199999999999999</v>
      </c>
      <c r="AY27" s="577">
        <v>179.22</v>
      </c>
      <c r="AZ27" s="203">
        <f t="shared" si="2"/>
        <v>186.3888</v>
      </c>
    </row>
    <row r="28" spans="1:52" x14ac:dyDescent="0.2">
      <c r="A28" s="72"/>
      <c r="C28" s="363" t="s">
        <v>571</v>
      </c>
      <c r="D28" s="363"/>
      <c r="E28" s="363"/>
      <c r="F28" s="361">
        <v>5.6</v>
      </c>
      <c r="G28" s="361"/>
      <c r="H28" s="361"/>
      <c r="I28" s="361"/>
      <c r="J28" s="361"/>
      <c r="K28" s="360"/>
      <c r="L28" s="360">
        <v>2</v>
      </c>
      <c r="M28" s="360"/>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361"/>
      <c r="AP28" s="361"/>
      <c r="AQ28" s="361"/>
      <c r="AR28" s="361"/>
      <c r="AS28" s="111">
        <f t="shared" si="3"/>
        <v>2</v>
      </c>
      <c r="AT28" s="365"/>
      <c r="AU28" s="365">
        <f t="shared" si="0"/>
        <v>66.892799999999994</v>
      </c>
      <c r="AV28" s="366">
        <f t="shared" si="4"/>
        <v>133.78559999999999</v>
      </c>
      <c r="AW28" s="366">
        <f t="shared" si="5"/>
        <v>134.39999999999998</v>
      </c>
      <c r="AX28" s="359">
        <f t="shared" si="1"/>
        <v>11.2</v>
      </c>
      <c r="AY28" s="577">
        <v>64.319999999999993</v>
      </c>
      <c r="AZ28" s="203">
        <f t="shared" si="2"/>
        <v>66.892799999999994</v>
      </c>
    </row>
    <row r="29" spans="1:52" x14ac:dyDescent="0.2">
      <c r="A29" s="72"/>
      <c r="C29" s="363" t="s">
        <v>572</v>
      </c>
      <c r="D29" s="363"/>
      <c r="E29" s="363"/>
      <c r="F29" s="361">
        <v>5.0999999999999996</v>
      </c>
      <c r="G29" s="361"/>
      <c r="H29" s="361"/>
      <c r="I29" s="361"/>
      <c r="J29" s="361"/>
      <c r="K29" s="360"/>
      <c r="L29" s="360">
        <v>2</v>
      </c>
      <c r="M29" s="360"/>
      <c r="N29" s="361"/>
      <c r="O29" s="361"/>
      <c r="P29" s="361"/>
      <c r="Q29" s="361"/>
      <c r="R29" s="361"/>
      <c r="S29" s="361"/>
      <c r="T29" s="361"/>
      <c r="U29" s="361"/>
      <c r="V29" s="361"/>
      <c r="W29" s="361"/>
      <c r="X29" s="361"/>
      <c r="Y29" s="361"/>
      <c r="Z29" s="361"/>
      <c r="AA29" s="361"/>
      <c r="AB29" s="361"/>
      <c r="AC29" s="361"/>
      <c r="AD29" s="361"/>
      <c r="AE29" s="361"/>
      <c r="AF29" s="361"/>
      <c r="AG29" s="361"/>
      <c r="AH29" s="361"/>
      <c r="AI29" s="361"/>
      <c r="AJ29" s="361"/>
      <c r="AK29" s="361"/>
      <c r="AL29" s="361"/>
      <c r="AM29" s="361"/>
      <c r="AN29" s="361"/>
      <c r="AO29" s="361"/>
      <c r="AP29" s="361"/>
      <c r="AQ29" s="361"/>
      <c r="AR29" s="361"/>
      <c r="AS29" s="111">
        <f t="shared" si="3"/>
        <v>2</v>
      </c>
      <c r="AT29" s="365"/>
      <c r="AU29" s="365">
        <f t="shared" si="0"/>
        <v>469.7056</v>
      </c>
      <c r="AV29" s="366">
        <f t="shared" si="4"/>
        <v>939.41120000000001</v>
      </c>
      <c r="AW29" s="366">
        <f t="shared" si="5"/>
        <v>122.39999999999999</v>
      </c>
      <c r="AX29" s="359">
        <f t="shared" si="1"/>
        <v>10.199999999999999</v>
      </c>
      <c r="AY29" s="577">
        <v>451.64</v>
      </c>
      <c r="AZ29" s="203">
        <f t="shared" si="2"/>
        <v>469.7056</v>
      </c>
    </row>
    <row r="30" spans="1:52" x14ac:dyDescent="0.2">
      <c r="A30" s="72"/>
      <c r="C30" s="363" t="s">
        <v>573</v>
      </c>
      <c r="D30" s="363"/>
      <c r="E30" s="363"/>
      <c r="F30" s="361">
        <v>5.0999999999999996</v>
      </c>
      <c r="G30" s="361"/>
      <c r="H30" s="361"/>
      <c r="I30" s="361"/>
      <c r="J30" s="361"/>
      <c r="K30" s="360"/>
      <c r="L30" s="360">
        <v>2</v>
      </c>
      <c r="M30" s="360"/>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61"/>
      <c r="AK30" s="361"/>
      <c r="AL30" s="361"/>
      <c r="AM30" s="361"/>
      <c r="AN30" s="361"/>
      <c r="AO30" s="361"/>
      <c r="AP30" s="361"/>
      <c r="AQ30" s="361"/>
      <c r="AR30" s="361"/>
      <c r="AS30" s="111">
        <f t="shared" si="3"/>
        <v>2</v>
      </c>
      <c r="AT30" s="365"/>
      <c r="AU30" s="365">
        <f t="shared" si="0"/>
        <v>122.59520000000001</v>
      </c>
      <c r="AV30" s="366">
        <f t="shared" si="4"/>
        <v>245.19040000000001</v>
      </c>
      <c r="AW30" s="366">
        <f t="shared" si="5"/>
        <v>122.39999999999999</v>
      </c>
      <c r="AX30" s="359">
        <f t="shared" si="1"/>
        <v>10.199999999999999</v>
      </c>
      <c r="AY30" s="577">
        <v>117.88</v>
      </c>
      <c r="AZ30" s="203">
        <f t="shared" si="2"/>
        <v>122.59520000000001</v>
      </c>
    </row>
    <row r="31" spans="1:52" x14ac:dyDescent="0.2">
      <c r="A31" s="72"/>
      <c r="C31" s="363"/>
      <c r="D31" s="363"/>
      <c r="E31" s="363"/>
      <c r="F31" s="361"/>
      <c r="G31" s="361"/>
      <c r="H31" s="361"/>
      <c r="I31" s="361"/>
      <c r="J31" s="361"/>
      <c r="K31" s="360"/>
      <c r="L31" s="360"/>
      <c r="M31" s="360"/>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361"/>
      <c r="AP31" s="361"/>
      <c r="AQ31" s="361"/>
      <c r="AR31" s="361"/>
      <c r="AS31" s="111"/>
      <c r="AT31" s="365"/>
      <c r="AU31" s="365"/>
      <c r="AV31" s="366"/>
      <c r="AW31" s="366"/>
      <c r="AX31" s="359"/>
      <c r="AY31" s="365"/>
      <c r="AZ31" s="203"/>
    </row>
    <row r="32" spans="1:52" x14ac:dyDescent="0.2">
      <c r="A32" s="72"/>
      <c r="C32" s="363" t="s">
        <v>575</v>
      </c>
      <c r="D32" s="363"/>
      <c r="E32" s="363"/>
      <c r="F32" s="361">
        <v>5.6</v>
      </c>
      <c r="G32" s="361"/>
      <c r="H32" s="361"/>
      <c r="I32" s="361"/>
      <c r="J32" s="361"/>
      <c r="K32" s="360"/>
      <c r="L32" s="360">
        <v>0.5</v>
      </c>
      <c r="M32" s="360"/>
      <c r="N32" s="361"/>
      <c r="O32" s="361"/>
      <c r="P32" s="361"/>
      <c r="Q32" s="361"/>
      <c r="R32" s="361"/>
      <c r="S32" s="361"/>
      <c r="T32" s="361"/>
      <c r="U32" s="361"/>
      <c r="V32" s="361"/>
      <c r="W32" s="361"/>
      <c r="X32" s="361"/>
      <c r="Y32" s="361"/>
      <c r="Z32" s="361"/>
      <c r="AA32" s="361"/>
      <c r="AB32" s="361"/>
      <c r="AC32" s="361"/>
      <c r="AD32" s="361"/>
      <c r="AE32" s="361"/>
      <c r="AF32" s="361"/>
      <c r="AG32" s="361"/>
      <c r="AH32" s="361"/>
      <c r="AI32" s="361"/>
      <c r="AJ32" s="361"/>
      <c r="AK32" s="361"/>
      <c r="AL32" s="361"/>
      <c r="AM32" s="361"/>
      <c r="AN32" s="361"/>
      <c r="AO32" s="361"/>
      <c r="AP32" s="361"/>
      <c r="AQ32" s="361"/>
      <c r="AR32" s="361"/>
      <c r="AS32" s="111">
        <f t="shared" si="3"/>
        <v>0.5</v>
      </c>
      <c r="AT32" s="365"/>
      <c r="AU32" s="365">
        <f t="shared" si="0"/>
        <v>208.72800000000001</v>
      </c>
      <c r="AV32" s="366">
        <f t="shared" si="4"/>
        <v>104.364</v>
      </c>
      <c r="AW32" s="366">
        <f t="shared" si="5"/>
        <v>33.599999999999994</v>
      </c>
      <c r="AX32" s="359">
        <f t="shared" si="1"/>
        <v>2.8</v>
      </c>
      <c r="AY32" s="577">
        <v>200.7</v>
      </c>
      <c r="AZ32" s="203">
        <f t="shared" si="2"/>
        <v>208.72800000000001</v>
      </c>
    </row>
    <row r="33" spans="1:52" x14ac:dyDescent="0.2">
      <c r="A33" s="72"/>
      <c r="C33" s="363" t="s">
        <v>559</v>
      </c>
      <c r="D33" s="363"/>
      <c r="E33" s="363"/>
      <c r="F33" s="361">
        <v>5.6</v>
      </c>
      <c r="G33" s="361"/>
      <c r="H33" s="361"/>
      <c r="I33" s="361"/>
      <c r="J33" s="361"/>
      <c r="K33" s="360"/>
      <c r="L33" s="360">
        <v>0.5</v>
      </c>
      <c r="M33" s="360"/>
      <c r="N33" s="361"/>
      <c r="O33" s="361"/>
      <c r="P33" s="361"/>
      <c r="Q33" s="361"/>
      <c r="R33" s="361"/>
      <c r="S33" s="361"/>
      <c r="T33" s="361"/>
      <c r="U33" s="361"/>
      <c r="V33" s="361"/>
      <c r="W33" s="361"/>
      <c r="X33" s="361"/>
      <c r="Y33" s="361"/>
      <c r="Z33" s="361"/>
      <c r="AA33" s="361"/>
      <c r="AB33" s="361"/>
      <c r="AC33" s="361"/>
      <c r="AD33" s="361"/>
      <c r="AE33" s="361"/>
      <c r="AF33" s="361"/>
      <c r="AG33" s="361"/>
      <c r="AH33" s="361"/>
      <c r="AI33" s="361"/>
      <c r="AJ33" s="361"/>
      <c r="AK33" s="361"/>
      <c r="AL33" s="361"/>
      <c r="AM33" s="361"/>
      <c r="AN33" s="361"/>
      <c r="AO33" s="361"/>
      <c r="AP33" s="361"/>
      <c r="AQ33" s="361"/>
      <c r="AR33" s="361"/>
      <c r="AS33" s="111">
        <f t="shared" si="3"/>
        <v>0.5</v>
      </c>
      <c r="AT33" s="365"/>
      <c r="AU33" s="365">
        <f t="shared" si="0"/>
        <v>15.3712</v>
      </c>
      <c r="AV33" s="366">
        <f t="shared" si="4"/>
        <v>7.6856</v>
      </c>
      <c r="AW33" s="366">
        <f t="shared" si="5"/>
        <v>33.599999999999994</v>
      </c>
      <c r="AX33" s="359">
        <f t="shared" si="1"/>
        <v>2.8</v>
      </c>
      <c r="AY33" s="577">
        <v>14.78</v>
      </c>
      <c r="AZ33" s="203">
        <f t="shared" si="2"/>
        <v>15.3712</v>
      </c>
    </row>
    <row r="34" spans="1:52" x14ac:dyDescent="0.2">
      <c r="A34" s="72"/>
      <c r="C34" s="363" t="s">
        <v>574</v>
      </c>
      <c r="D34" s="363"/>
      <c r="E34" s="363"/>
      <c r="F34" s="361">
        <v>5.6</v>
      </c>
      <c r="G34" s="361"/>
      <c r="H34" s="361"/>
      <c r="I34" s="361"/>
      <c r="J34" s="361"/>
      <c r="K34" s="360"/>
      <c r="L34" s="360">
        <v>4</v>
      </c>
      <c r="M34" s="360"/>
      <c r="N34" s="361"/>
      <c r="O34" s="361"/>
      <c r="P34" s="361"/>
      <c r="Q34" s="361"/>
      <c r="R34" s="361"/>
      <c r="S34" s="361"/>
      <c r="T34" s="361"/>
      <c r="U34" s="361"/>
      <c r="V34" s="361"/>
      <c r="W34" s="361"/>
      <c r="X34" s="361"/>
      <c r="Y34" s="361"/>
      <c r="Z34" s="361"/>
      <c r="AA34" s="361"/>
      <c r="AB34" s="361"/>
      <c r="AC34" s="361"/>
      <c r="AD34" s="361"/>
      <c r="AE34" s="361"/>
      <c r="AF34" s="361"/>
      <c r="AG34" s="361"/>
      <c r="AH34" s="361"/>
      <c r="AI34" s="361"/>
      <c r="AJ34" s="361"/>
      <c r="AK34" s="361"/>
      <c r="AL34" s="361"/>
      <c r="AM34" s="361"/>
      <c r="AN34" s="361"/>
      <c r="AO34" s="361"/>
      <c r="AP34" s="361"/>
      <c r="AQ34" s="361"/>
      <c r="AR34" s="361"/>
      <c r="AS34" s="111">
        <f t="shared" si="3"/>
        <v>4</v>
      </c>
      <c r="AT34" s="365"/>
      <c r="AU34" s="365">
        <f t="shared" si="0"/>
        <v>155.98960000000002</v>
      </c>
      <c r="AV34" s="366">
        <f t="shared" si="4"/>
        <v>623.9584000000001</v>
      </c>
      <c r="AW34" s="366">
        <f t="shared" si="5"/>
        <v>268.79999999999995</v>
      </c>
      <c r="AX34" s="359">
        <f t="shared" si="1"/>
        <v>22.4</v>
      </c>
      <c r="AY34" s="577">
        <v>149.99</v>
      </c>
      <c r="AZ34" s="203">
        <f t="shared" si="2"/>
        <v>155.98960000000002</v>
      </c>
    </row>
    <row r="35" spans="1:52" x14ac:dyDescent="0.2">
      <c r="A35" s="72"/>
      <c r="C35" s="363"/>
      <c r="D35" s="363"/>
      <c r="E35" s="363"/>
      <c r="F35" s="361"/>
      <c r="G35" s="361"/>
      <c r="H35" s="361"/>
      <c r="I35" s="361"/>
      <c r="J35" s="361"/>
      <c r="K35" s="360"/>
      <c r="L35" s="360"/>
      <c r="M35" s="360"/>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111"/>
      <c r="AT35" s="365"/>
      <c r="AU35" s="365"/>
      <c r="AV35" s="366"/>
      <c r="AW35" s="366"/>
      <c r="AX35" s="359"/>
      <c r="AY35" s="365"/>
      <c r="AZ35" s="203"/>
    </row>
    <row r="36" spans="1:52" x14ac:dyDescent="0.2">
      <c r="A36" s="72"/>
      <c r="C36" s="363"/>
      <c r="D36" s="363"/>
      <c r="E36" s="363"/>
      <c r="F36" s="361"/>
      <c r="G36" s="361"/>
      <c r="H36" s="361"/>
      <c r="I36" s="361"/>
      <c r="J36" s="361"/>
      <c r="K36" s="360"/>
      <c r="L36" s="360"/>
      <c r="M36" s="360"/>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1"/>
      <c r="AN36" s="361"/>
      <c r="AO36" s="361"/>
      <c r="AP36" s="361"/>
      <c r="AQ36" s="361"/>
      <c r="AR36" s="361"/>
      <c r="AS36" s="111"/>
      <c r="AT36" s="365"/>
      <c r="AU36" s="365"/>
      <c r="AV36" s="366"/>
      <c r="AW36" s="366"/>
      <c r="AX36" s="359"/>
      <c r="AY36" s="365"/>
      <c r="AZ36" s="203"/>
    </row>
    <row r="37" spans="1:52" x14ac:dyDescent="0.2">
      <c r="A37" s="72"/>
      <c r="C37" s="363" t="s">
        <v>560</v>
      </c>
      <c r="D37" s="363"/>
      <c r="E37" s="363"/>
      <c r="F37" s="361"/>
      <c r="G37" s="361"/>
      <c r="H37" s="361"/>
      <c r="I37" s="361"/>
      <c r="J37" s="361"/>
      <c r="K37" s="360"/>
      <c r="L37" s="360"/>
      <c r="M37" s="360"/>
      <c r="N37" s="361"/>
      <c r="O37" s="361"/>
      <c r="P37" s="361"/>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111"/>
      <c r="AT37" s="365"/>
      <c r="AU37" s="365"/>
      <c r="AV37" s="366"/>
      <c r="AW37" s="366"/>
      <c r="AX37" s="359"/>
      <c r="AY37" s="365"/>
      <c r="AZ37" s="203"/>
    </row>
    <row r="38" spans="1:52" x14ac:dyDescent="0.2">
      <c r="A38" s="72"/>
      <c r="C38" s="363"/>
      <c r="D38" s="363"/>
      <c r="E38" s="363"/>
      <c r="F38" s="361"/>
      <c r="G38" s="361"/>
      <c r="H38" s="361"/>
      <c r="I38" s="361"/>
      <c r="J38" s="361"/>
      <c r="K38" s="360"/>
      <c r="L38" s="360"/>
      <c r="M38" s="360"/>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111"/>
      <c r="AT38" s="365"/>
      <c r="AU38" s="365"/>
      <c r="AV38" s="366"/>
      <c r="AW38" s="366"/>
      <c r="AX38" s="359"/>
      <c r="AY38" s="365"/>
      <c r="AZ38" s="203"/>
    </row>
    <row r="39" spans="1:52" x14ac:dyDescent="0.2">
      <c r="A39" s="72"/>
      <c r="C39" s="370" t="s">
        <v>561</v>
      </c>
      <c r="D39" s="370"/>
      <c r="E39" s="370"/>
      <c r="F39" s="359">
        <v>5.6</v>
      </c>
      <c r="G39" s="359"/>
      <c r="H39" s="361"/>
      <c r="I39" s="361"/>
      <c r="J39" s="361"/>
      <c r="K39" s="360"/>
      <c r="L39" s="360">
        <v>1</v>
      </c>
      <c r="M39" s="360"/>
      <c r="N39" s="361"/>
      <c r="O39" s="361"/>
      <c r="P39" s="361"/>
      <c r="Q39" s="361"/>
      <c r="R39" s="361"/>
      <c r="S39" s="361"/>
      <c r="T39" s="361"/>
      <c r="U39" s="361"/>
      <c r="V39" s="361"/>
      <c r="W39" s="361"/>
      <c r="X39" s="361"/>
      <c r="Y39" s="361"/>
      <c r="Z39" s="361"/>
      <c r="AA39" s="361"/>
      <c r="AB39" s="361"/>
      <c r="AC39" s="361"/>
      <c r="AD39" s="361"/>
      <c r="AE39" s="361"/>
      <c r="AF39" s="361"/>
      <c r="AG39" s="361"/>
      <c r="AH39" s="361"/>
      <c r="AI39" s="361"/>
      <c r="AJ39" s="361"/>
      <c r="AK39" s="361"/>
      <c r="AL39" s="361"/>
      <c r="AM39" s="361"/>
      <c r="AN39" s="361"/>
      <c r="AO39" s="361"/>
      <c r="AP39" s="361"/>
      <c r="AQ39" s="361"/>
      <c r="AR39" s="361"/>
      <c r="AS39" s="111">
        <f t="shared" si="3"/>
        <v>1</v>
      </c>
      <c r="AT39" s="365"/>
      <c r="AU39" s="365">
        <f t="shared" si="0"/>
        <v>89.346400000000003</v>
      </c>
      <c r="AV39" s="366">
        <f t="shared" si="4"/>
        <v>89.346400000000003</v>
      </c>
      <c r="AW39" s="366">
        <f t="shared" si="5"/>
        <v>67.199999999999989</v>
      </c>
      <c r="AX39" s="359">
        <f t="shared" si="1"/>
        <v>5.6</v>
      </c>
      <c r="AY39" s="577">
        <v>85.91</v>
      </c>
      <c r="AZ39" s="203">
        <f t="shared" si="2"/>
        <v>89.346400000000003</v>
      </c>
    </row>
    <row r="40" spans="1:52" x14ac:dyDescent="0.2">
      <c r="A40" s="72"/>
      <c r="C40" s="370" t="s">
        <v>562</v>
      </c>
      <c r="D40" s="370"/>
      <c r="E40" s="370"/>
      <c r="F40" s="359">
        <v>5.6</v>
      </c>
      <c r="G40" s="359"/>
      <c r="H40" s="361"/>
      <c r="I40" s="361"/>
      <c r="J40" s="361"/>
      <c r="K40" s="360"/>
      <c r="L40" s="360">
        <v>2</v>
      </c>
      <c r="M40" s="360"/>
      <c r="N40" s="361"/>
      <c r="O40" s="361"/>
      <c r="P40" s="361"/>
      <c r="Q40" s="361"/>
      <c r="R40" s="361"/>
      <c r="S40" s="361"/>
      <c r="T40" s="361"/>
      <c r="U40" s="361"/>
      <c r="V40" s="361"/>
      <c r="W40" s="361"/>
      <c r="X40" s="361"/>
      <c r="Y40" s="361"/>
      <c r="Z40" s="361"/>
      <c r="AA40" s="361"/>
      <c r="AB40" s="361"/>
      <c r="AC40" s="361"/>
      <c r="AD40" s="361"/>
      <c r="AE40" s="361"/>
      <c r="AF40" s="361"/>
      <c r="AG40" s="361"/>
      <c r="AH40" s="361"/>
      <c r="AI40" s="361"/>
      <c r="AJ40" s="361"/>
      <c r="AK40" s="361"/>
      <c r="AL40" s="361"/>
      <c r="AM40" s="361"/>
      <c r="AN40" s="361"/>
      <c r="AO40" s="361"/>
      <c r="AP40" s="361"/>
      <c r="AQ40" s="361"/>
      <c r="AR40" s="361"/>
      <c r="AS40" s="111">
        <f t="shared" si="3"/>
        <v>2</v>
      </c>
      <c r="AT40" s="365"/>
      <c r="AU40" s="365">
        <f t="shared" si="0"/>
        <v>17.856800000000003</v>
      </c>
      <c r="AV40" s="366">
        <f t="shared" si="4"/>
        <v>35.713600000000007</v>
      </c>
      <c r="AW40" s="366">
        <f t="shared" si="5"/>
        <v>134.39999999999998</v>
      </c>
      <c r="AX40" s="359">
        <f t="shared" si="1"/>
        <v>11.2</v>
      </c>
      <c r="AY40" s="577">
        <v>17.170000000000002</v>
      </c>
      <c r="AZ40" s="203">
        <f t="shared" si="2"/>
        <v>17.856800000000003</v>
      </c>
    </row>
    <row r="41" spans="1:52" x14ac:dyDescent="0.2">
      <c r="A41" s="72"/>
      <c r="C41" s="370" t="s">
        <v>563</v>
      </c>
      <c r="D41" s="370"/>
      <c r="E41" s="370"/>
      <c r="F41" s="359">
        <v>5.6</v>
      </c>
      <c r="G41" s="359"/>
      <c r="H41" s="361"/>
      <c r="I41" s="361"/>
      <c r="J41" s="361"/>
      <c r="K41" s="360"/>
      <c r="L41" s="360">
        <v>1</v>
      </c>
      <c r="M41" s="360"/>
      <c r="N41" s="361"/>
      <c r="O41" s="361"/>
      <c r="P41" s="361"/>
      <c r="Q41" s="361"/>
      <c r="R41" s="361"/>
      <c r="S41" s="361"/>
      <c r="T41" s="361"/>
      <c r="U41" s="361"/>
      <c r="V41" s="361"/>
      <c r="W41" s="361"/>
      <c r="X41" s="361"/>
      <c r="Y41" s="361"/>
      <c r="Z41" s="361"/>
      <c r="AA41" s="361"/>
      <c r="AB41" s="361"/>
      <c r="AC41" s="361"/>
      <c r="AD41" s="361"/>
      <c r="AE41" s="361"/>
      <c r="AF41" s="361"/>
      <c r="AG41" s="361"/>
      <c r="AH41" s="361"/>
      <c r="AI41" s="361"/>
      <c r="AJ41" s="361"/>
      <c r="AK41" s="361"/>
      <c r="AL41" s="361"/>
      <c r="AM41" s="361"/>
      <c r="AN41" s="361"/>
      <c r="AO41" s="361"/>
      <c r="AP41" s="361"/>
      <c r="AQ41" s="361"/>
      <c r="AR41" s="361"/>
      <c r="AS41" s="111">
        <f t="shared" si="3"/>
        <v>1</v>
      </c>
      <c r="AT41" s="365"/>
      <c r="AU41" s="365">
        <f t="shared" si="0"/>
        <v>153.99279999999999</v>
      </c>
      <c r="AV41" s="366">
        <f t="shared" si="4"/>
        <v>153.99279999999999</v>
      </c>
      <c r="AW41" s="366">
        <f t="shared" si="5"/>
        <v>67.199999999999989</v>
      </c>
      <c r="AX41" s="359">
        <f t="shared" si="1"/>
        <v>5.6</v>
      </c>
      <c r="AY41" s="577">
        <v>148.07</v>
      </c>
      <c r="AZ41" s="203">
        <f t="shared" si="2"/>
        <v>153.99279999999999</v>
      </c>
    </row>
    <row r="42" spans="1:52" x14ac:dyDescent="0.2">
      <c r="A42" s="72"/>
      <c r="C42" s="370" t="s">
        <v>564</v>
      </c>
      <c r="D42" s="370"/>
      <c r="E42" s="370"/>
      <c r="F42" s="359">
        <v>5.6</v>
      </c>
      <c r="G42" s="359"/>
      <c r="H42" s="361"/>
      <c r="I42" s="361"/>
      <c r="J42" s="361"/>
      <c r="K42" s="360"/>
      <c r="L42" s="360">
        <v>8</v>
      </c>
      <c r="M42" s="360"/>
      <c r="N42" s="361"/>
      <c r="O42" s="361"/>
      <c r="P42" s="361"/>
      <c r="Q42" s="361"/>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111">
        <f t="shared" si="3"/>
        <v>8</v>
      </c>
      <c r="AT42" s="365"/>
      <c r="AU42" s="365">
        <f t="shared" si="0"/>
        <v>165.1104</v>
      </c>
      <c r="AV42" s="366">
        <f t="shared" si="4"/>
        <v>1320.8832</v>
      </c>
      <c r="AW42" s="366">
        <f t="shared" si="5"/>
        <v>537.59999999999991</v>
      </c>
      <c r="AX42" s="359">
        <f t="shared" si="1"/>
        <v>44.8</v>
      </c>
      <c r="AY42" s="577">
        <v>158.76</v>
      </c>
      <c r="AZ42" s="203">
        <f t="shared" si="2"/>
        <v>165.1104</v>
      </c>
    </row>
    <row r="43" spans="1:52" x14ac:dyDescent="0.2">
      <c r="A43" s="72"/>
      <c r="C43" s="370" t="s">
        <v>565</v>
      </c>
      <c r="D43" s="370"/>
      <c r="E43" s="370"/>
      <c r="F43" s="359">
        <v>5.6</v>
      </c>
      <c r="G43" s="359"/>
      <c r="H43" s="361"/>
      <c r="I43" s="361"/>
      <c r="J43" s="361"/>
      <c r="K43" s="360"/>
      <c r="L43" s="360">
        <v>2</v>
      </c>
      <c r="M43" s="360"/>
      <c r="N43" s="361"/>
      <c r="O43" s="361"/>
      <c r="P43" s="361"/>
      <c r="Q43" s="361"/>
      <c r="R43" s="361"/>
      <c r="S43" s="361"/>
      <c r="T43" s="361"/>
      <c r="U43" s="361"/>
      <c r="V43" s="361"/>
      <c r="W43" s="361"/>
      <c r="X43" s="361"/>
      <c r="Y43" s="361"/>
      <c r="Z43" s="361"/>
      <c r="AA43" s="361"/>
      <c r="AB43" s="361"/>
      <c r="AC43" s="361"/>
      <c r="AD43" s="361"/>
      <c r="AE43" s="361"/>
      <c r="AF43" s="361"/>
      <c r="AG43" s="361"/>
      <c r="AH43" s="361"/>
      <c r="AI43" s="361"/>
      <c r="AJ43" s="361"/>
      <c r="AK43" s="361"/>
      <c r="AL43" s="361"/>
      <c r="AM43" s="361"/>
      <c r="AN43" s="361"/>
      <c r="AO43" s="361"/>
      <c r="AP43" s="361"/>
      <c r="AQ43" s="361"/>
      <c r="AR43" s="361"/>
      <c r="AS43" s="111">
        <f t="shared" si="3"/>
        <v>2</v>
      </c>
      <c r="AT43" s="365"/>
      <c r="AU43" s="365">
        <f t="shared" si="0"/>
        <v>29.660800000000002</v>
      </c>
      <c r="AV43" s="366">
        <f t="shared" si="4"/>
        <v>59.321600000000004</v>
      </c>
      <c r="AW43" s="366">
        <f t="shared" si="5"/>
        <v>134.39999999999998</v>
      </c>
      <c r="AX43" s="359">
        <f t="shared" si="1"/>
        <v>11.2</v>
      </c>
      <c r="AY43" s="577">
        <v>28.52</v>
      </c>
      <c r="AZ43" s="203">
        <f t="shared" si="2"/>
        <v>29.660800000000002</v>
      </c>
    </row>
    <row r="44" spans="1:52" x14ac:dyDescent="0.2">
      <c r="A44" s="72"/>
      <c r="C44" s="370" t="s">
        <v>566</v>
      </c>
      <c r="D44" s="370"/>
      <c r="E44" s="370"/>
      <c r="F44" s="359">
        <v>5.6</v>
      </c>
      <c r="G44" s="359"/>
      <c r="H44" s="361"/>
      <c r="I44" s="361"/>
      <c r="J44" s="361"/>
      <c r="K44" s="360"/>
      <c r="L44" s="360">
        <v>3</v>
      </c>
      <c r="M44" s="360"/>
      <c r="N44" s="361"/>
      <c r="O44" s="361"/>
      <c r="P44" s="361"/>
      <c r="Q44" s="361"/>
      <c r="R44" s="361"/>
      <c r="S44" s="361"/>
      <c r="T44" s="361"/>
      <c r="U44" s="361"/>
      <c r="V44" s="361"/>
      <c r="W44" s="361"/>
      <c r="X44" s="361"/>
      <c r="Y44" s="361"/>
      <c r="Z44" s="361"/>
      <c r="AA44" s="361"/>
      <c r="AB44" s="361"/>
      <c r="AC44" s="361"/>
      <c r="AD44" s="361"/>
      <c r="AE44" s="361"/>
      <c r="AF44" s="361"/>
      <c r="AG44" s="361"/>
      <c r="AH44" s="361"/>
      <c r="AI44" s="361"/>
      <c r="AJ44" s="361"/>
      <c r="AK44" s="361"/>
      <c r="AL44" s="361"/>
      <c r="AM44" s="361"/>
      <c r="AN44" s="361"/>
      <c r="AO44" s="361"/>
      <c r="AP44" s="361"/>
      <c r="AQ44" s="361"/>
      <c r="AR44" s="361"/>
      <c r="AS44" s="111">
        <f t="shared" si="3"/>
        <v>3</v>
      </c>
      <c r="AT44" s="365"/>
      <c r="AU44" s="365">
        <f t="shared" si="0"/>
        <v>16.588000000000001</v>
      </c>
      <c r="AV44" s="366">
        <f t="shared" si="4"/>
        <v>49.764000000000003</v>
      </c>
      <c r="AW44" s="366">
        <f t="shared" si="5"/>
        <v>201.59999999999997</v>
      </c>
      <c r="AX44" s="359">
        <f t="shared" si="1"/>
        <v>16.799999999999997</v>
      </c>
      <c r="AY44" s="577">
        <v>15.95</v>
      </c>
      <c r="AZ44" s="203">
        <f t="shared" si="2"/>
        <v>16.588000000000001</v>
      </c>
    </row>
    <row r="45" spans="1:52" x14ac:dyDescent="0.2">
      <c r="A45" s="72"/>
      <c r="C45" s="370" t="s">
        <v>567</v>
      </c>
      <c r="D45" s="370"/>
      <c r="E45" s="370"/>
      <c r="F45" s="394">
        <v>3</v>
      </c>
      <c r="G45" s="359"/>
      <c r="H45" s="361"/>
      <c r="I45" s="361"/>
      <c r="J45" s="361"/>
      <c r="K45" s="360"/>
      <c r="L45" s="360">
        <v>4</v>
      </c>
      <c r="M45" s="360"/>
      <c r="N45" s="361"/>
      <c r="O45" s="361"/>
      <c r="P45" s="361"/>
      <c r="Q45" s="361"/>
      <c r="R45" s="361"/>
      <c r="S45" s="361"/>
      <c r="T45" s="361"/>
      <c r="U45" s="361"/>
      <c r="V45" s="361"/>
      <c r="W45" s="361"/>
      <c r="X45" s="361"/>
      <c r="Y45" s="361"/>
      <c r="Z45" s="361"/>
      <c r="AA45" s="361"/>
      <c r="AB45" s="361"/>
      <c r="AC45" s="361"/>
      <c r="AD45" s="361"/>
      <c r="AE45" s="361"/>
      <c r="AF45" s="361"/>
      <c r="AG45" s="361"/>
      <c r="AH45" s="361"/>
      <c r="AI45" s="361"/>
      <c r="AJ45" s="361"/>
      <c r="AK45" s="361"/>
      <c r="AL45" s="361"/>
      <c r="AM45" s="361"/>
      <c r="AN45" s="361"/>
      <c r="AO45" s="361"/>
      <c r="AP45" s="361"/>
      <c r="AQ45" s="361"/>
      <c r="AR45" s="361"/>
      <c r="AS45" s="111">
        <f t="shared" si="3"/>
        <v>4</v>
      </c>
      <c r="AT45" s="365"/>
      <c r="AU45" s="365">
        <f t="shared" si="0"/>
        <v>17.856800000000003</v>
      </c>
      <c r="AV45" s="366">
        <f t="shared" si="4"/>
        <v>71.427200000000013</v>
      </c>
      <c r="AW45" s="366">
        <f t="shared" si="5"/>
        <v>144</v>
      </c>
      <c r="AX45" s="359">
        <f t="shared" si="1"/>
        <v>12</v>
      </c>
      <c r="AY45" s="577">
        <v>17.170000000000002</v>
      </c>
      <c r="AZ45" s="203">
        <f t="shared" si="2"/>
        <v>17.856800000000003</v>
      </c>
    </row>
    <row r="46" spans="1:52" x14ac:dyDescent="0.2">
      <c r="A46" s="72"/>
      <c r="C46" s="370" t="s">
        <v>568</v>
      </c>
      <c r="D46" s="370"/>
      <c r="E46" s="370"/>
      <c r="F46" s="359">
        <v>5.6</v>
      </c>
      <c r="G46" s="359"/>
      <c r="H46" s="361"/>
      <c r="I46" s="361"/>
      <c r="J46" s="361"/>
      <c r="K46" s="360"/>
      <c r="L46" s="360">
        <v>1</v>
      </c>
      <c r="M46" s="360"/>
      <c r="N46" s="361"/>
      <c r="O46" s="361"/>
      <c r="P46" s="361"/>
      <c r="Q46" s="361"/>
      <c r="R46" s="361"/>
      <c r="S46" s="361"/>
      <c r="T46" s="361"/>
      <c r="U46" s="361"/>
      <c r="V46" s="361"/>
      <c r="W46" s="361"/>
      <c r="X46" s="361"/>
      <c r="Y46" s="361"/>
      <c r="Z46" s="361"/>
      <c r="AA46" s="361"/>
      <c r="AB46" s="361"/>
      <c r="AC46" s="361"/>
      <c r="AD46" s="361"/>
      <c r="AE46" s="361"/>
      <c r="AF46" s="361"/>
      <c r="AG46" s="361"/>
      <c r="AH46" s="361"/>
      <c r="AI46" s="361"/>
      <c r="AJ46" s="361"/>
      <c r="AK46" s="361"/>
      <c r="AL46" s="361"/>
      <c r="AM46" s="361"/>
      <c r="AN46" s="361"/>
      <c r="AO46" s="361"/>
      <c r="AP46" s="361"/>
      <c r="AQ46" s="361"/>
      <c r="AR46" s="361"/>
      <c r="AS46" s="111">
        <f t="shared" si="3"/>
        <v>1</v>
      </c>
      <c r="AT46" s="365"/>
      <c r="AU46" s="365">
        <f t="shared" si="0"/>
        <v>19.770400000000002</v>
      </c>
      <c r="AV46" s="366">
        <f t="shared" si="4"/>
        <v>19.770400000000002</v>
      </c>
      <c r="AW46" s="366">
        <f t="shared" si="5"/>
        <v>67.199999999999989</v>
      </c>
      <c r="AX46" s="359">
        <f t="shared" si="1"/>
        <v>5.6</v>
      </c>
      <c r="AY46" s="577">
        <v>19.010000000000002</v>
      </c>
      <c r="AZ46" s="203">
        <f t="shared" si="2"/>
        <v>19.770400000000002</v>
      </c>
    </row>
    <row r="47" spans="1:52" x14ac:dyDescent="0.2">
      <c r="A47" s="72"/>
      <c r="C47" s="370" t="s">
        <v>577</v>
      </c>
      <c r="D47" s="370"/>
      <c r="E47" s="370"/>
      <c r="F47" s="395">
        <v>3</v>
      </c>
      <c r="G47" s="359"/>
      <c r="H47" s="361"/>
      <c r="I47" s="361"/>
      <c r="J47" s="361"/>
      <c r="K47" s="360"/>
      <c r="L47" s="360">
        <v>2</v>
      </c>
      <c r="M47" s="360"/>
      <c r="N47" s="361"/>
      <c r="O47" s="361"/>
      <c r="P47" s="361"/>
      <c r="Q47" s="361"/>
      <c r="R47" s="361"/>
      <c r="S47" s="361"/>
      <c r="T47" s="361"/>
      <c r="U47" s="361"/>
      <c r="V47" s="361"/>
      <c r="W47" s="361"/>
      <c r="X47" s="361"/>
      <c r="Y47" s="361"/>
      <c r="Z47" s="361"/>
      <c r="AA47" s="361"/>
      <c r="AB47" s="361"/>
      <c r="AC47" s="361"/>
      <c r="AD47" s="361"/>
      <c r="AE47" s="361"/>
      <c r="AF47" s="361"/>
      <c r="AG47" s="361"/>
      <c r="AH47" s="361"/>
      <c r="AI47" s="361"/>
      <c r="AJ47" s="361"/>
      <c r="AK47" s="361"/>
      <c r="AL47" s="361"/>
      <c r="AM47" s="361"/>
      <c r="AN47" s="361"/>
      <c r="AO47" s="361"/>
      <c r="AP47" s="361"/>
      <c r="AQ47" s="361"/>
      <c r="AR47" s="361"/>
      <c r="AS47" s="111">
        <f t="shared" si="3"/>
        <v>2</v>
      </c>
      <c r="AT47" s="365"/>
      <c r="AU47" s="365">
        <f t="shared" si="0"/>
        <v>25.563199999999998</v>
      </c>
      <c r="AV47" s="366">
        <f t="shared" si="4"/>
        <v>51.126399999999997</v>
      </c>
      <c r="AW47" s="366">
        <f t="shared" si="5"/>
        <v>72</v>
      </c>
      <c r="AX47" s="359">
        <f t="shared" si="1"/>
        <v>6</v>
      </c>
      <c r="AY47" s="577">
        <v>24.58</v>
      </c>
      <c r="AZ47" s="203">
        <f t="shared" si="2"/>
        <v>25.563199999999998</v>
      </c>
    </row>
    <row r="48" spans="1:52" x14ac:dyDescent="0.2">
      <c r="A48" s="72"/>
      <c r="C48" s="370"/>
      <c r="D48" s="370"/>
      <c r="E48" s="370"/>
      <c r="F48" s="359"/>
      <c r="G48" s="359"/>
      <c r="H48" s="361"/>
      <c r="I48" s="361"/>
      <c r="J48" s="361"/>
      <c r="K48" s="360"/>
      <c r="L48" s="360"/>
      <c r="M48" s="360"/>
      <c r="N48" s="361"/>
      <c r="O48" s="361"/>
      <c r="P48" s="361"/>
      <c r="Q48" s="361"/>
      <c r="R48" s="361"/>
      <c r="S48" s="361"/>
      <c r="T48" s="361"/>
      <c r="U48" s="361"/>
      <c r="V48" s="361"/>
      <c r="W48" s="361"/>
      <c r="X48" s="361"/>
      <c r="Y48" s="361"/>
      <c r="Z48" s="361"/>
      <c r="AA48" s="361"/>
      <c r="AB48" s="361"/>
      <c r="AC48" s="361"/>
      <c r="AD48" s="361"/>
      <c r="AE48" s="361"/>
      <c r="AF48" s="361"/>
      <c r="AG48" s="361"/>
      <c r="AH48" s="361"/>
      <c r="AI48" s="361"/>
      <c r="AJ48" s="361"/>
      <c r="AK48" s="361"/>
      <c r="AL48" s="361"/>
      <c r="AM48" s="361"/>
      <c r="AN48" s="361"/>
      <c r="AO48" s="361"/>
      <c r="AP48" s="361"/>
      <c r="AQ48" s="361"/>
      <c r="AR48" s="361"/>
      <c r="AS48" s="111"/>
      <c r="AT48" s="111"/>
      <c r="AU48" s="365"/>
      <c r="AV48" s="366"/>
      <c r="AW48" s="366"/>
      <c r="AX48" s="366"/>
    </row>
    <row r="49" spans="1:50" x14ac:dyDescent="0.2">
      <c r="A49" s="72"/>
      <c r="C49" s="574" t="s">
        <v>843</v>
      </c>
      <c r="D49" s="370"/>
      <c r="E49" s="370"/>
      <c r="F49" s="359"/>
      <c r="G49" s="359"/>
      <c r="H49" s="361"/>
      <c r="I49" s="361"/>
      <c r="J49" s="361"/>
      <c r="K49" s="360"/>
      <c r="L49" s="360"/>
      <c r="M49" s="360"/>
      <c r="N49" s="361"/>
      <c r="O49" s="361"/>
      <c r="P49" s="361"/>
      <c r="Q49" s="361"/>
      <c r="R49" s="361"/>
      <c r="S49" s="361"/>
      <c r="T49" s="361"/>
      <c r="U49" s="361"/>
      <c r="V49" s="361"/>
      <c r="W49" s="361"/>
      <c r="X49" s="361"/>
      <c r="Y49" s="361"/>
      <c r="Z49" s="361"/>
      <c r="AA49" s="361"/>
      <c r="AB49" s="361"/>
      <c r="AC49" s="361"/>
      <c r="AD49" s="361"/>
      <c r="AE49" s="361"/>
      <c r="AF49" s="361"/>
      <c r="AG49" s="361"/>
      <c r="AH49" s="361"/>
      <c r="AI49" s="361"/>
      <c r="AJ49" s="361"/>
      <c r="AK49" s="361"/>
      <c r="AL49" s="361"/>
      <c r="AM49" s="361"/>
      <c r="AN49" s="361"/>
      <c r="AO49" s="361"/>
      <c r="AP49" s="361"/>
      <c r="AQ49" s="361"/>
      <c r="AR49" s="361"/>
      <c r="AS49" s="111">
        <f>SUM(AX7:AX47)</f>
        <v>1190.9999999999998</v>
      </c>
      <c r="AT49" s="111"/>
      <c r="AU49" s="365">
        <v>4.8</v>
      </c>
      <c r="AV49" s="366">
        <f>AS49*AU49</f>
        <v>5716.7999999999984</v>
      </c>
      <c r="AW49" s="366"/>
      <c r="AX49" s="366"/>
    </row>
    <row r="50" spans="1:50" x14ac:dyDescent="0.2">
      <c r="C50" s="370"/>
      <c r="D50" s="370"/>
      <c r="E50" s="370"/>
      <c r="F50" s="359"/>
      <c r="G50" s="359"/>
      <c r="H50" s="361"/>
      <c r="I50" s="361"/>
      <c r="J50" s="361"/>
      <c r="K50" s="360"/>
      <c r="L50" s="360"/>
      <c r="M50" s="360"/>
      <c r="N50" s="361"/>
      <c r="O50" s="361"/>
      <c r="P50" s="361"/>
      <c r="Q50" s="361"/>
      <c r="R50" s="361"/>
      <c r="S50" s="361"/>
      <c r="T50" s="361"/>
      <c r="U50" s="361"/>
      <c r="V50" s="361"/>
      <c r="W50" s="361"/>
      <c r="X50" s="361"/>
      <c r="Y50" s="361"/>
      <c r="Z50" s="361"/>
      <c r="AA50" s="361"/>
      <c r="AB50" s="361"/>
      <c r="AC50" s="361"/>
      <c r="AD50" s="361"/>
      <c r="AE50" s="361"/>
      <c r="AF50" s="361"/>
      <c r="AG50" s="361"/>
      <c r="AH50" s="361"/>
      <c r="AI50" s="361"/>
      <c r="AJ50" s="361"/>
      <c r="AK50" s="361"/>
      <c r="AL50" s="361"/>
      <c r="AM50" s="361"/>
      <c r="AN50" s="361"/>
      <c r="AO50" s="361"/>
      <c r="AP50" s="361"/>
      <c r="AQ50" s="361"/>
      <c r="AR50" s="361"/>
      <c r="AS50" s="111"/>
      <c r="AT50" s="111"/>
      <c r="AU50" s="365"/>
      <c r="AV50" s="366"/>
      <c r="AW50" s="366"/>
      <c r="AX50" s="359"/>
    </row>
    <row r="51" spans="1:50" x14ac:dyDescent="0.2">
      <c r="C51" s="363" t="s">
        <v>503</v>
      </c>
      <c r="D51" s="363"/>
      <c r="E51" s="363"/>
      <c r="F51" s="363"/>
      <c r="G51" s="363"/>
      <c r="H51" s="361"/>
      <c r="I51" s="361"/>
      <c r="J51" s="361"/>
      <c r="K51" s="360"/>
      <c r="L51" s="360"/>
      <c r="M51" s="360"/>
      <c r="N51" s="361"/>
      <c r="O51" s="361"/>
      <c r="P51" s="361"/>
      <c r="Q51" s="361"/>
      <c r="R51" s="361"/>
      <c r="S51" s="361"/>
      <c r="T51" s="361"/>
      <c r="U51" s="361"/>
      <c r="V51" s="361"/>
      <c r="W51" s="361"/>
      <c r="X51" s="361"/>
      <c r="Y51" s="361"/>
      <c r="Z51" s="361"/>
      <c r="AA51" s="361"/>
      <c r="AB51" s="361"/>
      <c r="AC51" s="361"/>
      <c r="AD51" s="361"/>
      <c r="AE51" s="361"/>
      <c r="AF51" s="361"/>
      <c r="AG51" s="361"/>
      <c r="AH51" s="361"/>
      <c r="AI51" s="361"/>
      <c r="AJ51" s="361"/>
      <c r="AK51" s="361"/>
      <c r="AL51" s="361"/>
      <c r="AM51" s="361"/>
      <c r="AN51" s="361"/>
      <c r="AO51" s="361"/>
      <c r="AP51" s="361"/>
      <c r="AQ51" s="361"/>
      <c r="AR51" s="361"/>
      <c r="AS51" s="111"/>
      <c r="AT51" s="369"/>
      <c r="AU51" s="372"/>
      <c r="AV51" s="373"/>
      <c r="AW51" s="373"/>
      <c r="AX51" s="359"/>
    </row>
    <row r="52" spans="1:50" x14ac:dyDescent="0.2">
      <c r="C52" s="363"/>
      <c r="D52" s="363"/>
      <c r="E52" s="363"/>
      <c r="F52" s="363"/>
      <c r="G52" s="363"/>
      <c r="H52" s="361"/>
      <c r="I52" s="361"/>
      <c r="J52" s="361"/>
      <c r="K52" s="360"/>
      <c r="L52" s="360"/>
      <c r="M52" s="360"/>
      <c r="N52" s="361"/>
      <c r="O52" s="361"/>
      <c r="P52" s="361"/>
      <c r="Q52" s="361"/>
      <c r="R52" s="361"/>
      <c r="S52" s="361"/>
      <c r="T52" s="361"/>
      <c r="U52" s="361"/>
      <c r="V52" s="361"/>
      <c r="W52" s="361"/>
      <c r="X52" s="361"/>
      <c r="Y52" s="361"/>
      <c r="Z52" s="361"/>
      <c r="AA52" s="361"/>
      <c r="AB52" s="361"/>
      <c r="AC52" s="361"/>
      <c r="AD52" s="361"/>
      <c r="AE52" s="361"/>
      <c r="AF52" s="361"/>
      <c r="AG52" s="361"/>
      <c r="AH52" s="361"/>
      <c r="AI52" s="361"/>
      <c r="AJ52" s="361"/>
      <c r="AK52" s="361"/>
      <c r="AL52" s="361"/>
      <c r="AM52" s="361"/>
      <c r="AN52" s="361"/>
      <c r="AO52" s="361"/>
      <c r="AP52" s="361"/>
      <c r="AQ52" s="361"/>
      <c r="AR52" s="361"/>
      <c r="AS52" s="369"/>
      <c r="AT52" s="369"/>
      <c r="AU52" s="372"/>
      <c r="AV52" s="373"/>
      <c r="AW52" s="373"/>
      <c r="AX52" s="359"/>
    </row>
    <row r="53" spans="1:50" x14ac:dyDescent="0.2">
      <c r="C53" s="80" t="s">
        <v>504</v>
      </c>
      <c r="D53" s="363"/>
      <c r="E53" s="363"/>
      <c r="F53" s="363"/>
      <c r="G53" s="363"/>
      <c r="H53" s="361"/>
      <c r="I53" s="361"/>
      <c r="J53" s="361"/>
      <c r="K53" s="360"/>
      <c r="L53" s="360"/>
      <c r="M53" s="360"/>
      <c r="N53" s="360">
        <v>4</v>
      </c>
      <c r="O53" s="361"/>
      <c r="P53" s="360">
        <v>4</v>
      </c>
      <c r="Q53" s="361"/>
      <c r="R53" s="360">
        <v>4</v>
      </c>
      <c r="S53" s="361"/>
      <c r="T53" s="360">
        <v>4</v>
      </c>
      <c r="U53" s="361"/>
      <c r="V53" s="360">
        <v>4</v>
      </c>
      <c r="W53" s="361"/>
      <c r="X53" s="360">
        <v>4</v>
      </c>
      <c r="Y53" s="361"/>
      <c r="Z53" s="360">
        <v>4</v>
      </c>
      <c r="AA53" s="361"/>
      <c r="AB53" s="360">
        <v>4</v>
      </c>
      <c r="AC53" s="361"/>
      <c r="AD53" s="360">
        <v>4</v>
      </c>
      <c r="AE53" s="361"/>
      <c r="AF53" s="360">
        <v>4</v>
      </c>
      <c r="AG53" s="361"/>
      <c r="AH53" s="360">
        <v>4</v>
      </c>
      <c r="AI53" s="361"/>
      <c r="AJ53" s="360">
        <v>4</v>
      </c>
      <c r="AK53" s="361"/>
      <c r="AL53" s="360">
        <v>4</v>
      </c>
      <c r="AM53" s="361"/>
      <c r="AN53" s="360">
        <v>4</v>
      </c>
      <c r="AO53" s="361"/>
      <c r="AP53" s="360">
        <v>4</v>
      </c>
      <c r="AQ53" s="361"/>
      <c r="AR53" s="361"/>
      <c r="AS53" s="374">
        <f>SUM(G53:AR53)</f>
        <v>60</v>
      </c>
      <c r="AT53" s="374"/>
      <c r="AU53" s="372">
        <v>20</v>
      </c>
      <c r="AV53" s="373">
        <f>AS53*AU53</f>
        <v>1200</v>
      </c>
      <c r="AW53" s="373">
        <f>F53*AS53*$AX$2</f>
        <v>0</v>
      </c>
      <c r="AX53" s="359"/>
    </row>
    <row r="54" spans="1:50" x14ac:dyDescent="0.2">
      <c r="C54" s="80"/>
      <c r="D54" s="363"/>
      <c r="E54" s="363"/>
      <c r="F54" s="363"/>
      <c r="G54" s="363"/>
      <c r="H54" s="361"/>
      <c r="I54" s="361"/>
      <c r="J54" s="361"/>
      <c r="K54" s="360"/>
      <c r="L54" s="360"/>
      <c r="M54" s="360"/>
      <c r="N54" s="361"/>
      <c r="O54" s="361"/>
      <c r="P54" s="361"/>
      <c r="Q54" s="361"/>
      <c r="R54" s="361"/>
      <c r="S54" s="361"/>
      <c r="T54" s="361"/>
      <c r="U54" s="361"/>
      <c r="V54" s="361"/>
      <c r="W54" s="361"/>
      <c r="X54" s="361"/>
      <c r="Y54" s="361"/>
      <c r="Z54" s="361"/>
      <c r="AA54" s="361"/>
      <c r="AB54" s="361"/>
      <c r="AC54" s="361"/>
      <c r="AD54" s="361"/>
      <c r="AE54" s="361"/>
      <c r="AF54" s="361"/>
      <c r="AG54" s="361"/>
      <c r="AH54" s="361"/>
      <c r="AI54" s="361"/>
      <c r="AJ54" s="361"/>
      <c r="AK54" s="361"/>
      <c r="AL54" s="361"/>
      <c r="AM54" s="361"/>
      <c r="AN54" s="361"/>
      <c r="AO54" s="361"/>
      <c r="AP54" s="361"/>
      <c r="AQ54" s="361"/>
      <c r="AR54" s="361"/>
      <c r="AS54" s="374"/>
      <c r="AT54" s="374"/>
      <c r="AU54" s="372"/>
      <c r="AV54" s="373"/>
      <c r="AW54" s="373"/>
      <c r="AX54" s="359"/>
    </row>
    <row r="55" spans="1:50" x14ac:dyDescent="0.2">
      <c r="C55" s="80" t="s">
        <v>569</v>
      </c>
      <c r="D55" s="363"/>
      <c r="E55" s="363"/>
      <c r="F55" s="363"/>
      <c r="G55" s="363"/>
      <c r="H55" s="361"/>
      <c r="I55" s="361"/>
      <c r="J55" s="361"/>
      <c r="K55" s="360"/>
      <c r="L55" s="360">
        <v>8</v>
      </c>
      <c r="M55" s="360"/>
      <c r="N55" s="361"/>
      <c r="O55" s="361"/>
      <c r="P55" s="361"/>
      <c r="Q55" s="361"/>
      <c r="R55" s="361"/>
      <c r="S55" s="361"/>
      <c r="T55" s="361"/>
      <c r="U55" s="361"/>
      <c r="V55" s="361"/>
      <c r="W55" s="361"/>
      <c r="X55" s="361"/>
      <c r="Y55" s="361"/>
      <c r="Z55" s="361"/>
      <c r="AA55" s="361"/>
      <c r="AB55" s="361"/>
      <c r="AC55" s="361"/>
      <c r="AD55" s="361"/>
      <c r="AE55" s="361"/>
      <c r="AF55" s="361"/>
      <c r="AG55" s="361"/>
      <c r="AH55" s="361"/>
      <c r="AI55" s="361"/>
      <c r="AJ55" s="361"/>
      <c r="AK55" s="361"/>
      <c r="AL55" s="361"/>
      <c r="AM55" s="361"/>
      <c r="AN55" s="361"/>
      <c r="AO55" s="361"/>
      <c r="AP55" s="361"/>
      <c r="AQ55" s="361"/>
      <c r="AR55" s="361"/>
      <c r="AS55" s="374">
        <f>SUM(G55:AR55)</f>
        <v>8</v>
      </c>
      <c r="AT55" s="374"/>
      <c r="AU55" s="372">
        <v>460.45</v>
      </c>
      <c r="AV55" s="373">
        <f>AS55*AU55</f>
        <v>3683.6</v>
      </c>
      <c r="AW55" s="373">
        <f>F55*AS55*$AX$2</f>
        <v>0</v>
      </c>
      <c r="AX55" s="359"/>
    </row>
    <row r="56" spans="1:50" x14ac:dyDescent="0.2">
      <c r="C56" s="80"/>
      <c r="D56" s="363"/>
      <c r="E56" s="363"/>
      <c r="F56" s="363"/>
      <c r="G56" s="363"/>
      <c r="H56" s="361"/>
      <c r="I56" s="361"/>
      <c r="J56" s="361"/>
      <c r="K56" s="360"/>
      <c r="L56" s="360"/>
      <c r="M56" s="360"/>
      <c r="N56" s="361"/>
      <c r="O56" s="361"/>
      <c r="P56" s="361"/>
      <c r="Q56" s="361"/>
      <c r="R56" s="361"/>
      <c r="S56" s="361"/>
      <c r="T56" s="361"/>
      <c r="U56" s="361"/>
      <c r="V56" s="361"/>
      <c r="W56" s="361"/>
      <c r="X56" s="361"/>
      <c r="Y56" s="361"/>
      <c r="Z56" s="361"/>
      <c r="AA56" s="361"/>
      <c r="AB56" s="361"/>
      <c r="AC56" s="361"/>
      <c r="AD56" s="361"/>
      <c r="AE56" s="361"/>
      <c r="AF56" s="361"/>
      <c r="AG56" s="361"/>
      <c r="AH56" s="361"/>
      <c r="AI56" s="361"/>
      <c r="AJ56" s="361"/>
      <c r="AK56" s="361"/>
      <c r="AL56" s="361"/>
      <c r="AM56" s="361"/>
      <c r="AN56" s="361"/>
      <c r="AO56" s="361"/>
      <c r="AP56" s="361"/>
      <c r="AQ56" s="361"/>
      <c r="AR56" s="361"/>
      <c r="AS56" s="374"/>
      <c r="AT56" s="374"/>
      <c r="AU56" s="372"/>
      <c r="AV56" s="373"/>
      <c r="AW56" s="373"/>
      <c r="AX56" s="359"/>
    </row>
    <row r="57" spans="1:50" x14ac:dyDescent="0.2">
      <c r="C57" s="80" t="s">
        <v>847</v>
      </c>
      <c r="D57" s="363"/>
      <c r="E57" s="363"/>
      <c r="F57" s="362"/>
      <c r="G57" s="362"/>
      <c r="H57" s="361"/>
      <c r="I57" s="361"/>
      <c r="J57" s="361"/>
      <c r="K57" s="360"/>
      <c r="L57" s="360"/>
      <c r="M57" s="360"/>
      <c r="N57" s="360">
        <v>6</v>
      </c>
      <c r="O57" s="361"/>
      <c r="P57" s="360">
        <v>6</v>
      </c>
      <c r="Q57" s="361"/>
      <c r="R57" s="360">
        <v>6</v>
      </c>
      <c r="S57" s="361"/>
      <c r="T57" s="360">
        <v>6</v>
      </c>
      <c r="U57" s="361"/>
      <c r="V57" s="360">
        <v>6</v>
      </c>
      <c r="W57" s="361"/>
      <c r="X57" s="360">
        <v>6</v>
      </c>
      <c r="Y57" s="361"/>
      <c r="Z57" s="360">
        <v>6</v>
      </c>
      <c r="AA57" s="361"/>
      <c r="AB57" s="360">
        <v>6</v>
      </c>
      <c r="AC57" s="361"/>
      <c r="AD57" s="360">
        <v>6</v>
      </c>
      <c r="AE57" s="361"/>
      <c r="AF57" s="360">
        <v>6</v>
      </c>
      <c r="AG57" s="361"/>
      <c r="AH57" s="360">
        <v>6</v>
      </c>
      <c r="AI57" s="361"/>
      <c r="AJ57" s="360">
        <v>6</v>
      </c>
      <c r="AK57" s="361"/>
      <c r="AL57" s="360">
        <v>6</v>
      </c>
      <c r="AM57" s="361"/>
      <c r="AN57" s="360">
        <v>6</v>
      </c>
      <c r="AO57" s="361"/>
      <c r="AP57" s="360">
        <v>6</v>
      </c>
      <c r="AQ57" s="361"/>
      <c r="AR57" s="361"/>
      <c r="AS57" s="374">
        <f>SUM(G57:AR57)</f>
        <v>90</v>
      </c>
      <c r="AT57" s="374" t="s">
        <v>507</v>
      </c>
      <c r="AU57" s="372">
        <v>5.6</v>
      </c>
      <c r="AV57" s="373">
        <f>AS57*AU57</f>
        <v>503.99999999999994</v>
      </c>
      <c r="AW57" s="373"/>
      <c r="AX57" s="359"/>
    </row>
    <row r="58" spans="1:50" x14ac:dyDescent="0.2">
      <c r="C58" s="80"/>
      <c r="D58" s="363"/>
      <c r="E58" s="363"/>
      <c r="F58" s="362"/>
      <c r="G58" s="362"/>
      <c r="H58" s="361"/>
      <c r="I58" s="361"/>
      <c r="J58" s="361"/>
      <c r="K58" s="360"/>
      <c r="L58" s="360"/>
      <c r="M58" s="360"/>
      <c r="N58" s="361"/>
      <c r="O58" s="361"/>
      <c r="P58" s="361"/>
      <c r="Q58" s="361"/>
      <c r="R58" s="361"/>
      <c r="S58" s="361"/>
      <c r="T58" s="361"/>
      <c r="U58" s="361"/>
      <c r="V58" s="361"/>
      <c r="W58" s="361"/>
      <c r="X58" s="361"/>
      <c r="Y58" s="361"/>
      <c r="Z58" s="361"/>
      <c r="AA58" s="361"/>
      <c r="AB58" s="361"/>
      <c r="AC58" s="361"/>
      <c r="AD58" s="361"/>
      <c r="AE58" s="361"/>
      <c r="AF58" s="361"/>
      <c r="AG58" s="361"/>
      <c r="AH58" s="361"/>
      <c r="AI58" s="361"/>
      <c r="AJ58" s="361"/>
      <c r="AK58" s="361"/>
      <c r="AL58" s="361"/>
      <c r="AM58" s="361"/>
      <c r="AN58" s="361"/>
      <c r="AO58" s="361"/>
      <c r="AP58" s="361"/>
      <c r="AQ58" s="361"/>
      <c r="AR58" s="361"/>
      <c r="AS58" s="374"/>
      <c r="AT58" s="374"/>
      <c r="AU58" s="372"/>
      <c r="AV58" s="373"/>
      <c r="AW58" s="373"/>
      <c r="AX58" s="359"/>
    </row>
    <row r="59" spans="1:50" x14ac:dyDescent="0.2">
      <c r="C59" s="362" t="s">
        <v>576</v>
      </c>
      <c r="D59" s="362"/>
      <c r="E59" s="362"/>
      <c r="F59" s="362"/>
      <c r="G59" s="362"/>
      <c r="H59" s="361"/>
      <c r="I59" s="361"/>
      <c r="J59" s="361"/>
      <c r="K59" s="360"/>
      <c r="L59" s="360">
        <v>63</v>
      </c>
      <c r="M59" s="360"/>
      <c r="N59" s="361"/>
      <c r="O59" s="361"/>
      <c r="P59" s="361"/>
      <c r="Q59" s="361"/>
      <c r="R59" s="361"/>
      <c r="S59" s="361"/>
      <c r="T59" s="361"/>
      <c r="U59" s="361"/>
      <c r="V59" s="361"/>
      <c r="W59" s="361"/>
      <c r="X59" s="361"/>
      <c r="Y59" s="361"/>
      <c r="Z59" s="361"/>
      <c r="AA59" s="361"/>
      <c r="AB59" s="361"/>
      <c r="AC59" s="361"/>
      <c r="AD59" s="361"/>
      <c r="AE59" s="361"/>
      <c r="AF59" s="361"/>
      <c r="AG59" s="361"/>
      <c r="AH59" s="361"/>
      <c r="AI59" s="361"/>
      <c r="AJ59" s="361"/>
      <c r="AK59" s="361"/>
      <c r="AL59" s="361"/>
      <c r="AM59" s="361"/>
      <c r="AN59" s="361"/>
      <c r="AO59" s="361"/>
      <c r="AP59" s="361"/>
      <c r="AQ59" s="361"/>
      <c r="AR59" s="361"/>
      <c r="AS59" s="374">
        <f>SUM(G59:AR59)</f>
        <v>63</v>
      </c>
      <c r="AT59" s="374" t="s">
        <v>507</v>
      </c>
      <c r="AU59" s="372">
        <v>1.9</v>
      </c>
      <c r="AV59" s="373">
        <f>AS59*AU59</f>
        <v>119.69999999999999</v>
      </c>
      <c r="AW59" s="362"/>
      <c r="AX59" s="351"/>
    </row>
    <row r="60" spans="1:50" x14ac:dyDescent="0.2">
      <c r="C60" s="362"/>
      <c r="D60" s="362"/>
      <c r="E60" s="362"/>
      <c r="F60" s="362"/>
      <c r="G60" s="362"/>
      <c r="H60" s="361"/>
      <c r="I60" s="361"/>
      <c r="J60" s="361"/>
      <c r="K60" s="360"/>
      <c r="L60" s="360"/>
      <c r="M60" s="360"/>
      <c r="N60" s="361"/>
      <c r="O60" s="361"/>
      <c r="P60" s="361"/>
      <c r="Q60" s="361"/>
      <c r="R60" s="361"/>
      <c r="S60" s="361"/>
      <c r="T60" s="361"/>
      <c r="U60" s="361"/>
      <c r="V60" s="361"/>
      <c r="W60" s="361"/>
      <c r="X60" s="361"/>
      <c r="Y60" s="361"/>
      <c r="Z60" s="361"/>
      <c r="AA60" s="361"/>
      <c r="AB60" s="361"/>
      <c r="AC60" s="361"/>
      <c r="AD60" s="361"/>
      <c r="AE60" s="361"/>
      <c r="AF60" s="361"/>
      <c r="AG60" s="361"/>
      <c r="AH60" s="361"/>
      <c r="AI60" s="361"/>
      <c r="AJ60" s="361"/>
      <c r="AK60" s="361"/>
      <c r="AL60" s="361"/>
      <c r="AM60" s="361"/>
      <c r="AN60" s="361"/>
      <c r="AO60" s="361"/>
      <c r="AP60" s="361"/>
      <c r="AQ60" s="361"/>
      <c r="AR60" s="361"/>
      <c r="AS60" s="374"/>
      <c r="AT60" s="374"/>
      <c r="AU60" s="362"/>
      <c r="AV60" s="373"/>
      <c r="AW60" s="362"/>
      <c r="AX60" s="351"/>
    </row>
    <row r="61" spans="1:50" x14ac:dyDescent="0.2">
      <c r="C61" s="351" t="s">
        <v>509</v>
      </c>
      <c r="D61" s="351"/>
      <c r="E61" s="351"/>
      <c r="F61" s="351"/>
      <c r="G61" s="351"/>
      <c r="H61" s="361"/>
      <c r="I61" s="361"/>
      <c r="J61" s="361"/>
      <c r="K61" s="360"/>
      <c r="L61" s="360"/>
      <c r="M61" s="360"/>
      <c r="N61" s="361"/>
      <c r="O61" s="361"/>
      <c r="P61" s="361"/>
      <c r="Q61" s="361"/>
      <c r="R61" s="361"/>
      <c r="S61" s="361"/>
      <c r="T61" s="361"/>
      <c r="U61" s="361"/>
      <c r="V61" s="361"/>
      <c r="W61" s="361"/>
      <c r="X61" s="361"/>
      <c r="Y61" s="361"/>
      <c r="Z61" s="361"/>
      <c r="AA61" s="361"/>
      <c r="AB61" s="361"/>
      <c r="AC61" s="361"/>
      <c r="AD61" s="361"/>
      <c r="AE61" s="361"/>
      <c r="AF61" s="361"/>
      <c r="AG61" s="361"/>
      <c r="AH61" s="361"/>
      <c r="AI61" s="361"/>
      <c r="AJ61" s="361"/>
      <c r="AK61" s="361"/>
      <c r="AL61" s="361"/>
      <c r="AM61" s="361"/>
      <c r="AN61" s="361"/>
      <c r="AO61" s="361"/>
      <c r="AP61" s="361"/>
      <c r="AQ61" s="361"/>
      <c r="AR61" s="361"/>
      <c r="AS61" s="118">
        <f>SUM(G61:AR61)</f>
        <v>0</v>
      </c>
      <c r="AT61" s="118"/>
      <c r="AU61" s="368">
        <v>150</v>
      </c>
      <c r="AV61" s="352"/>
      <c r="AW61" s="376">
        <f>AS61*AU61</f>
        <v>0</v>
      </c>
      <c r="AX61" s="352"/>
    </row>
    <row r="62" spans="1:50" x14ac:dyDescent="0.2">
      <c r="C62" s="351"/>
      <c r="D62" s="351"/>
      <c r="E62" s="351"/>
      <c r="F62" s="351"/>
      <c r="G62" s="351"/>
      <c r="H62" s="361"/>
      <c r="I62" s="361"/>
      <c r="J62" s="361"/>
      <c r="K62" s="360"/>
      <c r="L62" s="360"/>
      <c r="M62" s="360"/>
      <c r="N62" s="361"/>
      <c r="O62" s="361"/>
      <c r="P62" s="361"/>
      <c r="Q62" s="361"/>
      <c r="R62" s="361"/>
      <c r="S62" s="361"/>
      <c r="T62" s="361"/>
      <c r="U62" s="361"/>
      <c r="V62" s="361"/>
      <c r="W62" s="361"/>
      <c r="X62" s="361"/>
      <c r="Y62" s="361"/>
      <c r="Z62" s="361"/>
      <c r="AA62" s="361"/>
      <c r="AB62" s="361"/>
      <c r="AC62" s="361"/>
      <c r="AD62" s="361"/>
      <c r="AE62" s="361"/>
      <c r="AF62" s="361"/>
      <c r="AG62" s="361"/>
      <c r="AH62" s="361"/>
      <c r="AI62" s="361"/>
      <c r="AJ62" s="361"/>
      <c r="AK62" s="361"/>
      <c r="AL62" s="361"/>
      <c r="AM62" s="361"/>
      <c r="AN62" s="361"/>
      <c r="AO62" s="361"/>
      <c r="AP62" s="361"/>
      <c r="AQ62" s="361"/>
      <c r="AR62" s="361"/>
      <c r="AS62" s="118"/>
      <c r="AT62" s="118"/>
      <c r="AU62" s="351"/>
      <c r="AV62" s="352"/>
      <c r="AW62" s="351"/>
      <c r="AX62" s="351"/>
    </row>
    <row r="63" spans="1:50" x14ac:dyDescent="0.2">
      <c r="C63" s="351" t="s">
        <v>510</v>
      </c>
      <c r="D63" s="351"/>
      <c r="E63" s="351"/>
      <c r="F63" s="351"/>
      <c r="G63" s="351"/>
      <c r="H63" s="361"/>
      <c r="I63" s="361"/>
      <c r="J63" s="361"/>
      <c r="K63" s="360"/>
      <c r="L63" s="360">
        <v>16</v>
      </c>
      <c r="M63" s="360"/>
      <c r="N63" s="361"/>
      <c r="O63" s="361"/>
      <c r="P63" s="361"/>
      <c r="Q63" s="361"/>
      <c r="R63" s="361"/>
      <c r="S63" s="361"/>
      <c r="T63" s="361"/>
      <c r="U63" s="361"/>
      <c r="V63" s="361"/>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118">
        <f>SUM(G63:AR63)</f>
        <v>16</v>
      </c>
      <c r="AT63" s="118" t="s">
        <v>148</v>
      </c>
      <c r="AU63" s="368">
        <v>7.5</v>
      </c>
      <c r="AV63" s="376">
        <f>AS63*AU63</f>
        <v>120</v>
      </c>
      <c r="AW63" s="351"/>
      <c r="AX63" s="351"/>
    </row>
    <row r="64" spans="1:50" x14ac:dyDescent="0.2">
      <c r="H64" s="361"/>
      <c r="I64" s="361"/>
      <c r="J64" s="361"/>
      <c r="K64" s="360"/>
      <c r="L64" s="360"/>
      <c r="M64" s="360"/>
      <c r="N64" s="361"/>
      <c r="O64" s="361"/>
      <c r="P64" s="361"/>
      <c r="Q64" s="361"/>
      <c r="R64" s="361"/>
      <c r="S64" s="361"/>
      <c r="T64" s="361"/>
      <c r="U64" s="361"/>
      <c r="V64" s="361"/>
      <c r="W64" s="361"/>
      <c r="X64" s="361"/>
      <c r="Y64" s="361"/>
      <c r="Z64" s="361"/>
      <c r="AA64" s="361"/>
      <c r="AB64" s="361"/>
      <c r="AC64" s="361"/>
      <c r="AD64" s="361"/>
      <c r="AE64" s="361"/>
      <c r="AF64" s="361"/>
      <c r="AG64" s="361"/>
      <c r="AH64" s="361"/>
      <c r="AI64" s="361"/>
      <c r="AJ64" s="361"/>
      <c r="AK64" s="361"/>
      <c r="AL64" s="361"/>
      <c r="AM64" s="361"/>
      <c r="AN64" s="361"/>
      <c r="AO64" s="361"/>
      <c r="AP64" s="361"/>
      <c r="AQ64" s="361"/>
      <c r="AR64" s="361"/>
      <c r="AS64" s="118"/>
      <c r="AT64" s="118"/>
      <c r="AV64" s="376"/>
    </row>
    <row r="65" spans="2:50" x14ac:dyDescent="0.2">
      <c r="C65" s="72" t="s">
        <v>511</v>
      </c>
      <c r="H65" s="367"/>
      <c r="I65" s="367"/>
      <c r="J65" s="367"/>
      <c r="L65" s="360">
        <v>16</v>
      </c>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367"/>
      <c r="AO65" s="367"/>
      <c r="AP65" s="367"/>
      <c r="AQ65" s="367"/>
      <c r="AR65" s="367"/>
      <c r="AS65" s="118">
        <f>SUM(G65:AR65)</f>
        <v>16</v>
      </c>
      <c r="AT65" s="118" t="s">
        <v>148</v>
      </c>
      <c r="AU65" s="368">
        <v>10</v>
      </c>
      <c r="AV65" s="376">
        <f>AS65*AU65</f>
        <v>160</v>
      </c>
    </row>
    <row r="66" spans="2:50" x14ac:dyDescent="0.2">
      <c r="AV66" s="348"/>
    </row>
    <row r="67" spans="2:50" x14ac:dyDescent="0.2">
      <c r="C67" s="72" t="s">
        <v>512</v>
      </c>
      <c r="E67" s="377" t="s">
        <v>513</v>
      </c>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row>
    <row r="68" spans="2:50" x14ac:dyDescent="0.2">
      <c r="AV68" s="348"/>
    </row>
    <row r="69" spans="2:50" x14ac:dyDescent="0.2">
      <c r="C69" s="72" t="s">
        <v>514</v>
      </c>
      <c r="AV69" s="349">
        <v>180</v>
      </c>
      <c r="AW69" s="376"/>
    </row>
    <row r="70" spans="2:50" x14ac:dyDescent="0.2">
      <c r="B70">
        <f>SUM(B5:B69)</f>
        <v>0</v>
      </c>
      <c r="C70" s="216"/>
      <c r="D70" s="216"/>
      <c r="E70" s="216"/>
      <c r="F70" s="216"/>
      <c r="G70" s="216"/>
      <c r="H70" s="216"/>
      <c r="I70" s="216"/>
      <c r="J70" s="216"/>
      <c r="K70" s="216"/>
      <c r="L70" s="216"/>
      <c r="M70" s="216"/>
      <c r="N70" s="216"/>
      <c r="O70" s="216"/>
      <c r="P70" s="216"/>
      <c r="Q70" s="216"/>
      <c r="R70" s="216"/>
      <c r="S70" s="216"/>
      <c r="T70" s="216"/>
      <c r="U70" s="216"/>
      <c r="V70" s="216"/>
      <c r="W70" s="216"/>
      <c r="X70" s="216"/>
      <c r="Y70" s="216"/>
      <c r="Z70" s="216"/>
      <c r="AA70" s="216"/>
      <c r="AB70" s="216"/>
      <c r="AC70" s="216"/>
      <c r="AD70" s="216"/>
      <c r="AE70" s="216"/>
      <c r="AF70" s="216"/>
      <c r="AG70" s="216"/>
      <c r="AH70" s="216"/>
      <c r="AI70" s="216"/>
      <c r="AJ70" s="216"/>
      <c r="AK70" s="216"/>
      <c r="AL70" s="216"/>
      <c r="AM70" s="216"/>
      <c r="AN70" s="216"/>
      <c r="AO70" s="216"/>
      <c r="AP70" s="216"/>
      <c r="AQ70" s="216"/>
      <c r="AR70" s="216"/>
      <c r="AS70" s="216"/>
      <c r="AT70" s="216"/>
      <c r="AU70" s="216"/>
      <c r="AV70" s="216"/>
      <c r="AW70" s="216"/>
      <c r="AX70" s="216"/>
    </row>
    <row r="71" spans="2:50" x14ac:dyDescent="0.2">
      <c r="AV71" s="203">
        <f>SUM(AV5:AV70)</f>
        <v>36964.731999999996</v>
      </c>
      <c r="AW71" s="203">
        <f>SUM(AW5:AW70)</f>
        <v>14292</v>
      </c>
      <c r="AX71" s="203">
        <f>SUM(AV71:AW71)</f>
        <v>51256.731999999996</v>
      </c>
    </row>
    <row r="73" spans="2:50" x14ac:dyDescent="0.2">
      <c r="C73" s="72" t="s">
        <v>515</v>
      </c>
      <c r="AU73" s="379"/>
      <c r="AV73" s="203"/>
      <c r="AW73" s="380">
        <v>0.01</v>
      </c>
      <c r="AX73" s="203">
        <f>AX71*AW73</f>
        <v>512.56732</v>
      </c>
    </row>
    <row r="75" spans="2:50" x14ac:dyDescent="0.2">
      <c r="C75" s="72" t="s">
        <v>516</v>
      </c>
      <c r="AV75" s="381"/>
      <c r="AW75" s="381"/>
      <c r="AX75" s="382">
        <f>AW75*20</f>
        <v>0</v>
      </c>
    </row>
    <row r="77" spans="2:50" x14ac:dyDescent="0.2">
      <c r="C77" s="216"/>
      <c r="D77" s="216"/>
      <c r="E77" s="216"/>
      <c r="F77" s="216"/>
      <c r="G77" s="216"/>
      <c r="H77" s="216"/>
      <c r="I77" s="216"/>
      <c r="J77" s="216"/>
      <c r="K77" s="216"/>
      <c r="L77" s="216"/>
      <c r="M77" s="216"/>
      <c r="N77" s="216"/>
      <c r="O77" s="216"/>
      <c r="P77" s="216"/>
      <c r="Q77" s="216"/>
      <c r="R77" s="216"/>
      <c r="S77" s="216"/>
      <c r="T77" s="216"/>
      <c r="U77" s="216"/>
      <c r="V77" s="216"/>
      <c r="W77" s="216"/>
      <c r="X77" s="216"/>
      <c r="Y77" s="216"/>
      <c r="Z77" s="216"/>
      <c r="AA77" s="216"/>
      <c r="AB77" s="216"/>
      <c r="AC77" s="216"/>
      <c r="AD77" s="216"/>
      <c r="AE77" s="216"/>
      <c r="AF77" s="216"/>
      <c r="AG77" s="216"/>
      <c r="AH77" s="216"/>
      <c r="AI77" s="216"/>
      <c r="AJ77" s="216"/>
      <c r="AK77" s="216"/>
      <c r="AL77" s="216"/>
      <c r="AM77" s="216"/>
      <c r="AN77" s="216"/>
      <c r="AO77" s="216"/>
      <c r="AP77" s="216"/>
      <c r="AQ77" s="216"/>
      <c r="AR77" s="216"/>
      <c r="AS77" s="216"/>
      <c r="AT77" s="216"/>
      <c r="AU77" s="216"/>
      <c r="AV77" s="216"/>
      <c r="AW77" s="216"/>
      <c r="AX77" s="216"/>
    </row>
    <row r="78" spans="2:50" x14ac:dyDescent="0.2">
      <c r="AX78" s="203">
        <f>SUM(AX71:AX77)</f>
        <v>51769.299319999998</v>
      </c>
    </row>
    <row r="80" spans="2:50" x14ac:dyDescent="0.2">
      <c r="C80" s="72" t="s">
        <v>11</v>
      </c>
      <c r="AW80" s="380">
        <v>0</v>
      </c>
      <c r="AX80" s="203">
        <f>AX78*AW80</f>
        <v>0</v>
      </c>
    </row>
    <row r="82" spans="3:50" x14ac:dyDescent="0.2">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216"/>
      <c r="AH82" s="216"/>
      <c r="AI82" s="216"/>
      <c r="AJ82" s="216"/>
      <c r="AK82" s="216"/>
      <c r="AL82" s="216"/>
      <c r="AM82" s="216"/>
      <c r="AN82" s="216"/>
      <c r="AO82" s="216"/>
      <c r="AP82" s="216"/>
      <c r="AQ82" s="216"/>
      <c r="AR82" s="216"/>
      <c r="AS82" s="216"/>
      <c r="AT82" s="216"/>
      <c r="AU82" s="216"/>
      <c r="AV82" s="216"/>
      <c r="AW82" s="216"/>
      <c r="AX82" s="216"/>
    </row>
    <row r="83" spans="3:50" x14ac:dyDescent="0.2">
      <c r="AX83" s="54">
        <f>SUM(AX78:AX82)</f>
        <v>51769.299319999998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D1D0-267D-4F1C-B0AE-00E10B1D9794}">
  <dimension ref="A1:AZ74"/>
  <sheetViews>
    <sheetView topLeftCell="V35" zoomScale="85" zoomScaleNormal="85" workbookViewId="0">
      <selection activeCell="AU45" sqref="AU45"/>
    </sheetView>
  </sheetViews>
  <sheetFormatPr defaultRowHeight="12.75" x14ac:dyDescent="0.2"/>
  <cols>
    <col min="8" max="8" width="15.5703125" customWidth="1"/>
    <col min="9" max="9" width="4" customWidth="1"/>
    <col min="10" max="10" width="16.140625" customWidth="1"/>
    <col min="11" max="11" width="4" customWidth="1"/>
    <col min="12" max="12" width="13.42578125" customWidth="1"/>
    <col min="13" max="13" width="4" customWidth="1"/>
    <col min="14" max="14" width="16.85546875" customWidth="1"/>
    <col min="15" max="15" width="4.5703125" customWidth="1"/>
    <col min="16" max="16" width="16.42578125" customWidth="1"/>
    <col min="17" max="17" width="4.28515625" customWidth="1"/>
    <col min="18" max="18" width="16.42578125" customWidth="1"/>
    <col min="19" max="19" width="4.28515625" customWidth="1"/>
    <col min="20" max="20" width="16.7109375" customWidth="1"/>
    <col min="21" max="21" width="3.7109375" customWidth="1"/>
    <col min="22" max="22" width="16.42578125" customWidth="1"/>
    <col min="23" max="23" width="4" customWidth="1"/>
    <col min="24" max="24" width="17" customWidth="1"/>
    <col min="25" max="25" width="4.5703125" customWidth="1"/>
    <col min="26" max="26" width="17" customWidth="1"/>
    <col min="27" max="27" width="3.85546875" customWidth="1"/>
    <col min="28" max="28" width="16.7109375" customWidth="1"/>
    <col min="29" max="29" width="4.5703125" customWidth="1"/>
    <col min="30" max="30" width="17" customWidth="1"/>
    <col min="31" max="31" width="4" customWidth="1"/>
    <col min="32" max="32" width="16.42578125" customWidth="1"/>
    <col min="33" max="33" width="3.28515625" customWidth="1"/>
    <col min="34" max="34" width="16.7109375" customWidth="1"/>
    <col min="35" max="35" width="4" customWidth="1"/>
    <col min="36" max="36" width="16.7109375" customWidth="1"/>
    <col min="37" max="37" width="4.5703125" customWidth="1"/>
    <col min="38" max="38" width="16.7109375" customWidth="1"/>
    <col min="39" max="39" width="3.28515625" customWidth="1"/>
    <col min="40" max="40" width="16.7109375" customWidth="1"/>
    <col min="41" max="41" width="3.7109375" customWidth="1"/>
    <col min="42" max="42" width="16.7109375" customWidth="1"/>
    <col min="43" max="43" width="4.5703125" customWidth="1"/>
    <col min="44" max="44" width="5.28515625" customWidth="1"/>
    <col min="48" max="48" width="12" bestFit="1" customWidth="1"/>
    <col min="49" max="49" width="11" bestFit="1" customWidth="1"/>
    <col min="50" max="50" width="10.28515625" bestFit="1" customWidth="1"/>
  </cols>
  <sheetData>
    <row r="1" spans="2:52" x14ac:dyDescent="0.2">
      <c r="C1" s="186" t="s">
        <v>330</v>
      </c>
      <c r="D1" s="271"/>
      <c r="E1" s="271"/>
    </row>
    <row r="2" spans="2:52" x14ac:dyDescent="0.2">
      <c r="F2" s="348"/>
      <c r="G2" s="348"/>
      <c r="H2" s="348">
        <v>7.7</v>
      </c>
      <c r="I2" s="348"/>
      <c r="J2" s="348">
        <v>7.7</v>
      </c>
      <c r="K2" s="348"/>
      <c r="L2" s="348"/>
      <c r="M2" s="348"/>
      <c r="N2" s="348">
        <v>14.9</v>
      </c>
      <c r="O2" s="348"/>
      <c r="P2" s="348">
        <v>7.8</v>
      </c>
      <c r="Q2" s="348"/>
      <c r="R2" s="348">
        <v>8</v>
      </c>
      <c r="S2" s="348"/>
      <c r="T2" s="348">
        <v>8</v>
      </c>
      <c r="U2" s="348"/>
      <c r="V2" s="348">
        <v>8</v>
      </c>
      <c r="W2" s="348"/>
      <c r="X2" s="348">
        <v>8</v>
      </c>
      <c r="Y2" s="348"/>
      <c r="Z2" s="348">
        <v>8</v>
      </c>
      <c r="AA2" s="348"/>
      <c r="AB2" s="348">
        <v>7.6</v>
      </c>
      <c r="AC2" s="348"/>
      <c r="AD2" s="348">
        <v>7.2</v>
      </c>
      <c r="AE2" s="348"/>
      <c r="AF2" s="348">
        <v>8.4</v>
      </c>
      <c r="AG2" s="348"/>
      <c r="AH2" s="348">
        <v>8.8000000000000007</v>
      </c>
      <c r="AI2" s="348"/>
      <c r="AJ2" s="348">
        <v>9.1999999999999993</v>
      </c>
      <c r="AK2" s="348"/>
      <c r="AL2" s="348">
        <v>7.7</v>
      </c>
      <c r="AM2" s="348"/>
      <c r="AN2" s="348">
        <v>7.2</v>
      </c>
      <c r="AO2" s="348"/>
      <c r="AP2" s="348">
        <v>8.3000000000000007</v>
      </c>
      <c r="AQ2" s="348"/>
      <c r="AR2" s="348"/>
      <c r="AS2" s="351">
        <f>SUM(H2:AR2)</f>
        <v>142.5</v>
      </c>
      <c r="AW2" s="349">
        <v>13.5</v>
      </c>
    </row>
    <row r="3" spans="2:52" x14ac:dyDescent="0.2">
      <c r="C3" s="350"/>
      <c r="D3" s="351"/>
      <c r="E3" s="351"/>
      <c r="F3" s="352"/>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1">
        <f>SUM(H3:AR3)</f>
        <v>0</v>
      </c>
      <c r="AT3" s="351"/>
      <c r="AU3" s="351"/>
      <c r="AV3" s="351" t="s">
        <v>499</v>
      </c>
      <c r="AW3" s="351" t="s">
        <v>500</v>
      </c>
      <c r="AX3" s="351"/>
    </row>
    <row r="4" spans="2:52" ht="50.25" customHeight="1" x14ac:dyDescent="0.2">
      <c r="B4" s="353"/>
      <c r="C4" s="354"/>
      <c r="D4" s="354"/>
      <c r="E4" s="354"/>
      <c r="F4" s="355"/>
      <c r="G4" s="355"/>
      <c r="H4" s="383" t="s">
        <v>173</v>
      </c>
      <c r="I4" s="356"/>
      <c r="J4" s="383" t="s">
        <v>173</v>
      </c>
      <c r="K4" s="356"/>
      <c r="L4" s="356" t="s">
        <v>556</v>
      </c>
      <c r="M4" s="356"/>
      <c r="N4" s="383" t="s">
        <v>337</v>
      </c>
      <c r="O4" s="356"/>
      <c r="P4" s="383" t="s">
        <v>191</v>
      </c>
      <c r="Q4" s="356"/>
      <c r="R4" s="383" t="s">
        <v>193</v>
      </c>
      <c r="S4" s="356"/>
      <c r="T4" s="383" t="s">
        <v>194</v>
      </c>
      <c r="U4" s="356"/>
      <c r="V4" s="383" t="s">
        <v>197</v>
      </c>
      <c r="W4" s="383"/>
      <c r="X4" s="383" t="s">
        <v>198</v>
      </c>
      <c r="Y4" s="383"/>
      <c r="Z4" s="383" t="s">
        <v>205</v>
      </c>
      <c r="AA4" s="357"/>
      <c r="AB4" s="383" t="s">
        <v>206</v>
      </c>
      <c r="AC4" s="383"/>
      <c r="AD4" s="383" t="s">
        <v>210</v>
      </c>
      <c r="AE4" s="383"/>
      <c r="AF4" s="383" t="s">
        <v>211</v>
      </c>
      <c r="AG4" s="383"/>
      <c r="AH4" s="383" t="s">
        <v>213</v>
      </c>
      <c r="AI4" s="383"/>
      <c r="AJ4" s="383" t="s">
        <v>215</v>
      </c>
      <c r="AK4" s="383"/>
      <c r="AL4" s="383" t="s">
        <v>217</v>
      </c>
      <c r="AM4" s="383"/>
      <c r="AN4" s="383" t="s">
        <v>219</v>
      </c>
      <c r="AO4" s="383"/>
      <c r="AP4" s="383" t="s">
        <v>220</v>
      </c>
      <c r="AQ4" s="383"/>
      <c r="AR4" s="383"/>
      <c r="AS4" s="354" t="s">
        <v>501</v>
      </c>
      <c r="AT4" s="354"/>
      <c r="AU4" s="358" t="s">
        <v>502</v>
      </c>
      <c r="AV4" s="354"/>
      <c r="AW4" s="291"/>
      <c r="AX4" s="264"/>
    </row>
    <row r="5" spans="2:52" x14ac:dyDescent="0.2">
      <c r="C5" s="264"/>
      <c r="D5" s="264"/>
      <c r="E5" s="264"/>
      <c r="F5" s="359"/>
      <c r="G5" s="359"/>
      <c r="H5" s="386" t="s">
        <v>532</v>
      </c>
      <c r="I5" s="359"/>
      <c r="J5" s="386" t="s">
        <v>532</v>
      </c>
      <c r="K5" s="360"/>
      <c r="L5" s="360"/>
      <c r="M5" s="360"/>
      <c r="N5" s="361" t="s">
        <v>533</v>
      </c>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1"/>
      <c r="AQ5" s="361"/>
      <c r="AR5" s="361"/>
      <c r="AS5" s="80"/>
      <c r="AT5" s="80"/>
      <c r="AU5" s="351"/>
      <c r="AV5" s="264"/>
      <c r="AW5" s="264"/>
      <c r="AX5" s="264"/>
      <c r="AZ5" s="72" t="s">
        <v>631</v>
      </c>
    </row>
    <row r="6" spans="2:52" x14ac:dyDescent="0.2">
      <c r="C6" s="80"/>
      <c r="D6" s="80"/>
      <c r="E6" s="80"/>
      <c r="F6" s="361"/>
      <c r="G6" s="361"/>
      <c r="H6" s="361"/>
      <c r="I6" s="361"/>
      <c r="J6" s="361"/>
      <c r="K6" s="360"/>
      <c r="L6" s="360"/>
      <c r="M6" s="360"/>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80"/>
      <c r="AT6" s="80"/>
      <c r="AU6" s="351"/>
      <c r="AV6" s="264"/>
      <c r="AW6" s="264"/>
      <c r="AX6" s="264"/>
      <c r="AZ6">
        <v>1.04</v>
      </c>
    </row>
    <row r="7" spans="2:52" x14ac:dyDescent="0.2">
      <c r="C7" s="80" t="s">
        <v>518</v>
      </c>
      <c r="D7" s="363"/>
      <c r="E7" s="363"/>
      <c r="F7" s="361">
        <v>5.6</v>
      </c>
      <c r="G7" s="361"/>
      <c r="H7" s="360"/>
      <c r="I7" s="360"/>
      <c r="J7" s="360"/>
      <c r="K7" s="360"/>
      <c r="L7" s="360"/>
      <c r="M7" s="360"/>
      <c r="N7" s="360">
        <v>2</v>
      </c>
      <c r="O7" s="360"/>
      <c r="P7" s="360">
        <v>0.5</v>
      </c>
      <c r="Q7" s="360"/>
      <c r="R7" s="360">
        <v>0.5</v>
      </c>
      <c r="S7" s="360"/>
      <c r="T7" s="360">
        <v>0.5</v>
      </c>
      <c r="U7" s="360"/>
      <c r="V7" s="360">
        <v>0.5</v>
      </c>
      <c r="W7" s="360"/>
      <c r="X7" s="360">
        <v>0.5</v>
      </c>
      <c r="Y7" s="360"/>
      <c r="Z7" s="360">
        <v>0.5</v>
      </c>
      <c r="AA7" s="360"/>
      <c r="AB7" s="360">
        <v>0.5</v>
      </c>
      <c r="AC7" s="360"/>
      <c r="AD7" s="360">
        <v>0.25</v>
      </c>
      <c r="AE7" s="360"/>
      <c r="AF7" s="360">
        <v>0.5</v>
      </c>
      <c r="AG7" s="360"/>
      <c r="AH7" s="360">
        <v>0.5</v>
      </c>
      <c r="AI7" s="360"/>
      <c r="AJ7" s="360">
        <v>1</v>
      </c>
      <c r="AK7" s="360"/>
      <c r="AL7" s="360">
        <v>0.5</v>
      </c>
      <c r="AM7" s="360"/>
      <c r="AN7" s="360">
        <v>0.25</v>
      </c>
      <c r="AO7" s="360"/>
      <c r="AP7" s="360">
        <v>0.5</v>
      </c>
      <c r="AQ7" s="360"/>
      <c r="AR7" s="361"/>
      <c r="AS7" s="111">
        <f>SUM(G7:AR7)</f>
        <v>9</v>
      </c>
      <c r="AT7" s="365"/>
      <c r="AU7" s="365">
        <f>AZ7</f>
        <v>115.99120000000001</v>
      </c>
      <c r="AV7" s="366">
        <f>AS7*AU7</f>
        <v>1043.9208000000001</v>
      </c>
      <c r="AW7" s="366">
        <f>F7*AS7*$AW$2</f>
        <v>680.4</v>
      </c>
      <c r="AX7" s="359"/>
      <c r="AY7" s="365">
        <v>111.53</v>
      </c>
      <c r="AZ7" s="203">
        <f>AY7*$AZ$6</f>
        <v>115.99120000000001</v>
      </c>
    </row>
    <row r="8" spans="2:52" x14ac:dyDescent="0.2">
      <c r="C8" s="80" t="s">
        <v>578</v>
      </c>
      <c r="D8" s="363"/>
      <c r="E8" s="363"/>
      <c r="F8" s="361">
        <v>5.6</v>
      </c>
      <c r="G8" s="361"/>
      <c r="H8" s="360"/>
      <c r="I8" s="360"/>
      <c r="J8" s="360"/>
      <c r="K8" s="360"/>
      <c r="L8" s="360"/>
      <c r="M8" s="360"/>
      <c r="N8" s="360">
        <v>2</v>
      </c>
      <c r="O8" s="360"/>
      <c r="P8" s="360">
        <v>0.5</v>
      </c>
      <c r="Q8" s="360"/>
      <c r="R8" s="360">
        <v>0.5</v>
      </c>
      <c r="S8" s="360"/>
      <c r="T8" s="360">
        <v>0.5</v>
      </c>
      <c r="U8" s="360"/>
      <c r="V8" s="360">
        <v>0.5</v>
      </c>
      <c r="W8" s="360"/>
      <c r="X8" s="360">
        <v>0.5</v>
      </c>
      <c r="Y8" s="360"/>
      <c r="Z8" s="360">
        <v>0.5</v>
      </c>
      <c r="AA8" s="360"/>
      <c r="AB8" s="360">
        <v>0.5</v>
      </c>
      <c r="AC8" s="360"/>
      <c r="AD8" s="360">
        <v>0.25</v>
      </c>
      <c r="AE8" s="360"/>
      <c r="AF8" s="360">
        <v>0.5</v>
      </c>
      <c r="AG8" s="360"/>
      <c r="AH8" s="360">
        <v>0.5</v>
      </c>
      <c r="AI8" s="360"/>
      <c r="AJ8" s="360">
        <v>1</v>
      </c>
      <c r="AK8" s="360"/>
      <c r="AL8" s="360">
        <v>0.5</v>
      </c>
      <c r="AM8" s="360"/>
      <c r="AN8" s="360">
        <v>0.25</v>
      </c>
      <c r="AO8" s="360"/>
      <c r="AP8" s="360">
        <v>0.5</v>
      </c>
      <c r="AQ8" s="360"/>
      <c r="AR8" s="361"/>
      <c r="AS8" s="111">
        <f>SUM(G8:AR8)</f>
        <v>9</v>
      </c>
      <c r="AT8" s="365"/>
      <c r="AU8" s="365">
        <f t="shared" ref="AU8:AU39" si="0">AZ8</f>
        <v>129.4384</v>
      </c>
      <c r="AV8" s="366">
        <f>AS8*AU8</f>
        <v>1164.9456</v>
      </c>
      <c r="AW8" s="366">
        <f>F8*AS8*$AW$2</f>
        <v>680.4</v>
      </c>
      <c r="AX8" s="359"/>
      <c r="AY8" s="365">
        <v>124.46</v>
      </c>
      <c r="AZ8" s="203">
        <f t="shared" ref="AZ8:AZ39" si="1">AY8*$AZ$6</f>
        <v>129.4384</v>
      </c>
    </row>
    <row r="9" spans="2:52" x14ac:dyDescent="0.2">
      <c r="C9" s="80"/>
      <c r="D9" s="363"/>
      <c r="E9" s="363"/>
      <c r="F9" s="361"/>
      <c r="G9" s="361"/>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0"/>
      <c r="AP9" s="360"/>
      <c r="AQ9" s="360"/>
      <c r="AR9" s="361"/>
      <c r="AS9" s="111"/>
      <c r="AT9" s="365"/>
      <c r="AU9" s="365"/>
      <c r="AV9" s="366"/>
      <c r="AW9" s="366"/>
      <c r="AX9" s="359"/>
      <c r="AY9" s="365"/>
      <c r="AZ9" s="203"/>
    </row>
    <row r="10" spans="2:52" x14ac:dyDescent="0.2">
      <c r="C10" s="80" t="s">
        <v>519</v>
      </c>
      <c r="D10" s="363"/>
      <c r="E10" s="363"/>
      <c r="F10" s="361">
        <v>5.6</v>
      </c>
      <c r="G10" s="361"/>
      <c r="H10" s="360"/>
      <c r="I10" s="360"/>
      <c r="J10" s="360"/>
      <c r="K10" s="360"/>
      <c r="L10" s="360"/>
      <c r="M10" s="360"/>
      <c r="N10" s="360">
        <v>4</v>
      </c>
      <c r="O10" s="360"/>
      <c r="P10" s="360">
        <v>2</v>
      </c>
      <c r="Q10" s="360"/>
      <c r="R10" s="360">
        <v>2</v>
      </c>
      <c r="S10" s="360"/>
      <c r="T10" s="360">
        <v>2</v>
      </c>
      <c r="U10" s="360"/>
      <c r="V10" s="360">
        <v>2</v>
      </c>
      <c r="W10" s="360"/>
      <c r="X10" s="360">
        <v>2</v>
      </c>
      <c r="Y10" s="360"/>
      <c r="Z10" s="360">
        <v>2</v>
      </c>
      <c r="AA10" s="360"/>
      <c r="AB10" s="360">
        <v>2</v>
      </c>
      <c r="AC10" s="360"/>
      <c r="AD10" s="360">
        <v>2</v>
      </c>
      <c r="AE10" s="360"/>
      <c r="AF10" s="360">
        <v>2</v>
      </c>
      <c r="AG10" s="360"/>
      <c r="AH10" s="360">
        <v>3</v>
      </c>
      <c r="AI10" s="360"/>
      <c r="AJ10" s="360">
        <v>3</v>
      </c>
      <c r="AK10" s="360"/>
      <c r="AL10" s="360">
        <v>2</v>
      </c>
      <c r="AM10" s="360"/>
      <c r="AN10" s="360">
        <v>2</v>
      </c>
      <c r="AO10" s="360"/>
      <c r="AP10" s="360">
        <v>2</v>
      </c>
      <c r="AQ10" s="360"/>
      <c r="AR10" s="361"/>
      <c r="AS10" s="111">
        <f>SUM(G10:AR10)</f>
        <v>34</v>
      </c>
      <c r="AT10" s="365"/>
      <c r="AU10" s="365">
        <f t="shared" si="0"/>
        <v>149.33360000000002</v>
      </c>
      <c r="AV10" s="366">
        <f>AS10*AU10</f>
        <v>5077.3424000000005</v>
      </c>
      <c r="AW10" s="366">
        <f>F10*AS10*$AW$2</f>
        <v>2570.3999999999996</v>
      </c>
      <c r="AX10" s="359"/>
      <c r="AY10" s="365">
        <v>143.59</v>
      </c>
      <c r="AZ10" s="203">
        <f t="shared" si="1"/>
        <v>149.33360000000002</v>
      </c>
    </row>
    <row r="11" spans="2:52" x14ac:dyDescent="0.2">
      <c r="C11" s="80" t="s">
        <v>520</v>
      </c>
      <c r="D11" s="363"/>
      <c r="E11" s="363"/>
      <c r="F11" s="361">
        <v>5.6</v>
      </c>
      <c r="G11" s="361"/>
      <c r="H11" s="360"/>
      <c r="I11" s="360"/>
      <c r="J11" s="360"/>
      <c r="K11" s="360"/>
      <c r="L11" s="360"/>
      <c r="M11" s="360"/>
      <c r="N11" s="360">
        <v>4</v>
      </c>
      <c r="O11" s="360"/>
      <c r="P11" s="360">
        <v>2</v>
      </c>
      <c r="Q11" s="360"/>
      <c r="R11" s="360">
        <v>2</v>
      </c>
      <c r="S11" s="360"/>
      <c r="T11" s="360">
        <v>2</v>
      </c>
      <c r="U11" s="360"/>
      <c r="V11" s="360">
        <v>2</v>
      </c>
      <c r="W11" s="360"/>
      <c r="X11" s="360">
        <v>2</v>
      </c>
      <c r="Y11" s="360"/>
      <c r="Z11" s="360">
        <v>2</v>
      </c>
      <c r="AA11" s="360"/>
      <c r="AB11" s="360">
        <v>2</v>
      </c>
      <c r="AC11" s="360"/>
      <c r="AD11" s="360">
        <v>2</v>
      </c>
      <c r="AE11" s="360"/>
      <c r="AF11" s="360">
        <v>2</v>
      </c>
      <c r="AG11" s="360"/>
      <c r="AH11" s="360">
        <v>3</v>
      </c>
      <c r="AI11" s="360"/>
      <c r="AJ11" s="360">
        <v>3</v>
      </c>
      <c r="AK11" s="360"/>
      <c r="AL11" s="360">
        <v>2</v>
      </c>
      <c r="AM11" s="360"/>
      <c r="AN11" s="360">
        <v>2</v>
      </c>
      <c r="AO11" s="360"/>
      <c r="AP11" s="360">
        <v>2</v>
      </c>
      <c r="AQ11" s="360"/>
      <c r="AR11" s="361"/>
      <c r="AS11" s="111">
        <f>SUM(G11:AR11)</f>
        <v>34</v>
      </c>
      <c r="AT11" s="365"/>
      <c r="AU11" s="365">
        <f t="shared" si="0"/>
        <v>135.69919999999999</v>
      </c>
      <c r="AV11" s="366">
        <f>AS11*AU11</f>
        <v>4613.7727999999997</v>
      </c>
      <c r="AW11" s="366">
        <f>F11*AS11*$AW$2</f>
        <v>2570.3999999999996</v>
      </c>
      <c r="AX11" s="359"/>
      <c r="AY11" s="365">
        <v>130.47999999999999</v>
      </c>
      <c r="AZ11" s="203">
        <f t="shared" si="1"/>
        <v>135.69919999999999</v>
      </c>
    </row>
    <row r="12" spans="2:52" x14ac:dyDescent="0.2">
      <c r="C12" s="80"/>
      <c r="D12" s="363"/>
      <c r="E12" s="363"/>
      <c r="F12" s="361"/>
      <c r="G12" s="361"/>
      <c r="H12" s="360"/>
      <c r="I12" s="360"/>
      <c r="J12" s="360"/>
      <c r="K12" s="360"/>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1"/>
      <c r="AS12" s="111"/>
      <c r="AT12" s="365"/>
      <c r="AU12" s="365"/>
      <c r="AV12" s="366"/>
      <c r="AW12" s="366"/>
      <c r="AX12" s="359"/>
      <c r="AY12" s="365"/>
      <c r="AZ12" s="203">
        <f t="shared" si="1"/>
        <v>0</v>
      </c>
    </row>
    <row r="13" spans="2:52" x14ac:dyDescent="0.2">
      <c r="C13" s="80" t="s">
        <v>519</v>
      </c>
      <c r="D13" s="363"/>
      <c r="E13" s="363"/>
      <c r="F13" s="361">
        <v>5.6</v>
      </c>
      <c r="G13" s="361"/>
      <c r="H13" s="360">
        <v>2</v>
      </c>
      <c r="I13" s="360"/>
      <c r="J13" s="360">
        <v>2</v>
      </c>
      <c r="K13" s="360"/>
      <c r="L13" s="360"/>
      <c r="M13" s="360"/>
      <c r="N13" s="360"/>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1"/>
      <c r="AS13" s="111">
        <f t="shared" ref="AS13:AS39" si="2">SUM(G13:AR13)</f>
        <v>4</v>
      </c>
      <c r="AT13" s="365"/>
      <c r="AU13" s="365">
        <f t="shared" si="0"/>
        <v>149.33360000000002</v>
      </c>
      <c r="AV13" s="366">
        <f t="shared" ref="AV13:AV39" si="3">AS13*AU13</f>
        <v>597.33440000000007</v>
      </c>
      <c r="AW13" s="366">
        <f t="shared" ref="AW13:AW39" si="4">F13*AS13*$AW$2</f>
        <v>302.39999999999998</v>
      </c>
      <c r="AX13" s="359"/>
      <c r="AY13" s="365">
        <v>143.59</v>
      </c>
      <c r="AZ13" s="203">
        <f t="shared" si="1"/>
        <v>149.33360000000002</v>
      </c>
    </row>
    <row r="14" spans="2:52" x14ac:dyDescent="0.2">
      <c r="C14" s="80" t="s">
        <v>557</v>
      </c>
      <c r="D14" s="363"/>
      <c r="E14" s="363"/>
      <c r="F14" s="361">
        <v>5.6</v>
      </c>
      <c r="G14" s="361"/>
      <c r="H14" s="360">
        <v>2</v>
      </c>
      <c r="I14" s="360"/>
      <c r="J14" s="360">
        <v>2</v>
      </c>
      <c r="K14" s="360"/>
      <c r="L14" s="360"/>
      <c r="M14" s="360"/>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1"/>
      <c r="AS14" s="111">
        <f t="shared" si="2"/>
        <v>4</v>
      </c>
      <c r="AT14" s="365"/>
      <c r="AU14" s="365">
        <f t="shared" si="0"/>
        <v>195.08320000000003</v>
      </c>
      <c r="AV14" s="366">
        <f t="shared" si="3"/>
        <v>780.33280000000013</v>
      </c>
      <c r="AW14" s="366">
        <f t="shared" si="4"/>
        <v>302.39999999999998</v>
      </c>
      <c r="AX14" s="366"/>
      <c r="AY14" s="365">
        <v>187.58</v>
      </c>
      <c r="AZ14" s="203">
        <f t="shared" si="1"/>
        <v>195.08320000000003</v>
      </c>
    </row>
    <row r="15" spans="2:52" x14ac:dyDescent="0.2">
      <c r="C15" s="80" t="s">
        <v>518</v>
      </c>
      <c r="D15" s="363"/>
      <c r="E15" s="363"/>
      <c r="F15" s="361">
        <v>5.6</v>
      </c>
      <c r="G15" s="361"/>
      <c r="H15" s="360">
        <v>0.5</v>
      </c>
      <c r="I15" s="360"/>
      <c r="J15" s="360">
        <v>0.5</v>
      </c>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1"/>
      <c r="AS15" s="111">
        <f t="shared" si="2"/>
        <v>1</v>
      </c>
      <c r="AT15" s="365"/>
      <c r="AU15" s="365">
        <f t="shared" si="0"/>
        <v>115.99120000000001</v>
      </c>
      <c r="AV15" s="366">
        <f t="shared" si="3"/>
        <v>115.99120000000001</v>
      </c>
      <c r="AW15" s="366">
        <f t="shared" si="4"/>
        <v>75.599999999999994</v>
      </c>
      <c r="AX15" s="359"/>
      <c r="AY15" s="365">
        <v>111.53</v>
      </c>
      <c r="AZ15" s="203">
        <f t="shared" si="1"/>
        <v>115.99120000000001</v>
      </c>
    </row>
    <row r="16" spans="2:52" x14ac:dyDescent="0.2">
      <c r="C16" s="80" t="s">
        <v>558</v>
      </c>
      <c r="D16" s="363"/>
      <c r="E16" s="363"/>
      <c r="F16" s="361">
        <v>5.6</v>
      </c>
      <c r="G16" s="361"/>
      <c r="H16" s="360">
        <v>0.5</v>
      </c>
      <c r="I16" s="360"/>
      <c r="J16" s="360">
        <v>0.5</v>
      </c>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1"/>
      <c r="AS16" s="111">
        <f t="shared" si="2"/>
        <v>1</v>
      </c>
      <c r="AT16" s="365"/>
      <c r="AU16" s="365">
        <f t="shared" si="0"/>
        <v>153.2336</v>
      </c>
      <c r="AV16" s="366">
        <f t="shared" si="3"/>
        <v>153.2336</v>
      </c>
      <c r="AW16" s="366">
        <f t="shared" si="4"/>
        <v>75.599999999999994</v>
      </c>
      <c r="AX16" s="359"/>
      <c r="AY16" s="365">
        <v>147.34</v>
      </c>
      <c r="AZ16" s="203">
        <f t="shared" si="1"/>
        <v>153.2336</v>
      </c>
    </row>
    <row r="17" spans="1:52" x14ac:dyDescent="0.2">
      <c r="A17" s="72"/>
      <c r="C17" s="363" t="s">
        <v>559</v>
      </c>
      <c r="D17" s="363"/>
      <c r="E17" s="363"/>
      <c r="F17" s="361">
        <v>5.6</v>
      </c>
      <c r="G17" s="361"/>
      <c r="H17" s="361">
        <v>0.5</v>
      </c>
      <c r="I17" s="361"/>
      <c r="J17" s="361">
        <v>0.5</v>
      </c>
      <c r="K17" s="360"/>
      <c r="L17" s="360"/>
      <c r="M17" s="360"/>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111">
        <f t="shared" si="2"/>
        <v>1</v>
      </c>
      <c r="AT17" s="365"/>
      <c r="AU17" s="365">
        <f t="shared" si="0"/>
        <v>26.52</v>
      </c>
      <c r="AV17" s="366">
        <f t="shared" si="3"/>
        <v>26.52</v>
      </c>
      <c r="AW17" s="366">
        <f t="shared" si="4"/>
        <v>75.599999999999994</v>
      </c>
      <c r="AX17" s="359"/>
      <c r="AY17" s="365">
        <v>25.5</v>
      </c>
      <c r="AZ17" s="203">
        <f t="shared" si="1"/>
        <v>26.52</v>
      </c>
    </row>
    <row r="18" spans="1:52" x14ac:dyDescent="0.2">
      <c r="A18" s="72"/>
      <c r="C18" s="363"/>
      <c r="D18" s="363"/>
      <c r="E18" s="363"/>
      <c r="F18" s="361"/>
      <c r="G18" s="361"/>
      <c r="H18" s="361"/>
      <c r="I18" s="361"/>
      <c r="J18" s="361"/>
      <c r="K18" s="360"/>
      <c r="L18" s="360"/>
      <c r="M18" s="360"/>
      <c r="N18" s="361"/>
      <c r="O18" s="361"/>
      <c r="P18" s="361"/>
      <c r="Q18" s="361"/>
      <c r="R18" s="361"/>
      <c r="S18" s="361"/>
      <c r="T18" s="361"/>
      <c r="U18" s="361"/>
      <c r="V18" s="361"/>
      <c r="W18" s="361"/>
      <c r="X18" s="361"/>
      <c r="Y18" s="361"/>
      <c r="Z18" s="361"/>
      <c r="AA18" s="361"/>
      <c r="AB18" s="361"/>
      <c r="AC18" s="361"/>
      <c r="AD18" s="361"/>
      <c r="AE18" s="361"/>
      <c r="AF18" s="361"/>
      <c r="AG18" s="361"/>
      <c r="AH18" s="361"/>
      <c r="AI18" s="361"/>
      <c r="AJ18" s="361"/>
      <c r="AK18" s="361"/>
      <c r="AL18" s="361"/>
      <c r="AM18" s="361"/>
      <c r="AN18" s="361"/>
      <c r="AO18" s="361"/>
      <c r="AP18" s="361"/>
      <c r="AQ18" s="361"/>
      <c r="AR18" s="361"/>
      <c r="AS18" s="111"/>
      <c r="AT18" s="365"/>
      <c r="AU18" s="365"/>
      <c r="AV18" s="366"/>
      <c r="AW18" s="366"/>
      <c r="AX18" s="359"/>
      <c r="AY18" s="365"/>
      <c r="AZ18" s="203"/>
    </row>
    <row r="19" spans="1:52" x14ac:dyDescent="0.2">
      <c r="A19" s="72"/>
      <c r="C19" s="363" t="s">
        <v>570</v>
      </c>
      <c r="D19" s="363"/>
      <c r="E19" s="363"/>
      <c r="F19" s="361">
        <v>5.0999999999999996</v>
      </c>
      <c r="G19" s="361"/>
      <c r="H19" s="361"/>
      <c r="I19" s="361"/>
      <c r="J19" s="361"/>
      <c r="K19" s="360"/>
      <c r="L19" s="360">
        <v>2</v>
      </c>
      <c r="M19" s="360"/>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61"/>
      <c r="AQ19" s="361"/>
      <c r="AR19" s="361"/>
      <c r="AS19" s="111">
        <f t="shared" si="2"/>
        <v>2</v>
      </c>
      <c r="AT19" s="365"/>
      <c r="AU19" s="365">
        <f t="shared" si="0"/>
        <v>253.48960000000002</v>
      </c>
      <c r="AV19" s="366">
        <f t="shared" si="3"/>
        <v>506.97920000000005</v>
      </c>
      <c r="AW19" s="366">
        <f t="shared" si="4"/>
        <v>137.69999999999999</v>
      </c>
      <c r="AX19" s="359"/>
      <c r="AY19" s="365">
        <v>243.74</v>
      </c>
      <c r="AZ19" s="203">
        <f t="shared" si="1"/>
        <v>253.48960000000002</v>
      </c>
    </row>
    <row r="20" spans="1:52" x14ac:dyDescent="0.2">
      <c r="A20" s="72"/>
      <c r="C20" s="363" t="s">
        <v>571</v>
      </c>
      <c r="D20" s="363"/>
      <c r="E20" s="363"/>
      <c r="F20" s="361">
        <v>5.6</v>
      </c>
      <c r="G20" s="361"/>
      <c r="H20" s="361"/>
      <c r="I20" s="361"/>
      <c r="J20" s="361"/>
      <c r="K20" s="360"/>
      <c r="L20" s="360">
        <v>2</v>
      </c>
      <c r="M20" s="360"/>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1"/>
      <c r="AK20" s="361"/>
      <c r="AL20" s="361"/>
      <c r="AM20" s="361"/>
      <c r="AN20" s="361"/>
      <c r="AO20" s="361"/>
      <c r="AP20" s="361"/>
      <c r="AQ20" s="361"/>
      <c r="AR20" s="361"/>
      <c r="AS20" s="111">
        <f t="shared" si="2"/>
        <v>2</v>
      </c>
      <c r="AT20" s="365"/>
      <c r="AU20" s="365">
        <f t="shared" si="0"/>
        <v>102.07600000000001</v>
      </c>
      <c r="AV20" s="366">
        <f t="shared" si="3"/>
        <v>204.15200000000002</v>
      </c>
      <c r="AW20" s="366">
        <f t="shared" si="4"/>
        <v>151.19999999999999</v>
      </c>
      <c r="AX20" s="359"/>
      <c r="AY20" s="365">
        <v>98.15</v>
      </c>
      <c r="AZ20" s="203">
        <f t="shared" si="1"/>
        <v>102.07600000000001</v>
      </c>
    </row>
    <row r="21" spans="1:52" x14ac:dyDescent="0.2">
      <c r="A21" s="72"/>
      <c r="C21" s="363" t="s">
        <v>572</v>
      </c>
      <c r="D21" s="363"/>
      <c r="E21" s="363"/>
      <c r="F21" s="361">
        <v>5.0999999999999996</v>
      </c>
      <c r="G21" s="361"/>
      <c r="H21" s="361"/>
      <c r="I21" s="361"/>
      <c r="J21" s="361"/>
      <c r="K21" s="360"/>
      <c r="L21" s="360">
        <v>2</v>
      </c>
      <c r="M21" s="360"/>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61"/>
      <c r="AK21" s="361"/>
      <c r="AL21" s="361"/>
      <c r="AM21" s="361"/>
      <c r="AN21" s="361"/>
      <c r="AO21" s="361"/>
      <c r="AP21" s="361"/>
      <c r="AQ21" s="361"/>
      <c r="AR21" s="361"/>
      <c r="AS21" s="111">
        <f t="shared" si="2"/>
        <v>2</v>
      </c>
      <c r="AT21" s="365"/>
      <c r="AU21" s="365">
        <f t="shared" si="0"/>
        <v>469.7056</v>
      </c>
      <c r="AV21" s="366">
        <f t="shared" si="3"/>
        <v>939.41120000000001</v>
      </c>
      <c r="AW21" s="366">
        <f t="shared" si="4"/>
        <v>137.69999999999999</v>
      </c>
      <c r="AX21" s="359"/>
      <c r="AY21" s="365">
        <v>451.64</v>
      </c>
      <c r="AZ21" s="203">
        <f t="shared" si="1"/>
        <v>469.7056</v>
      </c>
    </row>
    <row r="22" spans="1:52" x14ac:dyDescent="0.2">
      <c r="A22" s="72"/>
      <c r="C22" s="363" t="s">
        <v>573</v>
      </c>
      <c r="D22" s="363"/>
      <c r="E22" s="363"/>
      <c r="F22" s="361">
        <v>5.0999999999999996</v>
      </c>
      <c r="G22" s="361"/>
      <c r="H22" s="361"/>
      <c r="I22" s="361"/>
      <c r="J22" s="361"/>
      <c r="K22" s="360"/>
      <c r="L22" s="360">
        <v>2</v>
      </c>
      <c r="M22" s="360"/>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61"/>
      <c r="AK22" s="361"/>
      <c r="AL22" s="361"/>
      <c r="AM22" s="361"/>
      <c r="AN22" s="361"/>
      <c r="AO22" s="361"/>
      <c r="AP22" s="361"/>
      <c r="AQ22" s="361"/>
      <c r="AR22" s="361"/>
      <c r="AS22" s="111">
        <f t="shared" si="2"/>
        <v>2</v>
      </c>
      <c r="AT22" s="365"/>
      <c r="AU22" s="365">
        <f t="shared" si="0"/>
        <v>122.59520000000001</v>
      </c>
      <c r="AV22" s="366">
        <f t="shared" si="3"/>
        <v>245.19040000000001</v>
      </c>
      <c r="AW22" s="366">
        <f t="shared" si="4"/>
        <v>137.69999999999999</v>
      </c>
      <c r="AX22" s="359"/>
      <c r="AY22" s="365">
        <v>117.88</v>
      </c>
      <c r="AZ22" s="203">
        <f t="shared" si="1"/>
        <v>122.59520000000001</v>
      </c>
    </row>
    <row r="23" spans="1:52" x14ac:dyDescent="0.2">
      <c r="A23" s="72"/>
      <c r="C23" s="363"/>
      <c r="D23" s="363"/>
      <c r="E23" s="363"/>
      <c r="F23" s="361"/>
      <c r="G23" s="361"/>
      <c r="H23" s="361"/>
      <c r="I23" s="361"/>
      <c r="J23" s="361"/>
      <c r="K23" s="360"/>
      <c r="L23" s="360"/>
      <c r="M23" s="360"/>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61"/>
      <c r="AK23" s="361"/>
      <c r="AL23" s="361"/>
      <c r="AM23" s="361"/>
      <c r="AN23" s="361"/>
      <c r="AO23" s="361"/>
      <c r="AP23" s="361"/>
      <c r="AQ23" s="361"/>
      <c r="AR23" s="361"/>
      <c r="AS23" s="111"/>
      <c r="AT23" s="365"/>
      <c r="AU23" s="365"/>
      <c r="AV23" s="366"/>
      <c r="AW23" s="366"/>
      <c r="AX23" s="359"/>
      <c r="AY23" s="365"/>
      <c r="AZ23" s="203"/>
    </row>
    <row r="24" spans="1:52" x14ac:dyDescent="0.2">
      <c r="A24" s="72"/>
      <c r="C24" s="363" t="s">
        <v>575</v>
      </c>
      <c r="D24" s="363"/>
      <c r="E24" s="363"/>
      <c r="F24" s="361">
        <v>5.6</v>
      </c>
      <c r="G24" s="361"/>
      <c r="H24" s="361"/>
      <c r="I24" s="361"/>
      <c r="J24" s="361"/>
      <c r="K24" s="360"/>
      <c r="L24" s="360">
        <v>0.5</v>
      </c>
      <c r="M24" s="360"/>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111">
        <f t="shared" si="2"/>
        <v>0.5</v>
      </c>
      <c r="AT24" s="365"/>
      <c r="AU24" s="365">
        <f t="shared" si="0"/>
        <v>208.72800000000001</v>
      </c>
      <c r="AV24" s="366">
        <f t="shared" si="3"/>
        <v>104.364</v>
      </c>
      <c r="AW24" s="366">
        <f t="shared" si="4"/>
        <v>37.799999999999997</v>
      </c>
      <c r="AX24" s="359"/>
      <c r="AY24" s="365">
        <v>200.7</v>
      </c>
      <c r="AZ24" s="203">
        <f t="shared" si="1"/>
        <v>208.72800000000001</v>
      </c>
    </row>
    <row r="25" spans="1:52" x14ac:dyDescent="0.2">
      <c r="A25" s="72"/>
      <c r="C25" s="363" t="s">
        <v>559</v>
      </c>
      <c r="D25" s="363"/>
      <c r="E25" s="363"/>
      <c r="F25" s="361">
        <v>5.6</v>
      </c>
      <c r="G25" s="361"/>
      <c r="H25" s="361"/>
      <c r="I25" s="361"/>
      <c r="J25" s="361"/>
      <c r="K25" s="360"/>
      <c r="L25" s="360">
        <v>0.5</v>
      </c>
      <c r="M25" s="360"/>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361"/>
      <c r="AP25" s="361"/>
      <c r="AQ25" s="361"/>
      <c r="AR25" s="361"/>
      <c r="AS25" s="111">
        <f t="shared" si="2"/>
        <v>0.5</v>
      </c>
      <c r="AT25" s="365"/>
      <c r="AU25" s="365">
        <f t="shared" si="0"/>
        <v>26.52</v>
      </c>
      <c r="AV25" s="366">
        <f t="shared" si="3"/>
        <v>13.26</v>
      </c>
      <c r="AW25" s="366">
        <f t="shared" si="4"/>
        <v>37.799999999999997</v>
      </c>
      <c r="AX25" s="359"/>
      <c r="AY25" s="365">
        <v>25.5</v>
      </c>
      <c r="AZ25" s="203">
        <f t="shared" si="1"/>
        <v>26.52</v>
      </c>
    </row>
    <row r="26" spans="1:52" x14ac:dyDescent="0.2">
      <c r="A26" s="72"/>
      <c r="C26" s="363" t="s">
        <v>574</v>
      </c>
      <c r="D26" s="363"/>
      <c r="E26" s="363"/>
      <c r="F26" s="361">
        <v>5.6</v>
      </c>
      <c r="G26" s="361"/>
      <c r="H26" s="361"/>
      <c r="I26" s="361"/>
      <c r="J26" s="361"/>
      <c r="K26" s="360"/>
      <c r="L26" s="360">
        <v>4</v>
      </c>
      <c r="M26" s="360"/>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61"/>
      <c r="AQ26" s="361"/>
      <c r="AR26" s="361"/>
      <c r="AS26" s="111">
        <f t="shared" si="2"/>
        <v>4</v>
      </c>
      <c r="AT26" s="365"/>
      <c r="AU26" s="365">
        <f t="shared" si="0"/>
        <v>219.98080000000002</v>
      </c>
      <c r="AV26" s="366">
        <f t="shared" si="3"/>
        <v>879.92320000000007</v>
      </c>
      <c r="AW26" s="366">
        <f t="shared" si="4"/>
        <v>302.39999999999998</v>
      </c>
      <c r="AX26" s="359"/>
      <c r="AY26" s="365">
        <v>211.52</v>
      </c>
      <c r="AZ26" s="203">
        <f t="shared" si="1"/>
        <v>219.98080000000002</v>
      </c>
    </row>
    <row r="27" spans="1:52" x14ac:dyDescent="0.2">
      <c r="A27" s="72"/>
      <c r="C27" s="363"/>
      <c r="D27" s="363"/>
      <c r="E27" s="363"/>
      <c r="F27" s="361"/>
      <c r="G27" s="361"/>
      <c r="H27" s="361"/>
      <c r="I27" s="361"/>
      <c r="J27" s="361"/>
      <c r="K27" s="360"/>
      <c r="L27" s="360"/>
      <c r="M27" s="360"/>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111"/>
      <c r="AT27" s="365"/>
      <c r="AU27" s="365"/>
      <c r="AV27" s="366"/>
      <c r="AW27" s="366"/>
      <c r="AX27" s="359"/>
      <c r="AY27" s="365"/>
      <c r="AZ27" s="203"/>
    </row>
    <row r="28" spans="1:52" x14ac:dyDescent="0.2">
      <c r="A28" s="72"/>
      <c r="C28" s="363"/>
      <c r="D28" s="363"/>
      <c r="E28" s="363"/>
      <c r="F28" s="361"/>
      <c r="G28" s="361"/>
      <c r="H28" s="361"/>
      <c r="I28" s="361"/>
      <c r="J28" s="361"/>
      <c r="K28" s="360"/>
      <c r="L28" s="360"/>
      <c r="M28" s="360"/>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361"/>
      <c r="AP28" s="361"/>
      <c r="AQ28" s="361"/>
      <c r="AR28" s="361"/>
      <c r="AS28" s="111"/>
      <c r="AT28" s="365"/>
      <c r="AU28" s="365"/>
      <c r="AV28" s="366"/>
      <c r="AW28" s="366"/>
      <c r="AX28" s="359"/>
      <c r="AY28" s="365"/>
      <c r="AZ28" s="203"/>
    </row>
    <row r="29" spans="1:52" x14ac:dyDescent="0.2">
      <c r="A29" s="72"/>
      <c r="C29" s="363" t="s">
        <v>560</v>
      </c>
      <c r="D29" s="363"/>
      <c r="E29" s="363"/>
      <c r="F29" s="361"/>
      <c r="G29" s="361"/>
      <c r="H29" s="361"/>
      <c r="I29" s="361"/>
      <c r="J29" s="361"/>
      <c r="K29" s="360"/>
      <c r="L29" s="360"/>
      <c r="M29" s="360"/>
      <c r="N29" s="361"/>
      <c r="O29" s="361"/>
      <c r="P29" s="361"/>
      <c r="Q29" s="361"/>
      <c r="R29" s="361"/>
      <c r="S29" s="361"/>
      <c r="T29" s="361"/>
      <c r="U29" s="361"/>
      <c r="V29" s="361"/>
      <c r="W29" s="361"/>
      <c r="X29" s="361"/>
      <c r="Y29" s="361"/>
      <c r="Z29" s="361"/>
      <c r="AA29" s="361"/>
      <c r="AB29" s="361"/>
      <c r="AC29" s="361"/>
      <c r="AD29" s="361"/>
      <c r="AE29" s="361"/>
      <c r="AF29" s="361"/>
      <c r="AG29" s="361"/>
      <c r="AH29" s="361"/>
      <c r="AI29" s="361"/>
      <c r="AJ29" s="361"/>
      <c r="AK29" s="361"/>
      <c r="AL29" s="361"/>
      <c r="AM29" s="361"/>
      <c r="AN29" s="361"/>
      <c r="AO29" s="361"/>
      <c r="AP29" s="361"/>
      <c r="AQ29" s="361"/>
      <c r="AR29" s="361"/>
      <c r="AS29" s="111"/>
      <c r="AT29" s="365"/>
      <c r="AU29" s="365"/>
      <c r="AV29" s="366"/>
      <c r="AW29" s="366"/>
      <c r="AX29" s="359"/>
      <c r="AY29" s="365"/>
      <c r="AZ29" s="203"/>
    </row>
    <row r="30" spans="1:52" x14ac:dyDescent="0.2">
      <c r="A30" s="72"/>
      <c r="C30" s="363"/>
      <c r="D30" s="363"/>
      <c r="E30" s="363"/>
      <c r="F30" s="361"/>
      <c r="G30" s="361"/>
      <c r="H30" s="361"/>
      <c r="I30" s="361"/>
      <c r="J30" s="361"/>
      <c r="K30" s="360"/>
      <c r="L30" s="360"/>
      <c r="M30" s="360"/>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61"/>
      <c r="AK30" s="361"/>
      <c r="AL30" s="361"/>
      <c r="AM30" s="361"/>
      <c r="AN30" s="361"/>
      <c r="AO30" s="361"/>
      <c r="AP30" s="361"/>
      <c r="AQ30" s="361"/>
      <c r="AR30" s="361"/>
      <c r="AS30" s="111"/>
      <c r="AT30" s="365"/>
      <c r="AU30" s="365"/>
      <c r="AV30" s="366"/>
      <c r="AW30" s="366"/>
      <c r="AX30" s="359"/>
      <c r="AY30" s="365"/>
      <c r="AZ30" s="203"/>
    </row>
    <row r="31" spans="1:52" x14ac:dyDescent="0.2">
      <c r="A31" s="72"/>
      <c r="C31" s="370" t="s">
        <v>561</v>
      </c>
      <c r="D31" s="370"/>
      <c r="E31" s="370"/>
      <c r="F31" s="359">
        <v>5.6</v>
      </c>
      <c r="G31" s="359"/>
      <c r="H31" s="361"/>
      <c r="I31" s="361"/>
      <c r="J31" s="361"/>
      <c r="K31" s="360"/>
      <c r="L31" s="360">
        <v>1</v>
      </c>
      <c r="M31" s="360"/>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361"/>
      <c r="AP31" s="361"/>
      <c r="AQ31" s="361"/>
      <c r="AR31" s="361"/>
      <c r="AS31" s="111">
        <f t="shared" si="2"/>
        <v>1</v>
      </c>
      <c r="AT31" s="365"/>
      <c r="AU31" s="365">
        <f t="shared" si="0"/>
        <v>118.8824</v>
      </c>
      <c r="AV31" s="366">
        <f t="shared" si="3"/>
        <v>118.8824</v>
      </c>
      <c r="AW31" s="366">
        <f t="shared" si="4"/>
        <v>75.599999999999994</v>
      </c>
      <c r="AX31" s="366"/>
      <c r="AY31" s="365">
        <v>114.31</v>
      </c>
      <c r="AZ31" s="203">
        <f t="shared" si="1"/>
        <v>118.8824</v>
      </c>
    </row>
    <row r="32" spans="1:52" x14ac:dyDescent="0.2">
      <c r="A32" s="72"/>
      <c r="C32" s="370" t="s">
        <v>562</v>
      </c>
      <c r="D32" s="370"/>
      <c r="E32" s="370"/>
      <c r="F32" s="359">
        <v>5.6</v>
      </c>
      <c r="G32" s="359"/>
      <c r="H32" s="361"/>
      <c r="I32" s="361"/>
      <c r="J32" s="361"/>
      <c r="K32" s="360"/>
      <c r="L32" s="360">
        <v>2</v>
      </c>
      <c r="M32" s="360"/>
      <c r="N32" s="361"/>
      <c r="O32" s="361"/>
      <c r="P32" s="361"/>
      <c r="Q32" s="361"/>
      <c r="R32" s="361"/>
      <c r="S32" s="361"/>
      <c r="T32" s="361"/>
      <c r="U32" s="361"/>
      <c r="V32" s="361"/>
      <c r="W32" s="361"/>
      <c r="X32" s="361"/>
      <c r="Y32" s="361"/>
      <c r="Z32" s="361"/>
      <c r="AA32" s="361"/>
      <c r="AB32" s="361"/>
      <c r="AC32" s="361"/>
      <c r="AD32" s="361"/>
      <c r="AE32" s="361"/>
      <c r="AF32" s="361"/>
      <c r="AG32" s="361"/>
      <c r="AH32" s="361"/>
      <c r="AI32" s="361"/>
      <c r="AJ32" s="361"/>
      <c r="AK32" s="361"/>
      <c r="AL32" s="361"/>
      <c r="AM32" s="361"/>
      <c r="AN32" s="361"/>
      <c r="AO32" s="361"/>
      <c r="AP32" s="361"/>
      <c r="AQ32" s="361"/>
      <c r="AR32" s="361"/>
      <c r="AS32" s="111">
        <f t="shared" si="2"/>
        <v>2</v>
      </c>
      <c r="AT32" s="365"/>
      <c r="AU32" s="365">
        <f t="shared" si="0"/>
        <v>32.3752</v>
      </c>
      <c r="AV32" s="366">
        <f t="shared" si="3"/>
        <v>64.750399999999999</v>
      </c>
      <c r="AW32" s="366">
        <f t="shared" si="4"/>
        <v>151.19999999999999</v>
      </c>
      <c r="AX32" s="366"/>
      <c r="AY32" s="365">
        <v>31.13</v>
      </c>
      <c r="AZ32" s="203">
        <f t="shared" si="1"/>
        <v>32.3752</v>
      </c>
    </row>
    <row r="33" spans="1:52" x14ac:dyDescent="0.2">
      <c r="A33" s="72"/>
      <c r="C33" s="370" t="s">
        <v>563</v>
      </c>
      <c r="D33" s="370"/>
      <c r="E33" s="370"/>
      <c r="F33" s="359">
        <v>5.6</v>
      </c>
      <c r="G33" s="359"/>
      <c r="H33" s="361"/>
      <c r="I33" s="361"/>
      <c r="J33" s="361"/>
      <c r="K33" s="360"/>
      <c r="L33" s="360">
        <v>1</v>
      </c>
      <c r="M33" s="360"/>
      <c r="N33" s="361"/>
      <c r="O33" s="361"/>
      <c r="P33" s="361"/>
      <c r="Q33" s="361"/>
      <c r="R33" s="361"/>
      <c r="S33" s="361"/>
      <c r="T33" s="361"/>
      <c r="U33" s="361"/>
      <c r="V33" s="361"/>
      <c r="W33" s="361"/>
      <c r="X33" s="361"/>
      <c r="Y33" s="361"/>
      <c r="Z33" s="361"/>
      <c r="AA33" s="361"/>
      <c r="AB33" s="361"/>
      <c r="AC33" s="361"/>
      <c r="AD33" s="361"/>
      <c r="AE33" s="361"/>
      <c r="AF33" s="361"/>
      <c r="AG33" s="361"/>
      <c r="AH33" s="361"/>
      <c r="AI33" s="361"/>
      <c r="AJ33" s="361"/>
      <c r="AK33" s="361"/>
      <c r="AL33" s="361"/>
      <c r="AM33" s="361"/>
      <c r="AN33" s="361"/>
      <c r="AO33" s="361"/>
      <c r="AP33" s="361"/>
      <c r="AQ33" s="361"/>
      <c r="AR33" s="361"/>
      <c r="AS33" s="111">
        <f t="shared" si="2"/>
        <v>1</v>
      </c>
      <c r="AT33" s="365"/>
      <c r="AU33" s="365">
        <f t="shared" si="0"/>
        <v>216.14320000000001</v>
      </c>
      <c r="AV33" s="366">
        <f t="shared" si="3"/>
        <v>216.14320000000001</v>
      </c>
      <c r="AW33" s="366">
        <f t="shared" si="4"/>
        <v>75.599999999999994</v>
      </c>
      <c r="AX33" s="366"/>
      <c r="AY33" s="365">
        <v>207.83</v>
      </c>
      <c r="AZ33" s="203">
        <f t="shared" si="1"/>
        <v>216.14320000000001</v>
      </c>
    </row>
    <row r="34" spans="1:52" x14ac:dyDescent="0.2">
      <c r="A34" s="72"/>
      <c r="C34" s="370" t="s">
        <v>564</v>
      </c>
      <c r="D34" s="370"/>
      <c r="E34" s="370"/>
      <c r="F34" s="359">
        <v>5.6</v>
      </c>
      <c r="G34" s="359"/>
      <c r="H34" s="361"/>
      <c r="I34" s="361"/>
      <c r="J34" s="361"/>
      <c r="K34" s="360"/>
      <c r="L34" s="360">
        <v>8</v>
      </c>
      <c r="M34" s="360"/>
      <c r="N34" s="361"/>
      <c r="O34" s="361"/>
      <c r="P34" s="361"/>
      <c r="Q34" s="361"/>
      <c r="R34" s="361"/>
      <c r="S34" s="361"/>
      <c r="T34" s="361"/>
      <c r="U34" s="361"/>
      <c r="V34" s="361"/>
      <c r="W34" s="361"/>
      <c r="X34" s="361"/>
      <c r="Y34" s="361"/>
      <c r="Z34" s="361"/>
      <c r="AA34" s="361"/>
      <c r="AB34" s="361"/>
      <c r="AC34" s="361"/>
      <c r="AD34" s="361"/>
      <c r="AE34" s="361"/>
      <c r="AF34" s="361"/>
      <c r="AG34" s="361"/>
      <c r="AH34" s="361"/>
      <c r="AI34" s="361"/>
      <c r="AJ34" s="361"/>
      <c r="AK34" s="361"/>
      <c r="AL34" s="361"/>
      <c r="AM34" s="361"/>
      <c r="AN34" s="361"/>
      <c r="AO34" s="361"/>
      <c r="AP34" s="361"/>
      <c r="AQ34" s="361"/>
      <c r="AR34" s="361"/>
      <c r="AS34" s="111">
        <f t="shared" si="2"/>
        <v>8</v>
      </c>
      <c r="AT34" s="365"/>
      <c r="AU34" s="365">
        <f t="shared" si="0"/>
        <v>221.70720000000003</v>
      </c>
      <c r="AV34" s="366">
        <f t="shared" si="3"/>
        <v>1773.6576000000002</v>
      </c>
      <c r="AW34" s="366">
        <f t="shared" si="4"/>
        <v>604.79999999999995</v>
      </c>
      <c r="AX34" s="366"/>
      <c r="AY34" s="365">
        <v>213.18</v>
      </c>
      <c r="AZ34" s="203">
        <f t="shared" si="1"/>
        <v>221.70720000000003</v>
      </c>
    </row>
    <row r="35" spans="1:52" x14ac:dyDescent="0.2">
      <c r="A35" s="72"/>
      <c r="C35" s="370" t="s">
        <v>565</v>
      </c>
      <c r="D35" s="370"/>
      <c r="E35" s="370"/>
      <c r="F35" s="359">
        <v>5.6</v>
      </c>
      <c r="G35" s="359"/>
      <c r="H35" s="361"/>
      <c r="I35" s="361"/>
      <c r="J35" s="361"/>
      <c r="K35" s="360"/>
      <c r="L35" s="360">
        <v>2</v>
      </c>
      <c r="M35" s="360"/>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111">
        <f t="shared" si="2"/>
        <v>2</v>
      </c>
      <c r="AT35" s="365"/>
      <c r="AU35" s="365">
        <f t="shared" si="0"/>
        <v>48.287199999999999</v>
      </c>
      <c r="AV35" s="366">
        <f t="shared" si="3"/>
        <v>96.574399999999997</v>
      </c>
      <c r="AW35" s="366">
        <f t="shared" si="4"/>
        <v>151.19999999999999</v>
      </c>
      <c r="AX35" s="366"/>
      <c r="AY35" s="365">
        <v>46.43</v>
      </c>
      <c r="AZ35" s="203">
        <f t="shared" si="1"/>
        <v>48.287199999999999</v>
      </c>
    </row>
    <row r="36" spans="1:52" x14ac:dyDescent="0.2">
      <c r="A36" s="72"/>
      <c r="C36" s="370" t="s">
        <v>566</v>
      </c>
      <c r="D36" s="370"/>
      <c r="E36" s="370"/>
      <c r="F36" s="359">
        <v>5.6</v>
      </c>
      <c r="G36" s="359"/>
      <c r="H36" s="361"/>
      <c r="I36" s="361"/>
      <c r="J36" s="361"/>
      <c r="K36" s="360"/>
      <c r="L36" s="360">
        <v>3</v>
      </c>
      <c r="M36" s="360"/>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1"/>
      <c r="AN36" s="361"/>
      <c r="AO36" s="361"/>
      <c r="AP36" s="361"/>
      <c r="AQ36" s="361"/>
      <c r="AR36" s="361"/>
      <c r="AS36" s="111">
        <f t="shared" si="2"/>
        <v>3</v>
      </c>
      <c r="AT36" s="365"/>
      <c r="AU36" s="365">
        <f t="shared" si="0"/>
        <v>28.5792</v>
      </c>
      <c r="AV36" s="366">
        <f t="shared" si="3"/>
        <v>85.7376</v>
      </c>
      <c r="AW36" s="366">
        <f t="shared" si="4"/>
        <v>226.79999999999995</v>
      </c>
      <c r="AX36" s="366"/>
      <c r="AY36" s="365">
        <v>27.48</v>
      </c>
      <c r="AZ36" s="203">
        <f t="shared" si="1"/>
        <v>28.5792</v>
      </c>
    </row>
    <row r="37" spans="1:52" x14ac:dyDescent="0.2">
      <c r="A37" s="72"/>
      <c r="C37" s="370" t="s">
        <v>567</v>
      </c>
      <c r="D37" s="370"/>
      <c r="E37" s="370"/>
      <c r="F37" s="394">
        <v>3</v>
      </c>
      <c r="G37" s="359"/>
      <c r="H37" s="361"/>
      <c r="I37" s="361"/>
      <c r="J37" s="361"/>
      <c r="K37" s="360"/>
      <c r="L37" s="360">
        <v>4</v>
      </c>
      <c r="M37" s="360"/>
      <c r="N37" s="361"/>
      <c r="O37" s="361"/>
      <c r="P37" s="361"/>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111">
        <f t="shared" si="2"/>
        <v>4</v>
      </c>
      <c r="AT37" s="365"/>
      <c r="AU37" s="365">
        <f t="shared" si="0"/>
        <v>27.092000000000002</v>
      </c>
      <c r="AV37" s="366">
        <f t="shared" si="3"/>
        <v>108.36800000000001</v>
      </c>
      <c r="AW37" s="366">
        <f t="shared" si="4"/>
        <v>162</v>
      </c>
      <c r="AX37" s="366"/>
      <c r="AY37" s="365">
        <v>26.05</v>
      </c>
      <c r="AZ37" s="203">
        <f t="shared" si="1"/>
        <v>27.092000000000002</v>
      </c>
    </row>
    <row r="38" spans="1:52" x14ac:dyDescent="0.2">
      <c r="A38" s="72"/>
      <c r="C38" s="370" t="s">
        <v>568</v>
      </c>
      <c r="D38" s="370"/>
      <c r="E38" s="370"/>
      <c r="F38" s="359">
        <v>5.6</v>
      </c>
      <c r="G38" s="359"/>
      <c r="H38" s="361"/>
      <c r="I38" s="361"/>
      <c r="J38" s="361"/>
      <c r="K38" s="360"/>
      <c r="L38" s="360">
        <v>1</v>
      </c>
      <c r="M38" s="360"/>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111">
        <f t="shared" si="2"/>
        <v>1</v>
      </c>
      <c r="AT38" s="365"/>
      <c r="AU38" s="365">
        <f t="shared" si="0"/>
        <v>35.162400000000005</v>
      </c>
      <c r="AV38" s="366">
        <f t="shared" si="3"/>
        <v>35.162400000000005</v>
      </c>
      <c r="AW38" s="366">
        <f t="shared" si="4"/>
        <v>75.599999999999994</v>
      </c>
      <c r="AX38" s="366"/>
      <c r="AY38" s="365">
        <v>33.81</v>
      </c>
      <c r="AZ38" s="203">
        <f t="shared" si="1"/>
        <v>35.162400000000005</v>
      </c>
    </row>
    <row r="39" spans="1:52" x14ac:dyDescent="0.2">
      <c r="A39" s="72"/>
      <c r="C39" s="370" t="s">
        <v>577</v>
      </c>
      <c r="D39" s="370"/>
      <c r="E39" s="370"/>
      <c r="F39" s="395">
        <v>3</v>
      </c>
      <c r="G39" s="359"/>
      <c r="H39" s="361"/>
      <c r="I39" s="361"/>
      <c r="J39" s="361"/>
      <c r="K39" s="360"/>
      <c r="L39" s="360">
        <v>2</v>
      </c>
      <c r="M39" s="360"/>
      <c r="N39" s="361"/>
      <c r="O39" s="361"/>
      <c r="P39" s="361"/>
      <c r="Q39" s="361"/>
      <c r="R39" s="361"/>
      <c r="S39" s="361"/>
      <c r="T39" s="361"/>
      <c r="U39" s="361"/>
      <c r="V39" s="361"/>
      <c r="W39" s="361"/>
      <c r="X39" s="361"/>
      <c r="Y39" s="361"/>
      <c r="Z39" s="361"/>
      <c r="AA39" s="361"/>
      <c r="AB39" s="361"/>
      <c r="AC39" s="361"/>
      <c r="AD39" s="361"/>
      <c r="AE39" s="361"/>
      <c r="AF39" s="361"/>
      <c r="AG39" s="361"/>
      <c r="AH39" s="361"/>
      <c r="AI39" s="361"/>
      <c r="AJ39" s="361"/>
      <c r="AK39" s="361"/>
      <c r="AL39" s="361"/>
      <c r="AM39" s="361"/>
      <c r="AN39" s="361"/>
      <c r="AO39" s="361"/>
      <c r="AP39" s="361"/>
      <c r="AQ39" s="361"/>
      <c r="AR39" s="361"/>
      <c r="AS39" s="111">
        <f t="shared" si="2"/>
        <v>2</v>
      </c>
      <c r="AT39" s="365"/>
      <c r="AU39" s="365">
        <f t="shared" si="0"/>
        <v>30.763199999999998</v>
      </c>
      <c r="AV39" s="366">
        <f t="shared" si="3"/>
        <v>61.526399999999995</v>
      </c>
      <c r="AW39" s="366">
        <f t="shared" si="4"/>
        <v>81</v>
      </c>
      <c r="AX39" s="366"/>
      <c r="AY39" s="365">
        <v>29.58</v>
      </c>
      <c r="AZ39" s="203">
        <f t="shared" si="1"/>
        <v>30.763199999999998</v>
      </c>
    </row>
    <row r="40" spans="1:52" x14ac:dyDescent="0.2">
      <c r="A40" s="72"/>
      <c r="C40" s="370"/>
      <c r="D40" s="370"/>
      <c r="E40" s="370"/>
      <c r="F40" s="359"/>
      <c r="G40" s="359"/>
      <c r="H40" s="361"/>
      <c r="I40" s="361"/>
      <c r="J40" s="361"/>
      <c r="K40" s="360"/>
      <c r="L40" s="360"/>
      <c r="M40" s="360"/>
      <c r="N40" s="361"/>
      <c r="O40" s="361"/>
      <c r="P40" s="361"/>
      <c r="Q40" s="361"/>
      <c r="R40" s="361"/>
      <c r="S40" s="361"/>
      <c r="T40" s="361"/>
      <c r="U40" s="361"/>
      <c r="V40" s="361"/>
      <c r="W40" s="361"/>
      <c r="X40" s="361"/>
      <c r="Y40" s="361"/>
      <c r="Z40" s="361"/>
      <c r="AA40" s="361"/>
      <c r="AB40" s="361"/>
      <c r="AC40" s="361"/>
      <c r="AD40" s="361"/>
      <c r="AE40" s="361"/>
      <c r="AF40" s="361"/>
      <c r="AG40" s="361"/>
      <c r="AH40" s="361"/>
      <c r="AI40" s="361"/>
      <c r="AJ40" s="361"/>
      <c r="AK40" s="361"/>
      <c r="AL40" s="361"/>
      <c r="AM40" s="361"/>
      <c r="AN40" s="361"/>
      <c r="AO40" s="361"/>
      <c r="AP40" s="361"/>
      <c r="AQ40" s="361"/>
      <c r="AR40" s="361"/>
      <c r="AS40" s="111"/>
      <c r="AT40" s="111"/>
      <c r="AU40" s="365"/>
      <c r="AV40" s="366"/>
      <c r="AW40" s="366"/>
      <c r="AX40" s="366"/>
    </row>
    <row r="41" spans="1:52" x14ac:dyDescent="0.2">
      <c r="C41" s="370"/>
      <c r="D41" s="370"/>
      <c r="E41" s="370"/>
      <c r="F41" s="359"/>
      <c r="G41" s="359"/>
      <c r="H41" s="361"/>
      <c r="I41" s="361"/>
      <c r="J41" s="361"/>
      <c r="K41" s="360"/>
      <c r="L41" s="360"/>
      <c r="M41" s="360"/>
      <c r="N41" s="361"/>
      <c r="O41" s="361"/>
      <c r="P41" s="361"/>
      <c r="Q41" s="361"/>
      <c r="R41" s="361"/>
      <c r="S41" s="361"/>
      <c r="T41" s="361"/>
      <c r="U41" s="361"/>
      <c r="V41" s="361"/>
      <c r="W41" s="361"/>
      <c r="X41" s="361"/>
      <c r="Y41" s="361"/>
      <c r="Z41" s="361"/>
      <c r="AA41" s="361"/>
      <c r="AB41" s="361"/>
      <c r="AC41" s="361"/>
      <c r="AD41" s="361"/>
      <c r="AE41" s="361"/>
      <c r="AF41" s="361"/>
      <c r="AG41" s="361"/>
      <c r="AH41" s="361"/>
      <c r="AI41" s="361"/>
      <c r="AJ41" s="361"/>
      <c r="AK41" s="361"/>
      <c r="AL41" s="361"/>
      <c r="AM41" s="361"/>
      <c r="AN41" s="361"/>
      <c r="AO41" s="361"/>
      <c r="AP41" s="361"/>
      <c r="AQ41" s="361"/>
      <c r="AR41" s="361"/>
      <c r="AS41" s="111"/>
      <c r="AT41" s="111"/>
      <c r="AU41" s="365"/>
      <c r="AV41" s="366"/>
      <c r="AW41" s="366"/>
      <c r="AX41" s="359"/>
    </row>
    <row r="42" spans="1:52" x14ac:dyDescent="0.2">
      <c r="C42" s="363" t="s">
        <v>503</v>
      </c>
      <c r="D42" s="363"/>
      <c r="E42" s="363"/>
      <c r="F42" s="363"/>
      <c r="G42" s="363"/>
      <c r="H42" s="361"/>
      <c r="I42" s="361"/>
      <c r="J42" s="361"/>
      <c r="K42" s="360"/>
      <c r="L42" s="360"/>
      <c r="M42" s="360"/>
      <c r="N42" s="361"/>
      <c r="O42" s="361"/>
      <c r="P42" s="361"/>
      <c r="Q42" s="361"/>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111"/>
      <c r="AT42" s="369"/>
      <c r="AU42" s="372"/>
      <c r="AV42" s="373"/>
      <c r="AW42" s="373"/>
      <c r="AX42" s="359"/>
    </row>
    <row r="43" spans="1:52" x14ac:dyDescent="0.2">
      <c r="C43" s="363"/>
      <c r="D43" s="363"/>
      <c r="E43" s="363"/>
      <c r="F43" s="363"/>
      <c r="G43" s="363"/>
      <c r="H43" s="361"/>
      <c r="I43" s="361"/>
      <c r="J43" s="361"/>
      <c r="K43" s="360"/>
      <c r="L43" s="360"/>
      <c r="M43" s="360"/>
      <c r="N43" s="361"/>
      <c r="O43" s="361"/>
      <c r="P43" s="361"/>
      <c r="Q43" s="361"/>
      <c r="R43" s="361"/>
      <c r="S43" s="361"/>
      <c r="T43" s="361"/>
      <c r="U43" s="361"/>
      <c r="V43" s="361"/>
      <c r="W43" s="361"/>
      <c r="X43" s="361"/>
      <c r="Y43" s="361"/>
      <c r="Z43" s="361"/>
      <c r="AA43" s="361"/>
      <c r="AB43" s="361"/>
      <c r="AC43" s="361"/>
      <c r="AD43" s="361"/>
      <c r="AE43" s="361"/>
      <c r="AF43" s="361"/>
      <c r="AG43" s="361"/>
      <c r="AH43" s="361"/>
      <c r="AI43" s="361"/>
      <c r="AJ43" s="361"/>
      <c r="AK43" s="361"/>
      <c r="AL43" s="361"/>
      <c r="AM43" s="361"/>
      <c r="AN43" s="361"/>
      <c r="AO43" s="361"/>
      <c r="AP43" s="361"/>
      <c r="AQ43" s="361"/>
      <c r="AR43" s="361"/>
      <c r="AS43" s="369"/>
      <c r="AT43" s="369"/>
      <c r="AU43" s="372"/>
      <c r="AV43" s="373"/>
      <c r="AW43" s="373"/>
      <c r="AX43" s="359"/>
    </row>
    <row r="44" spans="1:52" x14ac:dyDescent="0.2">
      <c r="C44" s="80" t="s">
        <v>504</v>
      </c>
      <c r="D44" s="363"/>
      <c r="E44" s="363"/>
      <c r="F44" s="363"/>
      <c r="G44" s="363"/>
      <c r="H44" s="361"/>
      <c r="I44" s="361"/>
      <c r="J44" s="361"/>
      <c r="K44" s="360"/>
      <c r="L44" s="360"/>
      <c r="M44" s="360"/>
      <c r="N44" s="361"/>
      <c r="O44" s="361"/>
      <c r="P44" s="361"/>
      <c r="Q44" s="361"/>
      <c r="R44" s="361"/>
      <c r="S44" s="361"/>
      <c r="T44" s="361"/>
      <c r="U44" s="361"/>
      <c r="V44" s="361"/>
      <c r="W44" s="361"/>
      <c r="X44" s="361"/>
      <c r="Y44" s="361"/>
      <c r="Z44" s="361"/>
      <c r="AA44" s="361"/>
      <c r="AB44" s="361"/>
      <c r="AC44" s="361"/>
      <c r="AD44" s="361"/>
      <c r="AE44" s="361"/>
      <c r="AF44" s="361"/>
      <c r="AG44" s="361"/>
      <c r="AH44" s="361"/>
      <c r="AI44" s="361"/>
      <c r="AJ44" s="361"/>
      <c r="AK44" s="361"/>
      <c r="AL44" s="361"/>
      <c r="AM44" s="361"/>
      <c r="AN44" s="361"/>
      <c r="AO44" s="361"/>
      <c r="AP44" s="361"/>
      <c r="AQ44" s="361"/>
      <c r="AR44" s="361"/>
      <c r="AS44" s="374">
        <f>SUM(G44:AR44)</f>
        <v>0</v>
      </c>
      <c r="AT44" s="374"/>
      <c r="AU44" s="372">
        <v>20</v>
      </c>
      <c r="AV44" s="373">
        <f>AS44*AU44</f>
        <v>0</v>
      </c>
      <c r="AW44" s="373">
        <f>F44*AS44*$AX$2</f>
        <v>0</v>
      </c>
      <c r="AX44" s="359"/>
    </row>
    <row r="45" spans="1:52" x14ac:dyDescent="0.2">
      <c r="C45" s="80"/>
      <c r="D45" s="363"/>
      <c r="E45" s="363"/>
      <c r="F45" s="363"/>
      <c r="G45" s="363"/>
      <c r="H45" s="361"/>
      <c r="I45" s="361"/>
      <c r="J45" s="361"/>
      <c r="K45" s="360"/>
      <c r="L45" s="360"/>
      <c r="M45" s="360"/>
      <c r="N45" s="361"/>
      <c r="O45" s="361"/>
      <c r="P45" s="361"/>
      <c r="Q45" s="361"/>
      <c r="R45" s="361"/>
      <c r="S45" s="361"/>
      <c r="T45" s="361"/>
      <c r="U45" s="361"/>
      <c r="V45" s="361"/>
      <c r="W45" s="361"/>
      <c r="X45" s="361"/>
      <c r="Y45" s="361"/>
      <c r="Z45" s="361"/>
      <c r="AA45" s="361"/>
      <c r="AB45" s="361"/>
      <c r="AC45" s="361"/>
      <c r="AD45" s="361"/>
      <c r="AE45" s="361"/>
      <c r="AF45" s="361"/>
      <c r="AG45" s="361"/>
      <c r="AH45" s="361"/>
      <c r="AI45" s="361"/>
      <c r="AJ45" s="361"/>
      <c r="AK45" s="361"/>
      <c r="AL45" s="361"/>
      <c r="AM45" s="361"/>
      <c r="AN45" s="361"/>
      <c r="AO45" s="361"/>
      <c r="AP45" s="361"/>
      <c r="AQ45" s="361"/>
      <c r="AR45" s="361"/>
      <c r="AS45" s="374"/>
      <c r="AT45" s="374"/>
      <c r="AU45" s="372"/>
      <c r="AV45" s="373"/>
      <c r="AW45" s="373"/>
      <c r="AX45" s="359"/>
    </row>
    <row r="46" spans="1:52" x14ac:dyDescent="0.2">
      <c r="C46" s="80" t="s">
        <v>569</v>
      </c>
      <c r="D46" s="363"/>
      <c r="E46" s="363"/>
      <c r="F46" s="363"/>
      <c r="G46" s="363"/>
      <c r="H46" s="361"/>
      <c r="I46" s="361"/>
      <c r="J46" s="361"/>
      <c r="K46" s="360"/>
      <c r="L46" s="360">
        <v>8</v>
      </c>
      <c r="M46" s="360"/>
      <c r="N46" s="361"/>
      <c r="O46" s="361"/>
      <c r="P46" s="361"/>
      <c r="Q46" s="361"/>
      <c r="R46" s="361"/>
      <c r="S46" s="361"/>
      <c r="T46" s="361"/>
      <c r="U46" s="361"/>
      <c r="V46" s="361"/>
      <c r="W46" s="361"/>
      <c r="X46" s="361"/>
      <c r="Y46" s="361"/>
      <c r="Z46" s="361"/>
      <c r="AA46" s="361"/>
      <c r="AB46" s="361"/>
      <c r="AC46" s="361"/>
      <c r="AD46" s="361"/>
      <c r="AE46" s="361"/>
      <c r="AF46" s="361"/>
      <c r="AG46" s="361"/>
      <c r="AH46" s="361"/>
      <c r="AI46" s="361"/>
      <c r="AJ46" s="361"/>
      <c r="AK46" s="361"/>
      <c r="AL46" s="361"/>
      <c r="AM46" s="361"/>
      <c r="AN46" s="361"/>
      <c r="AO46" s="361"/>
      <c r="AP46" s="361"/>
      <c r="AQ46" s="361"/>
      <c r="AR46" s="361"/>
      <c r="AS46" s="374">
        <f>SUM(G46:AR46)</f>
        <v>8</v>
      </c>
      <c r="AT46" s="374"/>
      <c r="AU46" s="372">
        <v>460.45</v>
      </c>
      <c r="AV46" s="373">
        <f>AS46*AU46</f>
        <v>3683.6</v>
      </c>
      <c r="AW46" s="373">
        <f>F46*AS46*$AX$2</f>
        <v>0</v>
      </c>
      <c r="AX46" s="359"/>
    </row>
    <row r="47" spans="1:52" x14ac:dyDescent="0.2">
      <c r="C47" s="80"/>
      <c r="D47" s="363"/>
      <c r="E47" s="363"/>
      <c r="F47" s="363"/>
      <c r="G47" s="363"/>
      <c r="H47" s="361"/>
      <c r="I47" s="361"/>
      <c r="J47" s="361"/>
      <c r="K47" s="360"/>
      <c r="L47" s="360"/>
      <c r="M47" s="360"/>
      <c r="N47" s="361"/>
      <c r="O47" s="361"/>
      <c r="P47" s="361"/>
      <c r="Q47" s="361"/>
      <c r="R47" s="361"/>
      <c r="S47" s="361"/>
      <c r="T47" s="361"/>
      <c r="U47" s="361"/>
      <c r="V47" s="361"/>
      <c r="W47" s="361"/>
      <c r="X47" s="361"/>
      <c r="Y47" s="361"/>
      <c r="Z47" s="361"/>
      <c r="AA47" s="361"/>
      <c r="AB47" s="361"/>
      <c r="AC47" s="361"/>
      <c r="AD47" s="361"/>
      <c r="AE47" s="361"/>
      <c r="AF47" s="361"/>
      <c r="AG47" s="361"/>
      <c r="AH47" s="361"/>
      <c r="AI47" s="361"/>
      <c r="AJ47" s="361"/>
      <c r="AK47" s="361"/>
      <c r="AL47" s="361"/>
      <c r="AM47" s="361"/>
      <c r="AN47" s="361"/>
      <c r="AO47" s="361"/>
      <c r="AP47" s="361"/>
      <c r="AQ47" s="361"/>
      <c r="AR47" s="361"/>
      <c r="AS47" s="374"/>
      <c r="AT47" s="374"/>
      <c r="AU47" s="372"/>
      <c r="AV47" s="373"/>
      <c r="AW47" s="373"/>
      <c r="AX47" s="359"/>
    </row>
    <row r="48" spans="1:52" x14ac:dyDescent="0.2">
      <c r="C48" s="80" t="s">
        <v>506</v>
      </c>
      <c r="D48" s="363"/>
      <c r="E48" s="363"/>
      <c r="F48" s="362"/>
      <c r="G48" s="362"/>
      <c r="H48" s="361"/>
      <c r="I48" s="361"/>
      <c r="J48" s="361"/>
      <c r="K48" s="360"/>
      <c r="L48" s="360"/>
      <c r="M48" s="360"/>
      <c r="N48" s="361"/>
      <c r="O48" s="361"/>
      <c r="P48" s="361"/>
      <c r="Q48" s="361"/>
      <c r="R48" s="361"/>
      <c r="S48" s="361"/>
      <c r="T48" s="361"/>
      <c r="U48" s="361"/>
      <c r="V48" s="361"/>
      <c r="W48" s="361"/>
      <c r="X48" s="361"/>
      <c r="Y48" s="361"/>
      <c r="Z48" s="361"/>
      <c r="AA48" s="361"/>
      <c r="AB48" s="361"/>
      <c r="AC48" s="361"/>
      <c r="AD48" s="361"/>
      <c r="AE48" s="361"/>
      <c r="AF48" s="361"/>
      <c r="AG48" s="361"/>
      <c r="AH48" s="361"/>
      <c r="AI48" s="361"/>
      <c r="AJ48" s="361"/>
      <c r="AK48" s="361"/>
      <c r="AL48" s="361"/>
      <c r="AM48" s="361"/>
      <c r="AN48" s="361"/>
      <c r="AO48" s="361"/>
      <c r="AP48" s="361"/>
      <c r="AQ48" s="361"/>
      <c r="AR48" s="361"/>
      <c r="AS48" s="374">
        <f>SUM(G48:AR48)</f>
        <v>0</v>
      </c>
      <c r="AT48" s="374" t="s">
        <v>507</v>
      </c>
      <c r="AU48" s="372">
        <v>1.1200000000000001</v>
      </c>
      <c r="AV48" s="373">
        <f>AS48*AU48</f>
        <v>0</v>
      </c>
      <c r="AW48" s="373"/>
      <c r="AX48" s="359"/>
    </row>
    <row r="49" spans="2:50" x14ac:dyDescent="0.2">
      <c r="C49" s="80"/>
      <c r="D49" s="363"/>
      <c r="E49" s="363"/>
      <c r="F49" s="362"/>
      <c r="G49" s="362"/>
      <c r="H49" s="361"/>
      <c r="I49" s="361"/>
      <c r="J49" s="361"/>
      <c r="K49" s="360"/>
      <c r="L49" s="360"/>
      <c r="M49" s="360"/>
      <c r="N49" s="361"/>
      <c r="O49" s="361"/>
      <c r="P49" s="361"/>
      <c r="Q49" s="361"/>
      <c r="R49" s="361"/>
      <c r="S49" s="361"/>
      <c r="T49" s="361"/>
      <c r="U49" s="361"/>
      <c r="V49" s="361"/>
      <c r="W49" s="361"/>
      <c r="X49" s="361"/>
      <c r="Y49" s="361"/>
      <c r="Z49" s="361"/>
      <c r="AA49" s="361"/>
      <c r="AB49" s="361"/>
      <c r="AC49" s="361"/>
      <c r="AD49" s="361"/>
      <c r="AE49" s="361"/>
      <c r="AF49" s="361"/>
      <c r="AG49" s="361"/>
      <c r="AH49" s="361"/>
      <c r="AI49" s="361"/>
      <c r="AJ49" s="361"/>
      <c r="AK49" s="361"/>
      <c r="AL49" s="361"/>
      <c r="AM49" s="361"/>
      <c r="AN49" s="361"/>
      <c r="AO49" s="361"/>
      <c r="AP49" s="361"/>
      <c r="AQ49" s="361"/>
      <c r="AR49" s="361"/>
      <c r="AS49" s="374"/>
      <c r="AT49" s="374"/>
      <c r="AU49" s="372"/>
      <c r="AV49" s="373"/>
      <c r="AW49" s="373"/>
      <c r="AX49" s="359"/>
    </row>
    <row r="50" spans="2:50" x14ac:dyDescent="0.2">
      <c r="C50" s="362" t="s">
        <v>576</v>
      </c>
      <c r="D50" s="362"/>
      <c r="E50" s="362"/>
      <c r="F50" s="362"/>
      <c r="G50" s="362"/>
      <c r="H50" s="361"/>
      <c r="I50" s="361"/>
      <c r="J50" s="361"/>
      <c r="K50" s="360"/>
      <c r="L50" s="360">
        <v>63</v>
      </c>
      <c r="M50" s="360"/>
      <c r="N50" s="361"/>
      <c r="O50" s="361"/>
      <c r="P50" s="361"/>
      <c r="Q50" s="361"/>
      <c r="R50" s="361"/>
      <c r="S50" s="361"/>
      <c r="T50" s="361"/>
      <c r="U50" s="361"/>
      <c r="V50" s="361"/>
      <c r="W50" s="361"/>
      <c r="X50" s="361"/>
      <c r="Y50" s="361"/>
      <c r="Z50" s="361"/>
      <c r="AA50" s="361"/>
      <c r="AB50" s="361"/>
      <c r="AC50" s="361"/>
      <c r="AD50" s="361"/>
      <c r="AE50" s="361"/>
      <c r="AF50" s="361"/>
      <c r="AG50" s="361"/>
      <c r="AH50" s="361"/>
      <c r="AI50" s="361"/>
      <c r="AJ50" s="361"/>
      <c r="AK50" s="361"/>
      <c r="AL50" s="361"/>
      <c r="AM50" s="361"/>
      <c r="AN50" s="361"/>
      <c r="AO50" s="361"/>
      <c r="AP50" s="361"/>
      <c r="AQ50" s="361"/>
      <c r="AR50" s="361"/>
      <c r="AS50" s="374">
        <f>SUM(G50:AR50)</f>
        <v>63</v>
      </c>
      <c r="AT50" s="374" t="s">
        <v>507</v>
      </c>
      <c r="AU50" s="372">
        <v>1.9</v>
      </c>
      <c r="AV50" s="373">
        <f>AS50*AU50</f>
        <v>119.69999999999999</v>
      </c>
      <c r="AW50" s="362"/>
      <c r="AX50" s="351"/>
    </row>
    <row r="51" spans="2:50" x14ac:dyDescent="0.2">
      <c r="C51" s="362"/>
      <c r="D51" s="362"/>
      <c r="E51" s="362"/>
      <c r="F51" s="362"/>
      <c r="G51" s="362"/>
      <c r="H51" s="361"/>
      <c r="I51" s="361"/>
      <c r="J51" s="361"/>
      <c r="K51" s="360"/>
      <c r="L51" s="360"/>
      <c r="M51" s="360"/>
      <c r="N51" s="361"/>
      <c r="O51" s="361"/>
      <c r="P51" s="361"/>
      <c r="Q51" s="361"/>
      <c r="R51" s="361"/>
      <c r="S51" s="361"/>
      <c r="T51" s="361"/>
      <c r="U51" s="361"/>
      <c r="V51" s="361"/>
      <c r="W51" s="361"/>
      <c r="X51" s="361"/>
      <c r="Y51" s="361"/>
      <c r="Z51" s="361"/>
      <c r="AA51" s="361"/>
      <c r="AB51" s="361"/>
      <c r="AC51" s="361"/>
      <c r="AD51" s="361"/>
      <c r="AE51" s="361"/>
      <c r="AF51" s="361"/>
      <c r="AG51" s="361"/>
      <c r="AH51" s="361"/>
      <c r="AI51" s="361"/>
      <c r="AJ51" s="361"/>
      <c r="AK51" s="361"/>
      <c r="AL51" s="361"/>
      <c r="AM51" s="361"/>
      <c r="AN51" s="361"/>
      <c r="AO51" s="361"/>
      <c r="AP51" s="361"/>
      <c r="AQ51" s="361"/>
      <c r="AR51" s="361"/>
      <c r="AS51" s="374"/>
      <c r="AT51" s="374"/>
      <c r="AU51" s="362"/>
      <c r="AV51" s="373"/>
      <c r="AW51" s="362"/>
      <c r="AX51" s="351"/>
    </row>
    <row r="52" spans="2:50" x14ac:dyDescent="0.2">
      <c r="C52" s="351" t="s">
        <v>509</v>
      </c>
      <c r="D52" s="351"/>
      <c r="E52" s="351"/>
      <c r="F52" s="351"/>
      <c r="G52" s="351"/>
      <c r="H52" s="361"/>
      <c r="I52" s="361"/>
      <c r="J52" s="361"/>
      <c r="K52" s="360"/>
      <c r="L52" s="360"/>
      <c r="M52" s="360"/>
      <c r="N52" s="361"/>
      <c r="O52" s="361"/>
      <c r="P52" s="361"/>
      <c r="Q52" s="361"/>
      <c r="R52" s="361"/>
      <c r="S52" s="361"/>
      <c r="T52" s="361"/>
      <c r="U52" s="361"/>
      <c r="V52" s="361"/>
      <c r="W52" s="361"/>
      <c r="X52" s="361"/>
      <c r="Y52" s="361"/>
      <c r="Z52" s="361"/>
      <c r="AA52" s="361"/>
      <c r="AB52" s="361"/>
      <c r="AC52" s="361"/>
      <c r="AD52" s="361"/>
      <c r="AE52" s="361"/>
      <c r="AF52" s="361"/>
      <c r="AG52" s="361"/>
      <c r="AH52" s="361"/>
      <c r="AI52" s="361"/>
      <c r="AJ52" s="361"/>
      <c r="AK52" s="361"/>
      <c r="AL52" s="361"/>
      <c r="AM52" s="361"/>
      <c r="AN52" s="361"/>
      <c r="AO52" s="361"/>
      <c r="AP52" s="361"/>
      <c r="AQ52" s="361"/>
      <c r="AR52" s="361"/>
      <c r="AS52" s="118">
        <f>SUM(G52:AR52)</f>
        <v>0</v>
      </c>
      <c r="AT52" s="118"/>
      <c r="AU52" s="368">
        <v>150</v>
      </c>
      <c r="AV52" s="352"/>
      <c r="AW52" s="376">
        <f>AS52*AU52</f>
        <v>0</v>
      </c>
      <c r="AX52" s="352"/>
    </row>
    <row r="53" spans="2:50" x14ac:dyDescent="0.2">
      <c r="C53" s="351"/>
      <c r="D53" s="351"/>
      <c r="E53" s="351"/>
      <c r="F53" s="351"/>
      <c r="G53" s="351"/>
      <c r="H53" s="361"/>
      <c r="I53" s="361"/>
      <c r="J53" s="361"/>
      <c r="K53" s="360"/>
      <c r="L53" s="360"/>
      <c r="M53" s="360"/>
      <c r="N53" s="361"/>
      <c r="O53" s="361"/>
      <c r="P53" s="361"/>
      <c r="Q53" s="361"/>
      <c r="R53" s="361"/>
      <c r="S53" s="361"/>
      <c r="T53" s="361"/>
      <c r="U53" s="361"/>
      <c r="V53" s="361"/>
      <c r="W53" s="361"/>
      <c r="X53" s="361"/>
      <c r="Y53" s="361"/>
      <c r="Z53" s="361"/>
      <c r="AA53" s="361"/>
      <c r="AB53" s="361"/>
      <c r="AC53" s="361"/>
      <c r="AD53" s="361"/>
      <c r="AE53" s="361"/>
      <c r="AF53" s="361"/>
      <c r="AG53" s="361"/>
      <c r="AH53" s="361"/>
      <c r="AI53" s="361"/>
      <c r="AJ53" s="361"/>
      <c r="AK53" s="361"/>
      <c r="AL53" s="361"/>
      <c r="AM53" s="361"/>
      <c r="AN53" s="361"/>
      <c r="AO53" s="361"/>
      <c r="AP53" s="361"/>
      <c r="AQ53" s="361"/>
      <c r="AR53" s="361"/>
      <c r="AS53" s="118"/>
      <c r="AT53" s="118"/>
      <c r="AU53" s="351"/>
      <c r="AV53" s="352"/>
      <c r="AW53" s="351"/>
      <c r="AX53" s="351"/>
    </row>
    <row r="54" spans="2:50" x14ac:dyDescent="0.2">
      <c r="C54" s="351" t="s">
        <v>510</v>
      </c>
      <c r="D54" s="351"/>
      <c r="E54" s="351"/>
      <c r="F54" s="351"/>
      <c r="G54" s="351"/>
      <c r="H54" s="361"/>
      <c r="I54" s="361"/>
      <c r="J54" s="361"/>
      <c r="K54" s="360"/>
      <c r="L54" s="360">
        <v>16</v>
      </c>
      <c r="M54" s="360"/>
      <c r="N54" s="361"/>
      <c r="O54" s="361"/>
      <c r="P54" s="361"/>
      <c r="Q54" s="361"/>
      <c r="R54" s="361"/>
      <c r="S54" s="361"/>
      <c r="T54" s="361"/>
      <c r="U54" s="361"/>
      <c r="V54" s="361"/>
      <c r="W54" s="361"/>
      <c r="X54" s="361"/>
      <c r="Y54" s="361"/>
      <c r="Z54" s="361"/>
      <c r="AA54" s="361"/>
      <c r="AB54" s="361"/>
      <c r="AC54" s="361"/>
      <c r="AD54" s="361"/>
      <c r="AE54" s="361"/>
      <c r="AF54" s="361"/>
      <c r="AG54" s="361"/>
      <c r="AH54" s="361"/>
      <c r="AI54" s="361"/>
      <c r="AJ54" s="361"/>
      <c r="AK54" s="361"/>
      <c r="AL54" s="361"/>
      <c r="AM54" s="361"/>
      <c r="AN54" s="361"/>
      <c r="AO54" s="361"/>
      <c r="AP54" s="361"/>
      <c r="AQ54" s="361"/>
      <c r="AR54" s="361"/>
      <c r="AS54" s="118">
        <f>SUM(G54:AR54)</f>
        <v>16</v>
      </c>
      <c r="AT54" s="118" t="s">
        <v>148</v>
      </c>
      <c r="AU54" s="368">
        <v>7.5</v>
      </c>
      <c r="AV54" s="376">
        <f>AS54*AU54</f>
        <v>120</v>
      </c>
      <c r="AW54" s="351"/>
      <c r="AX54" s="351"/>
    </row>
    <row r="55" spans="2:50" x14ac:dyDescent="0.2">
      <c r="H55" s="361"/>
      <c r="I55" s="361"/>
      <c r="J55" s="361"/>
      <c r="K55" s="360"/>
      <c r="L55" s="360"/>
      <c r="M55" s="360"/>
      <c r="N55" s="361"/>
      <c r="O55" s="361"/>
      <c r="P55" s="361"/>
      <c r="Q55" s="361"/>
      <c r="R55" s="361"/>
      <c r="S55" s="361"/>
      <c r="T55" s="361"/>
      <c r="U55" s="361"/>
      <c r="V55" s="361"/>
      <c r="W55" s="361"/>
      <c r="X55" s="361"/>
      <c r="Y55" s="361"/>
      <c r="Z55" s="361"/>
      <c r="AA55" s="361"/>
      <c r="AB55" s="361"/>
      <c r="AC55" s="361"/>
      <c r="AD55" s="361"/>
      <c r="AE55" s="361"/>
      <c r="AF55" s="361"/>
      <c r="AG55" s="361"/>
      <c r="AH55" s="361"/>
      <c r="AI55" s="361"/>
      <c r="AJ55" s="361"/>
      <c r="AK55" s="361"/>
      <c r="AL55" s="361"/>
      <c r="AM55" s="361"/>
      <c r="AN55" s="361"/>
      <c r="AO55" s="361"/>
      <c r="AP55" s="361"/>
      <c r="AQ55" s="361"/>
      <c r="AR55" s="361"/>
      <c r="AS55" s="118"/>
      <c r="AT55" s="118"/>
      <c r="AV55" s="376"/>
    </row>
    <row r="56" spans="2:50" x14ac:dyDescent="0.2">
      <c r="C56" s="72" t="s">
        <v>511</v>
      </c>
      <c r="H56" s="367"/>
      <c r="I56" s="367"/>
      <c r="J56" s="367"/>
      <c r="L56" s="360">
        <v>16</v>
      </c>
      <c r="N56" s="367"/>
      <c r="O56" s="367"/>
      <c r="P56" s="367"/>
      <c r="Q56" s="367"/>
      <c r="R56" s="367"/>
      <c r="S56" s="367"/>
      <c r="T56" s="367"/>
      <c r="U56" s="367"/>
      <c r="V56" s="367"/>
      <c r="W56" s="367"/>
      <c r="X56" s="367"/>
      <c r="Y56" s="367"/>
      <c r="Z56" s="367"/>
      <c r="AA56" s="367"/>
      <c r="AB56" s="367"/>
      <c r="AC56" s="367"/>
      <c r="AD56" s="367"/>
      <c r="AE56" s="367"/>
      <c r="AF56" s="367"/>
      <c r="AG56" s="367"/>
      <c r="AH56" s="367"/>
      <c r="AI56" s="367"/>
      <c r="AJ56" s="367"/>
      <c r="AK56" s="367"/>
      <c r="AL56" s="367"/>
      <c r="AM56" s="367"/>
      <c r="AN56" s="367"/>
      <c r="AO56" s="367"/>
      <c r="AP56" s="367"/>
      <c r="AQ56" s="367"/>
      <c r="AR56" s="367"/>
      <c r="AS56" s="118">
        <f>SUM(G56:AR56)</f>
        <v>16</v>
      </c>
      <c r="AT56" s="118" t="s">
        <v>148</v>
      </c>
      <c r="AU56" s="368">
        <v>10</v>
      </c>
      <c r="AV56" s="376">
        <f>AS56*AU56</f>
        <v>160</v>
      </c>
    </row>
    <row r="57" spans="2:50" x14ac:dyDescent="0.2">
      <c r="AV57" s="348"/>
    </row>
    <row r="58" spans="2:50" x14ac:dyDescent="0.2">
      <c r="C58" s="72" t="s">
        <v>512</v>
      </c>
      <c r="E58" s="377" t="s">
        <v>513</v>
      </c>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c r="AT58" s="378"/>
      <c r="AU58" s="378"/>
      <c r="AV58" s="378"/>
      <c r="AW58" s="378"/>
      <c r="AX58" s="378"/>
    </row>
    <row r="59" spans="2:50" x14ac:dyDescent="0.2">
      <c r="AV59" s="348"/>
    </row>
    <row r="60" spans="2:50" x14ac:dyDescent="0.2">
      <c r="C60" s="72" t="s">
        <v>514</v>
      </c>
      <c r="AV60" s="349">
        <v>180</v>
      </c>
      <c r="AW60" s="376"/>
    </row>
    <row r="61" spans="2:50" x14ac:dyDescent="0.2">
      <c r="B61">
        <f>SUM(B5:B60)</f>
        <v>0</v>
      </c>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row>
    <row r="62" spans="2:50" x14ac:dyDescent="0.2">
      <c r="AV62" s="203">
        <f>SUM(AV5:AV61)</f>
        <v>23290.775999999994</v>
      </c>
      <c r="AW62" s="203">
        <f>SUM(AW5:AW61)</f>
        <v>9879.3000000000011</v>
      </c>
      <c r="AX62" s="203">
        <f>SUM(AV62:AW62)</f>
        <v>33170.075999999994</v>
      </c>
    </row>
    <row r="64" spans="2:50" x14ac:dyDescent="0.2">
      <c r="C64" s="72" t="s">
        <v>515</v>
      </c>
      <c r="AU64" s="379"/>
      <c r="AV64" s="203"/>
      <c r="AW64" s="380">
        <v>0.01</v>
      </c>
      <c r="AX64" s="203">
        <f>AX62*AW64</f>
        <v>331.70075999999995</v>
      </c>
    </row>
    <row r="66" spans="3:50" x14ac:dyDescent="0.2">
      <c r="C66" s="72" t="s">
        <v>516</v>
      </c>
      <c r="AV66" s="381"/>
      <c r="AW66" s="381"/>
      <c r="AX66" s="382">
        <f>AW66*20</f>
        <v>0</v>
      </c>
    </row>
    <row r="68" spans="3:50" x14ac:dyDescent="0.2">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6"/>
      <c r="AV68" s="216"/>
      <c r="AW68" s="216"/>
      <c r="AX68" s="216"/>
    </row>
    <row r="69" spans="3:50" x14ac:dyDescent="0.2">
      <c r="AX69" s="203">
        <f>SUM(AX62:AX68)</f>
        <v>33501.776759999993</v>
      </c>
    </row>
    <row r="71" spans="3:50" x14ac:dyDescent="0.2">
      <c r="C71" s="72" t="s">
        <v>11</v>
      </c>
      <c r="AW71" s="380">
        <v>0</v>
      </c>
      <c r="AX71" s="203">
        <f>AX69*AW71</f>
        <v>0</v>
      </c>
    </row>
    <row r="73" spans="3:50" x14ac:dyDescent="0.2">
      <c r="C73" s="216"/>
      <c r="D73" s="216"/>
      <c r="E73" s="216"/>
      <c r="F73" s="216"/>
      <c r="G73" s="216"/>
      <c r="H73" s="216"/>
      <c r="I73" s="216"/>
      <c r="J73" s="216"/>
      <c r="K73" s="216"/>
      <c r="L73" s="216"/>
      <c r="M73" s="216"/>
      <c r="N73" s="216"/>
      <c r="O73" s="216"/>
      <c r="P73" s="216"/>
      <c r="Q73" s="216"/>
      <c r="R73" s="216"/>
      <c r="S73" s="216"/>
      <c r="T73" s="216"/>
      <c r="U73" s="216"/>
      <c r="V73" s="216"/>
      <c r="W73" s="216"/>
      <c r="X73" s="216"/>
      <c r="Y73" s="216"/>
      <c r="Z73" s="216"/>
      <c r="AA73" s="216"/>
      <c r="AB73" s="216"/>
      <c r="AC73" s="216"/>
      <c r="AD73" s="216"/>
      <c r="AE73" s="216"/>
      <c r="AF73" s="216"/>
      <c r="AG73" s="216"/>
      <c r="AH73" s="216"/>
      <c r="AI73" s="216"/>
      <c r="AJ73" s="216"/>
      <c r="AK73" s="216"/>
      <c r="AL73" s="216"/>
      <c r="AM73" s="216"/>
      <c r="AN73" s="216"/>
      <c r="AO73" s="216"/>
      <c r="AP73" s="216"/>
      <c r="AQ73" s="216"/>
      <c r="AR73" s="216"/>
      <c r="AS73" s="216"/>
      <c r="AT73" s="216"/>
      <c r="AU73" s="216"/>
      <c r="AV73" s="216"/>
      <c r="AW73" s="216"/>
      <c r="AX73" s="216"/>
    </row>
    <row r="74" spans="3:50" x14ac:dyDescent="0.2">
      <c r="AX74" s="54">
        <f>SUM(AX69:AX73)</f>
        <v>33501.776759999993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4BCA9-47E5-4F1A-82B1-3FAA7E294A46}">
  <sheetPr>
    <pageSetUpPr fitToPage="1"/>
  </sheetPr>
  <dimension ref="A1:S142"/>
  <sheetViews>
    <sheetView topLeftCell="A93" zoomScale="85" zoomScaleNormal="85" workbookViewId="0">
      <selection activeCell="D100" sqref="A1:D100"/>
    </sheetView>
  </sheetViews>
  <sheetFormatPr defaultRowHeight="12.75" x14ac:dyDescent="0.2"/>
  <cols>
    <col min="1" max="1" width="4.85546875" style="14" customWidth="1"/>
    <col min="2" max="2" width="50.28515625" style="14" customWidth="1"/>
    <col min="3" max="3" width="23" style="14" customWidth="1"/>
    <col min="4" max="4" width="15.28515625" style="14" customWidth="1"/>
    <col min="5" max="5" width="8" style="14" customWidth="1"/>
    <col min="6" max="7" width="11.5703125" style="14" customWidth="1"/>
    <col min="8" max="8" width="15" style="14" customWidth="1"/>
    <col min="9" max="9" width="10.42578125" style="14" customWidth="1"/>
    <col min="10" max="10" width="12.5703125" style="14" bestFit="1" customWidth="1"/>
    <col min="11" max="12" width="11.5703125" style="14" customWidth="1"/>
    <col min="13" max="13" width="14.7109375" style="14" customWidth="1"/>
    <col min="14" max="14" width="11" style="92" customWidth="1"/>
    <col min="15" max="15" width="13.140625" style="14" customWidth="1"/>
    <col min="16" max="16" width="19.85546875" style="14" customWidth="1"/>
    <col min="17" max="17" width="13" style="14" customWidth="1"/>
    <col min="18" max="18" width="26.28515625" style="14" customWidth="1"/>
    <col min="19" max="16384" width="9.140625" style="14"/>
  </cols>
  <sheetData>
    <row r="1" spans="1:17" ht="15.75" x14ac:dyDescent="0.2">
      <c r="A1" s="13"/>
      <c r="B1" s="3" t="str">
        <f>Summary!B1</f>
        <v>Ceilings Unlimited</v>
      </c>
      <c r="C1" s="13"/>
      <c r="D1" s="13"/>
      <c r="E1" s="13"/>
      <c r="F1" s="13"/>
      <c r="G1" s="13"/>
      <c r="H1" s="13"/>
      <c r="I1" s="13"/>
      <c r="J1" s="13"/>
      <c r="K1" s="13"/>
      <c r="L1" s="13"/>
      <c r="M1" s="13"/>
    </row>
    <row r="2" spans="1:17" ht="15.75" x14ac:dyDescent="0.2">
      <c r="A2" s="13"/>
      <c r="B2" s="12" t="str">
        <f>Summary!B2</f>
        <v>Craigs Investment Partners - Fitout</v>
      </c>
      <c r="C2" s="13"/>
      <c r="D2" s="13"/>
      <c r="E2" s="13"/>
      <c r="F2" s="13"/>
      <c r="G2" s="13"/>
      <c r="H2" s="13"/>
      <c r="I2" s="13"/>
      <c r="J2" s="13"/>
      <c r="K2" s="13"/>
      <c r="L2" s="13"/>
      <c r="M2" s="13"/>
    </row>
    <row r="3" spans="1:17" ht="15.75" x14ac:dyDescent="0.2">
      <c r="A3" s="13"/>
      <c r="B3" s="12" t="str">
        <f>Summary!B3</f>
        <v>Tauranga</v>
      </c>
      <c r="C3" s="13"/>
      <c r="D3" s="13"/>
      <c r="E3" s="13"/>
      <c r="F3" s="13"/>
      <c r="G3" s="13"/>
      <c r="H3" s="13"/>
      <c r="I3" s="13"/>
      <c r="J3" s="13"/>
      <c r="K3" s="13"/>
      <c r="L3" s="13"/>
      <c r="M3" s="13"/>
    </row>
    <row r="4" spans="1:17" ht="15.75" x14ac:dyDescent="0.2">
      <c r="A4" s="13"/>
      <c r="B4" s="6"/>
      <c r="C4" s="13"/>
      <c r="D4" s="13"/>
      <c r="E4" s="13"/>
      <c r="F4" s="13"/>
      <c r="G4" s="13"/>
      <c r="H4" s="13"/>
      <c r="I4" s="13"/>
      <c r="J4" s="13"/>
      <c r="K4" s="13"/>
      <c r="L4" s="13"/>
      <c r="M4" s="13"/>
    </row>
    <row r="5" spans="1:17" ht="15.75" x14ac:dyDescent="0.2">
      <c r="A5" s="13"/>
      <c r="B5" s="6"/>
      <c r="C5" s="13"/>
      <c r="D5" s="13"/>
      <c r="E5" s="13"/>
      <c r="F5" s="13"/>
      <c r="G5" s="13"/>
      <c r="H5" s="13"/>
      <c r="I5" s="13"/>
      <c r="J5" s="13"/>
      <c r="K5" s="13"/>
      <c r="L5" s="13"/>
      <c r="M5" s="13"/>
    </row>
    <row r="6" spans="1:17" ht="15.75" x14ac:dyDescent="0.2">
      <c r="A6" s="13"/>
      <c r="B6" s="6">
        <f>Summary!B5</f>
        <v>46043</v>
      </c>
      <c r="C6" s="13"/>
      <c r="D6" s="13"/>
      <c r="E6" s="13"/>
      <c r="F6" s="13"/>
      <c r="G6" s="13"/>
      <c r="H6" s="13"/>
      <c r="I6" s="13"/>
      <c r="J6" s="13"/>
      <c r="K6" s="13"/>
      <c r="L6" s="13"/>
      <c r="M6" s="13"/>
    </row>
    <row r="7" spans="1:17" ht="15.75" x14ac:dyDescent="0.2">
      <c r="A7" s="13"/>
      <c r="B7" s="6"/>
      <c r="C7" s="13"/>
      <c r="D7" s="13"/>
      <c r="E7" s="13"/>
      <c r="F7" s="13"/>
      <c r="G7" s="13"/>
      <c r="H7" s="13"/>
      <c r="I7" s="13"/>
      <c r="J7" s="13"/>
      <c r="K7" s="13"/>
      <c r="L7" s="13"/>
      <c r="M7" s="13"/>
    </row>
    <row r="8" spans="1:17" ht="15.75" x14ac:dyDescent="0.2">
      <c r="A8" s="13"/>
      <c r="B8" s="140"/>
      <c r="C8" s="13"/>
      <c r="D8" s="13"/>
      <c r="E8" s="13"/>
      <c r="F8" s="13"/>
      <c r="G8" s="13"/>
      <c r="H8" s="13"/>
      <c r="I8" s="13"/>
      <c r="J8" s="13"/>
      <c r="K8" s="13"/>
      <c r="L8" s="13"/>
      <c r="M8" s="13"/>
    </row>
    <row r="9" spans="1:17" ht="39.75" customHeight="1" x14ac:dyDescent="0.2">
      <c r="A9" s="15"/>
      <c r="B9" s="55" t="str">
        <f>Summary!B135</f>
        <v>Wall Covering: Asona Quicklock (FP-01)</v>
      </c>
      <c r="C9" s="16"/>
      <c r="D9" s="15"/>
      <c r="E9" s="15"/>
      <c r="F9" s="15"/>
      <c r="G9" s="15"/>
      <c r="H9" s="15"/>
      <c r="I9" s="15"/>
      <c r="J9" s="15"/>
      <c r="K9" s="15"/>
      <c r="L9" s="15"/>
      <c r="M9" s="17"/>
      <c r="N9" s="93"/>
      <c r="O9" s="53"/>
    </row>
    <row r="10" spans="1:17" ht="23.25" customHeight="1" x14ac:dyDescent="0.2">
      <c r="A10" s="15"/>
      <c r="B10" s="55"/>
      <c r="C10" s="16"/>
      <c r="D10" s="15"/>
      <c r="E10" s="15"/>
      <c r="F10" s="15"/>
      <c r="G10" s="15"/>
      <c r="H10" s="15"/>
      <c r="I10" s="15"/>
      <c r="J10" s="15"/>
      <c r="K10" s="15"/>
      <c r="L10" s="15"/>
      <c r="M10" s="17"/>
      <c r="N10" s="93"/>
      <c r="O10" s="53"/>
      <c r="P10" s="27"/>
    </row>
    <row r="11" spans="1:17" x14ac:dyDescent="0.2">
      <c r="A11" s="19"/>
      <c r="B11" s="20"/>
      <c r="C11" s="15"/>
      <c r="D11" s="15"/>
      <c r="F11" s="18"/>
      <c r="G11" s="18"/>
      <c r="H11" s="66">
        <v>52</v>
      </c>
      <c r="I11" s="58"/>
      <c r="M11" s="17"/>
      <c r="N11" s="93"/>
      <c r="O11" s="53"/>
    </row>
    <row r="12" spans="1:17" ht="99" customHeight="1" x14ac:dyDescent="0.2">
      <c r="A12" s="21" t="s">
        <v>0</v>
      </c>
      <c r="B12" s="22" t="s">
        <v>1</v>
      </c>
      <c r="C12" s="97" t="s">
        <v>2</v>
      </c>
      <c r="D12" s="97" t="s">
        <v>3</v>
      </c>
      <c r="E12" s="76" t="s">
        <v>19</v>
      </c>
      <c r="F12" s="77" t="s">
        <v>26</v>
      </c>
      <c r="G12" s="77" t="s">
        <v>28</v>
      </c>
      <c r="H12" s="77" t="s">
        <v>21</v>
      </c>
      <c r="I12" s="77" t="s">
        <v>27</v>
      </c>
      <c r="J12" s="77" t="s">
        <v>20</v>
      </c>
      <c r="K12" s="76" t="s">
        <v>22</v>
      </c>
      <c r="L12" s="76" t="s">
        <v>23</v>
      </c>
      <c r="M12" s="98" t="s">
        <v>4</v>
      </c>
      <c r="N12" s="99" t="s">
        <v>25</v>
      </c>
      <c r="O12" s="102" t="s">
        <v>24</v>
      </c>
      <c r="P12" s="23"/>
      <c r="Q12" s="178"/>
    </row>
    <row r="13" spans="1:17" s="72" customFormat="1" ht="29.25" customHeight="1" x14ac:dyDescent="0.2">
      <c r="A13" s="63"/>
      <c r="B13" s="121"/>
      <c r="C13" s="64"/>
      <c r="D13" s="75"/>
      <c r="E13" s="122"/>
      <c r="F13" s="123"/>
      <c r="G13" s="123"/>
      <c r="H13" s="123"/>
      <c r="I13" s="124"/>
      <c r="J13" s="122"/>
      <c r="K13" s="122"/>
      <c r="L13" s="122"/>
      <c r="M13" s="181"/>
      <c r="N13" s="182"/>
      <c r="O13" s="183"/>
    </row>
    <row r="14" spans="1:17" s="72" customFormat="1" ht="14.25" x14ac:dyDescent="0.2">
      <c r="A14" s="63"/>
      <c r="B14" s="180" t="s">
        <v>243</v>
      </c>
      <c r="C14" s="64"/>
      <c r="D14" s="75"/>
      <c r="E14" s="134"/>
      <c r="F14" s="134"/>
      <c r="G14" s="134"/>
      <c r="H14" s="135"/>
      <c r="I14" s="152"/>
      <c r="J14" s="135"/>
      <c r="K14" s="136"/>
      <c r="L14" s="135"/>
      <c r="M14" s="137"/>
      <c r="N14" s="144"/>
      <c r="O14" s="130"/>
      <c r="P14" s="159"/>
      <c r="Q14" s="159"/>
    </row>
    <row r="15" spans="1:17" s="72" customFormat="1" ht="14.25" x14ac:dyDescent="0.2">
      <c r="A15" s="63"/>
      <c r="B15" s="121"/>
      <c r="C15" s="64"/>
      <c r="D15" s="75"/>
      <c r="E15" s="128"/>
      <c r="F15" s="129"/>
      <c r="G15" s="129"/>
      <c r="H15" s="129"/>
      <c r="I15" s="153"/>
      <c r="J15" s="128"/>
      <c r="K15" s="128"/>
      <c r="L15" s="128"/>
      <c r="M15" s="120"/>
      <c r="N15" s="126"/>
      <c r="O15" s="127"/>
      <c r="P15" s="159"/>
      <c r="Q15" s="159"/>
    </row>
    <row r="16" spans="1:17" s="72" customFormat="1" ht="15" x14ac:dyDescent="0.2">
      <c r="A16" s="63"/>
      <c r="B16" s="176" t="s">
        <v>58</v>
      </c>
      <c r="C16" s="64"/>
      <c r="D16" s="75"/>
      <c r="E16" s="128"/>
      <c r="F16" s="129"/>
      <c r="G16" s="129"/>
      <c r="H16" s="129"/>
      <c r="I16" s="153"/>
      <c r="J16" s="128"/>
      <c r="K16" s="128"/>
      <c r="L16" s="128"/>
      <c r="M16" s="120"/>
      <c r="N16" s="126"/>
      <c r="O16" s="127"/>
      <c r="P16" s="159"/>
      <c r="Q16" s="159"/>
    </row>
    <row r="17" spans="1:17" s="72" customFormat="1" ht="14.25" x14ac:dyDescent="0.2">
      <c r="A17" s="63"/>
      <c r="B17" s="143"/>
      <c r="C17" s="64"/>
      <c r="D17" s="75"/>
      <c r="E17" s="128"/>
      <c r="F17" s="129"/>
      <c r="G17" s="129"/>
      <c r="H17" s="129"/>
      <c r="I17" s="153"/>
      <c r="J17" s="128"/>
      <c r="K17" s="128"/>
      <c r="L17" s="128"/>
      <c r="M17" s="120"/>
      <c r="N17" s="126"/>
      <c r="O17" s="127"/>
      <c r="P17" s="159"/>
      <c r="Q17" s="159"/>
    </row>
    <row r="18" spans="1:17" s="72" customFormat="1" ht="14.25" x14ac:dyDescent="0.2">
      <c r="A18" s="63"/>
      <c r="B18" s="547" t="s">
        <v>806</v>
      </c>
      <c r="C18" s="64"/>
      <c r="D18" s="75"/>
      <c r="E18" s="128"/>
      <c r="F18" s="129"/>
      <c r="G18" s="129"/>
      <c r="H18" s="129"/>
      <c r="I18" s="153"/>
      <c r="J18" s="128"/>
      <c r="K18" s="128"/>
      <c r="L18" s="128"/>
      <c r="M18" s="120"/>
      <c r="N18" s="126"/>
      <c r="O18" s="127"/>
      <c r="P18" s="159"/>
      <c r="Q18" s="159"/>
    </row>
    <row r="19" spans="1:17" s="72" customFormat="1" ht="14.25" x14ac:dyDescent="0.2">
      <c r="A19" s="63"/>
      <c r="B19" s="143" t="s">
        <v>807</v>
      </c>
      <c r="C19" s="549">
        <v>5.7</v>
      </c>
      <c r="D19" s="75" t="s">
        <v>151</v>
      </c>
      <c r="E19" s="128"/>
      <c r="F19" s="129"/>
      <c r="G19" s="129"/>
      <c r="H19" s="129"/>
      <c r="I19" s="153"/>
      <c r="J19" s="128"/>
      <c r="K19" s="128"/>
      <c r="L19" s="128"/>
      <c r="M19" s="120"/>
      <c r="N19" s="126"/>
      <c r="O19" s="127"/>
      <c r="P19" s="159"/>
      <c r="Q19" s="159"/>
    </row>
    <row r="20" spans="1:17" s="72" customFormat="1" ht="14.25" x14ac:dyDescent="0.2">
      <c r="A20" s="63"/>
      <c r="B20" s="143"/>
      <c r="C20" s="64"/>
      <c r="D20" s="75"/>
      <c r="E20" s="128"/>
      <c r="F20" s="129"/>
      <c r="G20" s="129"/>
      <c r="H20" s="129"/>
      <c r="I20" s="153"/>
      <c r="J20" s="128"/>
      <c r="K20" s="128"/>
      <c r="L20" s="128"/>
      <c r="M20" s="120"/>
      <c r="N20" s="126"/>
      <c r="O20" s="127"/>
      <c r="P20" s="159"/>
      <c r="Q20" s="159"/>
    </row>
    <row r="21" spans="1:17" s="72" customFormat="1" ht="14.25" x14ac:dyDescent="0.2">
      <c r="A21" s="63"/>
      <c r="B21" s="547" t="s">
        <v>812</v>
      </c>
      <c r="C21" s="64"/>
      <c r="D21" s="75"/>
      <c r="E21" s="128"/>
      <c r="F21" s="129"/>
      <c r="G21" s="129"/>
      <c r="H21" s="129"/>
      <c r="I21" s="153"/>
      <c r="J21" s="128"/>
      <c r="K21" s="128"/>
      <c r="L21" s="128"/>
      <c r="M21" s="120"/>
      <c r="N21" s="126"/>
      <c r="O21" s="127"/>
      <c r="P21" s="159"/>
      <c r="Q21" s="159"/>
    </row>
    <row r="22" spans="1:17" s="72" customFormat="1" ht="14.25" x14ac:dyDescent="0.2">
      <c r="A22" s="63"/>
      <c r="B22" s="143" t="s">
        <v>807</v>
      </c>
      <c r="C22" s="64">
        <v>5.19</v>
      </c>
      <c r="D22" s="75" t="s">
        <v>151</v>
      </c>
      <c r="E22" s="128"/>
      <c r="F22" s="129"/>
      <c r="G22" s="129"/>
      <c r="H22" s="129"/>
      <c r="I22" s="153"/>
      <c r="J22" s="128"/>
      <c r="K22" s="128"/>
      <c r="L22" s="128"/>
      <c r="M22" s="120"/>
      <c r="N22" s="126"/>
      <c r="O22" s="127"/>
      <c r="P22" s="159"/>
      <c r="Q22" s="159"/>
    </row>
    <row r="23" spans="1:17" s="72" customFormat="1" ht="14.25" x14ac:dyDescent="0.2">
      <c r="A23" s="63"/>
      <c r="B23" s="143"/>
      <c r="C23" s="64"/>
      <c r="D23" s="75"/>
      <c r="E23" s="128"/>
      <c r="F23" s="129"/>
      <c r="G23" s="129"/>
      <c r="H23" s="129"/>
      <c r="I23" s="153"/>
      <c r="J23" s="128"/>
      <c r="K23" s="128"/>
      <c r="L23" s="128"/>
      <c r="M23" s="120"/>
      <c r="N23" s="126"/>
      <c r="O23" s="127"/>
      <c r="P23" s="159"/>
      <c r="Q23" s="159"/>
    </row>
    <row r="24" spans="1:17" s="72" customFormat="1" ht="14.25" x14ac:dyDescent="0.2">
      <c r="A24" s="63"/>
      <c r="B24" s="547" t="s">
        <v>813</v>
      </c>
      <c r="C24" s="64"/>
      <c r="D24" s="75"/>
      <c r="E24" s="128"/>
      <c r="F24" s="129"/>
      <c r="G24" s="129"/>
      <c r="H24" s="129"/>
      <c r="I24" s="153"/>
      <c r="J24" s="128"/>
      <c r="K24" s="128"/>
      <c r="L24" s="128"/>
      <c r="M24" s="120"/>
      <c r="N24" s="126"/>
      <c r="O24" s="127"/>
      <c r="P24" s="159"/>
      <c r="Q24" s="159"/>
    </row>
    <row r="25" spans="1:17" s="72" customFormat="1" ht="14.25" x14ac:dyDescent="0.2">
      <c r="A25" s="63"/>
      <c r="B25" s="143" t="s">
        <v>342</v>
      </c>
      <c r="C25" s="64">
        <v>5.79</v>
      </c>
      <c r="D25" s="75" t="s">
        <v>151</v>
      </c>
      <c r="E25" s="128"/>
      <c r="F25" s="129"/>
      <c r="G25" s="129"/>
      <c r="H25" s="129"/>
      <c r="I25" s="153"/>
      <c r="J25" s="128"/>
      <c r="K25" s="128"/>
      <c r="L25" s="128"/>
      <c r="M25" s="120"/>
      <c r="N25" s="126"/>
      <c r="O25" s="127"/>
      <c r="P25" s="159"/>
      <c r="Q25" s="159"/>
    </row>
    <row r="26" spans="1:17" s="72" customFormat="1" ht="14.25" x14ac:dyDescent="0.2">
      <c r="A26" s="63"/>
      <c r="B26" s="143"/>
      <c r="C26" s="64"/>
      <c r="D26" s="75"/>
      <c r="E26" s="128"/>
      <c r="F26" s="129"/>
      <c r="G26" s="129"/>
      <c r="H26" s="129"/>
      <c r="I26" s="153"/>
      <c r="J26" s="128"/>
      <c r="K26" s="128"/>
      <c r="L26" s="128"/>
      <c r="M26" s="120"/>
      <c r="N26" s="126"/>
      <c r="O26" s="127"/>
      <c r="P26" s="159"/>
      <c r="Q26" s="159"/>
    </row>
    <row r="27" spans="1:17" s="72" customFormat="1" ht="14.25" x14ac:dyDescent="0.2">
      <c r="A27" s="63"/>
      <c r="B27" s="547" t="s">
        <v>814</v>
      </c>
      <c r="C27" s="64"/>
      <c r="D27" s="75"/>
      <c r="E27" s="128"/>
      <c r="F27" s="129"/>
      <c r="G27" s="129"/>
      <c r="H27" s="129"/>
      <c r="I27" s="153"/>
      <c r="J27" s="128"/>
      <c r="K27" s="128"/>
      <c r="L27" s="128"/>
      <c r="M27" s="120"/>
      <c r="N27" s="126"/>
      <c r="O27" s="127"/>
      <c r="P27" s="159"/>
      <c r="Q27" s="159"/>
    </row>
    <row r="28" spans="1:17" s="72" customFormat="1" ht="14.25" x14ac:dyDescent="0.2">
      <c r="A28" s="63"/>
      <c r="B28" s="143" t="s">
        <v>342</v>
      </c>
      <c r="C28" s="64">
        <v>6.27</v>
      </c>
      <c r="D28" s="75" t="s">
        <v>151</v>
      </c>
      <c r="E28" s="128"/>
      <c r="F28" s="129"/>
      <c r="G28" s="129"/>
      <c r="H28" s="129"/>
      <c r="I28" s="153"/>
      <c r="J28" s="128"/>
      <c r="K28" s="128"/>
      <c r="L28" s="128"/>
      <c r="M28" s="120"/>
      <c r="N28" s="126"/>
      <c r="O28" s="127"/>
      <c r="P28" s="159"/>
      <c r="Q28" s="159"/>
    </row>
    <row r="29" spans="1:17" s="72" customFormat="1" ht="14.25" x14ac:dyDescent="0.2">
      <c r="A29" s="63"/>
      <c r="B29" s="143"/>
      <c r="C29" s="64"/>
      <c r="D29" s="75"/>
      <c r="E29" s="128"/>
      <c r="F29" s="129"/>
      <c r="G29" s="129"/>
      <c r="H29" s="129"/>
      <c r="I29" s="153"/>
      <c r="J29" s="128"/>
      <c r="K29" s="128"/>
      <c r="L29" s="128"/>
      <c r="M29" s="120"/>
      <c r="N29" s="126"/>
      <c r="O29" s="127"/>
      <c r="P29" s="159"/>
      <c r="Q29" s="159"/>
    </row>
    <row r="30" spans="1:17" s="72" customFormat="1" ht="14.25" x14ac:dyDescent="0.2">
      <c r="A30" s="63"/>
      <c r="B30" s="547" t="s">
        <v>815</v>
      </c>
      <c r="C30" s="64"/>
      <c r="D30" s="75"/>
      <c r="E30" s="128"/>
      <c r="F30" s="129"/>
      <c r="G30" s="129"/>
      <c r="H30" s="129"/>
      <c r="I30" s="153"/>
      <c r="J30" s="128"/>
      <c r="K30" s="128"/>
      <c r="L30" s="128"/>
      <c r="M30" s="120"/>
      <c r="N30" s="126"/>
      <c r="O30" s="127"/>
      <c r="P30" s="159"/>
      <c r="Q30" s="159"/>
    </row>
    <row r="31" spans="1:17" s="72" customFormat="1" ht="14.25" x14ac:dyDescent="0.2">
      <c r="A31" s="63"/>
      <c r="B31" s="143" t="s">
        <v>342</v>
      </c>
      <c r="C31" s="64">
        <v>7.45</v>
      </c>
      <c r="D31" s="75" t="s">
        <v>151</v>
      </c>
      <c r="E31" s="128"/>
      <c r="F31" s="129"/>
      <c r="G31" s="129"/>
      <c r="H31" s="129"/>
      <c r="I31" s="153"/>
      <c r="J31" s="128"/>
      <c r="K31" s="128"/>
      <c r="L31" s="128"/>
      <c r="M31" s="120"/>
      <c r="N31" s="126"/>
      <c r="O31" s="127"/>
      <c r="P31" s="159"/>
      <c r="Q31" s="159"/>
    </row>
    <row r="32" spans="1:17" s="72" customFormat="1" ht="14.25" x14ac:dyDescent="0.2">
      <c r="A32" s="63"/>
      <c r="B32" s="547"/>
      <c r="C32" s="64"/>
      <c r="D32" s="75"/>
      <c r="E32" s="128"/>
      <c r="F32" s="129"/>
      <c r="G32" s="129"/>
      <c r="H32" s="129"/>
      <c r="I32" s="153"/>
      <c r="J32" s="128"/>
      <c r="K32" s="128"/>
      <c r="L32" s="128"/>
      <c r="M32" s="120"/>
      <c r="N32" s="126"/>
      <c r="O32" s="127"/>
      <c r="P32" s="159"/>
      <c r="Q32" s="159"/>
    </row>
    <row r="33" spans="1:17" s="72" customFormat="1" ht="14.25" x14ac:dyDescent="0.2">
      <c r="A33" s="63"/>
      <c r="B33" s="547" t="s">
        <v>816</v>
      </c>
      <c r="C33" s="64"/>
      <c r="D33" s="75"/>
      <c r="E33" s="128"/>
      <c r="F33" s="129"/>
      <c r="G33" s="129"/>
      <c r="H33" s="129"/>
      <c r="I33" s="153"/>
      <c r="J33" s="128"/>
      <c r="K33" s="128"/>
      <c r="L33" s="128"/>
      <c r="M33" s="120"/>
      <c r="N33" s="126"/>
      <c r="O33" s="127"/>
      <c r="P33" s="159"/>
      <c r="Q33" s="159"/>
    </row>
    <row r="34" spans="1:17" s="72" customFormat="1" ht="14.25" x14ac:dyDescent="0.2">
      <c r="A34" s="63"/>
      <c r="B34" s="143" t="s">
        <v>342</v>
      </c>
      <c r="C34" s="64">
        <v>8.59</v>
      </c>
      <c r="D34" s="75" t="s">
        <v>151</v>
      </c>
      <c r="E34" s="128"/>
      <c r="F34" s="129"/>
      <c r="G34" s="129"/>
      <c r="H34" s="129"/>
      <c r="I34" s="153"/>
      <c r="J34" s="128"/>
      <c r="K34" s="128"/>
      <c r="L34" s="128"/>
      <c r="M34" s="120"/>
      <c r="N34" s="126"/>
      <c r="O34" s="127"/>
      <c r="P34" s="550">
        <f>SUM(C19:C34)</f>
        <v>38.989999999999995</v>
      </c>
      <c r="Q34" s="159" t="s">
        <v>151</v>
      </c>
    </row>
    <row r="35" spans="1:17" s="72" customFormat="1" ht="14.25" x14ac:dyDescent="0.2">
      <c r="A35" s="63"/>
      <c r="B35" s="143"/>
      <c r="C35" s="64"/>
      <c r="D35" s="75"/>
      <c r="E35" s="128"/>
      <c r="F35" s="129"/>
      <c r="G35" s="129"/>
      <c r="H35" s="129"/>
      <c r="I35" s="153"/>
      <c r="J35" s="128"/>
      <c r="K35" s="128"/>
      <c r="L35" s="128"/>
      <c r="M35" s="120"/>
      <c r="N35" s="126"/>
      <c r="O35" s="127"/>
      <c r="P35" s="550"/>
      <c r="Q35" s="159"/>
    </row>
    <row r="36" spans="1:17" s="72" customFormat="1" ht="14.25" x14ac:dyDescent="0.2">
      <c r="A36" s="63"/>
      <c r="B36" s="143" t="s">
        <v>808</v>
      </c>
      <c r="C36" s="64">
        <v>1</v>
      </c>
      <c r="D36" s="75" t="s">
        <v>75</v>
      </c>
      <c r="E36" s="245">
        <v>0</v>
      </c>
      <c r="F36" s="245">
        <f>C36*E36</f>
        <v>0</v>
      </c>
      <c r="G36" s="245">
        <f>$H$11*E36</f>
        <v>0</v>
      </c>
      <c r="H36" s="246">
        <f>F36*$H$11</f>
        <v>0</v>
      </c>
      <c r="I36" s="247">
        <v>840</v>
      </c>
      <c r="J36" s="246">
        <f>C36*I36</f>
        <v>840</v>
      </c>
      <c r="K36" s="248">
        <f>SUM(H36,J36)</f>
        <v>840</v>
      </c>
      <c r="L36" s="246">
        <f>K36/C36</f>
        <v>840</v>
      </c>
      <c r="M36" s="249">
        <f>C36*L36</f>
        <v>840</v>
      </c>
      <c r="N36" s="250">
        <v>0</v>
      </c>
      <c r="O36" s="251">
        <f>M36*N36</f>
        <v>0</v>
      </c>
      <c r="P36" s="550"/>
      <c r="Q36" s="159"/>
    </row>
    <row r="37" spans="1:17" s="72" customFormat="1" ht="14.25" hidden="1" x14ac:dyDescent="0.2">
      <c r="A37" s="63"/>
      <c r="B37" s="143"/>
      <c r="C37" s="64"/>
      <c r="D37" s="75"/>
      <c r="E37" s="128"/>
      <c r="F37" s="129"/>
      <c r="G37" s="129"/>
      <c r="H37" s="129"/>
      <c r="I37" s="153"/>
      <c r="J37" s="128"/>
      <c r="K37" s="128"/>
      <c r="L37" s="128"/>
      <c r="M37" s="120"/>
      <c r="N37" s="126"/>
      <c r="O37" s="127"/>
      <c r="P37" s="159"/>
      <c r="Q37" s="159"/>
    </row>
    <row r="38" spans="1:17" s="72" customFormat="1" ht="14.25" hidden="1" x14ac:dyDescent="0.2">
      <c r="A38" s="225"/>
      <c r="B38" s="200" t="s">
        <v>809</v>
      </c>
      <c r="C38" s="201">
        <v>1</v>
      </c>
      <c r="D38" s="226" t="s">
        <v>75</v>
      </c>
      <c r="E38" s="227">
        <v>0</v>
      </c>
      <c r="F38" s="227">
        <f>C38*E38</f>
        <v>0</v>
      </c>
      <c r="G38" s="227">
        <f>$H$11*E38</f>
        <v>0</v>
      </c>
      <c r="H38" s="228">
        <f>F38*$H$11</f>
        <v>0</v>
      </c>
      <c r="I38" s="229">
        <v>28190</v>
      </c>
      <c r="J38" s="228">
        <f>C38*I38</f>
        <v>28190</v>
      </c>
      <c r="K38" s="230">
        <f>SUM(H38,J38)</f>
        <v>28190</v>
      </c>
      <c r="L38" s="228">
        <f>K38/C38</f>
        <v>28190</v>
      </c>
      <c r="M38" s="231">
        <f>C38*L38</f>
        <v>28190</v>
      </c>
      <c r="N38" s="232">
        <v>0</v>
      </c>
      <c r="O38" s="233">
        <f>M38*N38</f>
        <v>0</v>
      </c>
      <c r="P38" s="159"/>
      <c r="Q38" s="159"/>
    </row>
    <row r="39" spans="1:17" s="72" customFormat="1" ht="14.25" x14ac:dyDescent="0.2">
      <c r="A39" s="63"/>
      <c r="B39" s="143"/>
      <c r="C39" s="192"/>
      <c r="D39" s="75"/>
      <c r="E39" s="134"/>
      <c r="F39" s="134"/>
      <c r="G39" s="134"/>
      <c r="H39" s="135"/>
      <c r="I39" s="152"/>
      <c r="J39" s="135"/>
      <c r="K39" s="136"/>
      <c r="L39" s="135"/>
      <c r="M39" s="137"/>
      <c r="N39" s="144"/>
      <c r="O39" s="130"/>
      <c r="P39" s="159"/>
      <c r="Q39" s="159"/>
    </row>
    <row r="40" spans="1:17" s="72" customFormat="1" ht="14.25" x14ac:dyDescent="0.2">
      <c r="A40" s="63"/>
      <c r="B40" s="143"/>
      <c r="C40" s="64"/>
      <c r="D40" s="75"/>
      <c r="E40" s="134"/>
      <c r="F40" s="134"/>
      <c r="G40" s="134"/>
      <c r="H40" s="135"/>
      <c r="I40" s="152"/>
      <c r="J40" s="135"/>
      <c r="K40" s="136"/>
      <c r="L40" s="135"/>
      <c r="M40" s="137"/>
      <c r="N40" s="144"/>
      <c r="O40" s="130"/>
      <c r="P40" s="159"/>
      <c r="Q40" s="159"/>
    </row>
    <row r="41" spans="1:17" s="72" customFormat="1" ht="15" x14ac:dyDescent="0.2">
      <c r="A41" s="63"/>
      <c r="B41" s="176" t="s">
        <v>59</v>
      </c>
      <c r="C41" s="64"/>
      <c r="D41" s="75"/>
      <c r="E41" s="128"/>
      <c r="F41" s="129"/>
      <c r="G41" s="129"/>
      <c r="H41" s="129"/>
      <c r="I41" s="153"/>
      <c r="J41" s="128"/>
      <c r="K41" s="128"/>
      <c r="L41" s="128"/>
      <c r="M41" s="120"/>
      <c r="N41" s="126"/>
      <c r="O41" s="127"/>
      <c r="P41" s="159"/>
      <c r="Q41" s="159"/>
    </row>
    <row r="42" spans="1:17" s="72" customFormat="1" ht="15" x14ac:dyDescent="0.2">
      <c r="A42" s="63"/>
      <c r="B42" s="176"/>
      <c r="C42" s="64"/>
      <c r="D42" s="75"/>
      <c r="E42" s="128"/>
      <c r="F42" s="129"/>
      <c r="G42" s="129"/>
      <c r="H42" s="129"/>
      <c r="I42" s="153"/>
      <c r="J42" s="128"/>
      <c r="K42" s="128"/>
      <c r="L42" s="128"/>
      <c r="M42" s="120"/>
      <c r="N42" s="126"/>
      <c r="O42" s="127"/>
      <c r="P42" s="159"/>
      <c r="Q42" s="159"/>
    </row>
    <row r="43" spans="1:17" s="72" customFormat="1" ht="14.25" x14ac:dyDescent="0.2">
      <c r="A43" s="63"/>
      <c r="B43" s="547" t="s">
        <v>817</v>
      </c>
      <c r="C43" s="64"/>
      <c r="D43" s="75"/>
      <c r="E43" s="128"/>
      <c r="F43" s="129"/>
      <c r="G43" s="129"/>
      <c r="H43" s="129"/>
      <c r="I43" s="153"/>
      <c r="J43" s="128"/>
      <c r="K43" s="128"/>
      <c r="L43" s="128"/>
      <c r="M43" s="120"/>
      <c r="N43" s="126"/>
      <c r="O43" s="127"/>
      <c r="P43" s="159"/>
      <c r="Q43" s="159"/>
    </row>
    <row r="44" spans="1:17" s="72" customFormat="1" ht="14.25" x14ac:dyDescent="0.2">
      <c r="A44" s="63"/>
      <c r="B44" s="143" t="s">
        <v>807</v>
      </c>
      <c r="C44" s="64">
        <v>5.77</v>
      </c>
      <c r="D44" s="75" t="s">
        <v>151</v>
      </c>
      <c r="E44" s="128"/>
      <c r="F44" s="129"/>
      <c r="G44" s="129"/>
      <c r="H44" s="129"/>
      <c r="I44" s="153"/>
      <c r="J44" s="128"/>
      <c r="K44" s="128"/>
      <c r="L44" s="128"/>
      <c r="M44" s="120"/>
      <c r="N44" s="126"/>
      <c r="O44" s="127"/>
      <c r="P44" s="159"/>
      <c r="Q44" s="159"/>
    </row>
    <row r="45" spans="1:17" s="72" customFormat="1" ht="15" x14ac:dyDescent="0.2">
      <c r="A45" s="63"/>
      <c r="B45" s="176"/>
      <c r="C45" s="64"/>
      <c r="D45" s="75" t="s">
        <v>29</v>
      </c>
      <c r="E45" s="128"/>
      <c r="F45" s="129"/>
      <c r="G45" s="129"/>
      <c r="H45" s="129"/>
      <c r="I45" s="153"/>
      <c r="J45" s="128"/>
      <c r="K45" s="128"/>
      <c r="L45" s="128"/>
      <c r="M45" s="120"/>
      <c r="N45" s="126"/>
      <c r="O45" s="127"/>
      <c r="P45" s="159"/>
      <c r="Q45" s="159"/>
    </row>
    <row r="46" spans="1:17" s="72" customFormat="1" ht="14.25" x14ac:dyDescent="0.2">
      <c r="A46" s="63"/>
      <c r="B46" s="547" t="s">
        <v>818</v>
      </c>
      <c r="C46" s="64"/>
      <c r="D46" s="75"/>
      <c r="E46" s="128"/>
      <c r="F46" s="129"/>
      <c r="G46" s="129"/>
      <c r="H46" s="129"/>
      <c r="I46" s="153"/>
      <c r="J46" s="128"/>
      <c r="K46" s="128"/>
      <c r="L46" s="128"/>
      <c r="M46" s="120"/>
      <c r="N46" s="126"/>
      <c r="O46" s="127"/>
      <c r="P46" s="159"/>
      <c r="Q46" s="159"/>
    </row>
    <row r="47" spans="1:17" s="72" customFormat="1" ht="14.25" x14ac:dyDescent="0.2">
      <c r="A47" s="63"/>
      <c r="B47" s="143" t="s">
        <v>807</v>
      </c>
      <c r="C47" s="64">
        <v>5.74</v>
      </c>
      <c r="D47" s="75" t="s">
        <v>151</v>
      </c>
      <c r="E47" s="128"/>
      <c r="F47" s="129"/>
      <c r="G47" s="129"/>
      <c r="H47" s="129"/>
      <c r="I47" s="153"/>
      <c r="J47" s="128"/>
      <c r="K47" s="128"/>
      <c r="L47" s="128"/>
      <c r="M47" s="120"/>
      <c r="N47" s="126"/>
      <c r="O47" s="127"/>
      <c r="P47" s="159"/>
      <c r="Q47" s="159"/>
    </row>
    <row r="48" spans="1:17" s="72" customFormat="1" ht="15" x14ac:dyDescent="0.2">
      <c r="A48" s="63"/>
      <c r="B48" s="176"/>
      <c r="C48" s="64"/>
      <c r="D48" s="75"/>
      <c r="E48" s="128"/>
      <c r="F48" s="129"/>
      <c r="G48" s="129"/>
      <c r="H48" s="129"/>
      <c r="I48" s="153"/>
      <c r="J48" s="128"/>
      <c r="K48" s="128"/>
      <c r="L48" s="128"/>
      <c r="M48" s="120"/>
      <c r="N48" s="126"/>
      <c r="O48" s="127"/>
      <c r="P48" s="159"/>
      <c r="Q48" s="159"/>
    </row>
    <row r="49" spans="1:17" s="72" customFormat="1" ht="14.25" x14ac:dyDescent="0.2">
      <c r="A49" s="63"/>
      <c r="B49" s="547" t="s">
        <v>819</v>
      </c>
      <c r="C49" s="64"/>
      <c r="D49" s="75"/>
      <c r="E49" s="128"/>
      <c r="F49" s="129"/>
      <c r="G49" s="129"/>
      <c r="H49" s="129"/>
      <c r="I49" s="153"/>
      <c r="J49" s="128"/>
      <c r="K49" s="128"/>
      <c r="L49" s="128"/>
      <c r="M49" s="120"/>
      <c r="N49" s="126"/>
      <c r="O49" s="127"/>
      <c r="P49" s="159"/>
      <c r="Q49" s="159"/>
    </row>
    <row r="50" spans="1:17" s="72" customFormat="1" ht="14.25" x14ac:dyDescent="0.2">
      <c r="A50" s="63"/>
      <c r="B50" s="143" t="s">
        <v>807</v>
      </c>
      <c r="C50" s="64">
        <v>8.69</v>
      </c>
      <c r="D50" s="75" t="s">
        <v>151</v>
      </c>
      <c r="E50" s="128"/>
      <c r="F50" s="129"/>
      <c r="G50" s="129"/>
      <c r="H50" s="129"/>
      <c r="I50" s="153"/>
      <c r="J50" s="128"/>
      <c r="K50" s="128"/>
      <c r="L50" s="128"/>
      <c r="M50" s="120"/>
      <c r="N50" s="126"/>
      <c r="O50" s="127"/>
      <c r="P50" s="159"/>
      <c r="Q50" s="159"/>
    </row>
    <row r="51" spans="1:17" s="72" customFormat="1" ht="14.25" x14ac:dyDescent="0.2">
      <c r="A51" s="63"/>
      <c r="B51" s="143"/>
      <c r="C51" s="64"/>
      <c r="D51" s="75"/>
      <c r="E51" s="128"/>
      <c r="F51" s="129"/>
      <c r="G51" s="129"/>
      <c r="H51" s="129"/>
      <c r="I51" s="153"/>
      <c r="J51" s="128"/>
      <c r="K51" s="128"/>
      <c r="L51" s="128"/>
      <c r="M51" s="120"/>
      <c r="N51" s="126"/>
      <c r="O51" s="127"/>
      <c r="P51" s="159"/>
      <c r="Q51" s="159"/>
    </row>
    <row r="52" spans="1:17" s="72" customFormat="1" ht="14.25" x14ac:dyDescent="0.2">
      <c r="A52" s="63"/>
      <c r="B52" s="547" t="s">
        <v>820</v>
      </c>
      <c r="C52" s="64"/>
      <c r="D52" s="75"/>
      <c r="E52" s="128"/>
      <c r="F52" s="129"/>
      <c r="G52" s="129"/>
      <c r="H52" s="129"/>
      <c r="I52" s="153"/>
      <c r="J52" s="128"/>
      <c r="K52" s="128"/>
      <c r="L52" s="128"/>
      <c r="M52" s="120"/>
      <c r="N52" s="126"/>
      <c r="O52" s="127"/>
      <c r="P52" s="159"/>
      <c r="Q52" s="159"/>
    </row>
    <row r="53" spans="1:17" s="72" customFormat="1" ht="14.25" x14ac:dyDescent="0.2">
      <c r="A53" s="63"/>
      <c r="B53" s="143" t="s">
        <v>807</v>
      </c>
      <c r="C53" s="64">
        <v>5.64</v>
      </c>
      <c r="D53" s="75" t="s">
        <v>151</v>
      </c>
      <c r="E53" s="128"/>
      <c r="F53" s="129"/>
      <c r="G53" s="129"/>
      <c r="H53" s="129"/>
      <c r="I53" s="153"/>
      <c r="J53" s="128"/>
      <c r="K53" s="128"/>
      <c r="L53" s="128"/>
      <c r="M53" s="120"/>
      <c r="N53" s="126"/>
      <c r="O53" s="127"/>
      <c r="P53" s="159"/>
      <c r="Q53" s="159"/>
    </row>
    <row r="54" spans="1:17" s="72" customFormat="1" ht="14.25" x14ac:dyDescent="0.2">
      <c r="A54" s="63"/>
      <c r="B54" s="143"/>
      <c r="C54" s="64"/>
      <c r="D54" s="75"/>
      <c r="E54" s="128"/>
      <c r="F54" s="129"/>
      <c r="G54" s="129"/>
      <c r="H54" s="129"/>
      <c r="I54" s="153"/>
      <c r="J54" s="128"/>
      <c r="K54" s="128"/>
      <c r="L54" s="128"/>
      <c r="M54" s="120"/>
      <c r="N54" s="126"/>
      <c r="O54" s="127"/>
      <c r="P54" s="159"/>
      <c r="Q54" s="159"/>
    </row>
    <row r="55" spans="1:17" s="72" customFormat="1" ht="14.25" x14ac:dyDescent="0.2">
      <c r="A55" s="63"/>
      <c r="B55" s="547" t="s">
        <v>821</v>
      </c>
      <c r="C55" s="64"/>
      <c r="D55" s="75"/>
      <c r="E55" s="128"/>
      <c r="F55" s="129"/>
      <c r="G55" s="129"/>
      <c r="H55" s="129"/>
      <c r="I55" s="153"/>
      <c r="J55" s="128"/>
      <c r="K55" s="128"/>
      <c r="L55" s="128"/>
      <c r="M55" s="120"/>
      <c r="N55" s="126"/>
      <c r="O55" s="127"/>
      <c r="P55" s="159"/>
      <c r="Q55" s="159"/>
    </row>
    <row r="56" spans="1:17" s="72" customFormat="1" ht="14.25" x14ac:dyDescent="0.2">
      <c r="A56" s="63"/>
      <c r="B56" s="143" t="s">
        <v>807</v>
      </c>
      <c r="C56" s="64">
        <v>9.7100000000000009</v>
      </c>
      <c r="D56" s="75" t="s">
        <v>151</v>
      </c>
      <c r="E56" s="128"/>
      <c r="F56" s="129"/>
      <c r="G56" s="129"/>
      <c r="H56" s="129"/>
      <c r="I56" s="153"/>
      <c r="J56" s="128"/>
      <c r="K56" s="128"/>
      <c r="L56" s="128"/>
      <c r="M56" s="120"/>
      <c r="N56" s="126"/>
      <c r="O56" s="127"/>
      <c r="P56" s="159"/>
      <c r="Q56" s="159"/>
    </row>
    <row r="57" spans="1:17" s="72" customFormat="1" ht="14.25" x14ac:dyDescent="0.2">
      <c r="A57" s="63"/>
      <c r="B57" s="143"/>
      <c r="C57" s="64"/>
      <c r="D57" s="75"/>
      <c r="E57" s="128"/>
      <c r="F57" s="129"/>
      <c r="G57" s="129"/>
      <c r="H57" s="129"/>
      <c r="I57" s="153"/>
      <c r="J57" s="128"/>
      <c r="K57" s="128"/>
      <c r="L57" s="128"/>
      <c r="M57" s="120"/>
      <c r="N57" s="126"/>
      <c r="O57" s="127"/>
      <c r="P57" s="159"/>
      <c r="Q57" s="159"/>
    </row>
    <row r="58" spans="1:17" s="72" customFormat="1" ht="14.25" x14ac:dyDescent="0.2">
      <c r="A58" s="63"/>
      <c r="B58" s="547" t="s">
        <v>822</v>
      </c>
      <c r="C58" s="64"/>
      <c r="D58" s="75"/>
      <c r="E58" s="128"/>
      <c r="F58" s="129"/>
      <c r="G58" s="129"/>
      <c r="H58" s="129"/>
      <c r="I58" s="153"/>
      <c r="J58" s="128"/>
      <c r="K58" s="128"/>
      <c r="L58" s="128"/>
      <c r="M58" s="120"/>
      <c r="N58" s="126"/>
      <c r="O58" s="127"/>
      <c r="P58" s="159"/>
      <c r="Q58" s="159"/>
    </row>
    <row r="59" spans="1:17" s="72" customFormat="1" ht="14.25" x14ac:dyDescent="0.2">
      <c r="A59" s="63"/>
      <c r="B59" s="143" t="s">
        <v>807</v>
      </c>
      <c r="C59" s="64">
        <v>15.98</v>
      </c>
      <c r="D59" s="75" t="s">
        <v>151</v>
      </c>
      <c r="E59" s="128"/>
      <c r="F59" s="129"/>
      <c r="G59" s="129"/>
      <c r="H59" s="129"/>
      <c r="I59" s="153"/>
      <c r="J59" s="128"/>
      <c r="K59" s="128"/>
      <c r="L59" s="128"/>
      <c r="M59" s="120"/>
      <c r="N59" s="126"/>
      <c r="O59" s="127"/>
      <c r="P59" s="550">
        <f>SUM(C44:C59)</f>
        <v>51.53</v>
      </c>
      <c r="Q59" s="159" t="s">
        <v>151</v>
      </c>
    </row>
    <row r="60" spans="1:17" s="72" customFormat="1" ht="15" x14ac:dyDescent="0.2">
      <c r="A60" s="63"/>
      <c r="B60" s="176"/>
      <c r="C60" s="64"/>
      <c r="D60" s="75"/>
      <c r="E60" s="128"/>
      <c r="F60" s="129"/>
      <c r="G60" s="129"/>
      <c r="H60" s="129"/>
      <c r="I60" s="153"/>
      <c r="J60" s="128"/>
      <c r="K60" s="128"/>
      <c r="L60" s="128"/>
      <c r="M60" s="120"/>
      <c r="N60" s="126"/>
      <c r="O60" s="127"/>
      <c r="P60" s="159"/>
      <c r="Q60" s="159"/>
    </row>
    <row r="61" spans="1:17" s="72" customFormat="1" ht="14.25" x14ac:dyDescent="0.2">
      <c r="A61" s="63"/>
      <c r="B61" s="143" t="s">
        <v>808</v>
      </c>
      <c r="C61" s="64">
        <v>1</v>
      </c>
      <c r="D61" s="75" t="s">
        <v>75</v>
      </c>
      <c r="E61" s="245">
        <v>0</v>
      </c>
      <c r="F61" s="245">
        <f>C61*E61</f>
        <v>0</v>
      </c>
      <c r="G61" s="245">
        <f>$H$11*E61</f>
        <v>0</v>
      </c>
      <c r="H61" s="246">
        <f>F61*$H$11</f>
        <v>0</v>
      </c>
      <c r="I61" s="247">
        <v>840</v>
      </c>
      <c r="J61" s="246">
        <f>C61*I61</f>
        <v>840</v>
      </c>
      <c r="K61" s="248">
        <f>SUM(H61,J61)</f>
        <v>840</v>
      </c>
      <c r="L61" s="246">
        <f>K61/C61</f>
        <v>840</v>
      </c>
      <c r="M61" s="249">
        <f>C61*L61</f>
        <v>840</v>
      </c>
      <c r="N61" s="250">
        <v>0</v>
      </c>
      <c r="O61" s="251">
        <f>M61*N61</f>
        <v>0</v>
      </c>
      <c r="P61" s="159"/>
      <c r="Q61" s="159"/>
    </row>
    <row r="62" spans="1:17" s="72" customFormat="1" ht="14.25" hidden="1" x14ac:dyDescent="0.2">
      <c r="A62" s="63"/>
      <c r="B62" s="143"/>
      <c r="C62" s="64"/>
      <c r="D62" s="75"/>
      <c r="E62" s="128"/>
      <c r="F62" s="129"/>
      <c r="G62" s="129"/>
      <c r="H62" s="129"/>
      <c r="I62" s="153"/>
      <c r="J62" s="128"/>
      <c r="K62" s="128"/>
      <c r="L62" s="128"/>
      <c r="M62" s="120"/>
      <c r="N62" s="126"/>
      <c r="O62" s="127"/>
      <c r="P62" s="159"/>
      <c r="Q62" s="159"/>
    </row>
    <row r="63" spans="1:17" s="72" customFormat="1" ht="14.25" hidden="1" x14ac:dyDescent="0.2">
      <c r="A63" s="225"/>
      <c r="B63" s="200" t="s">
        <v>810</v>
      </c>
      <c r="C63" s="201">
        <v>1</v>
      </c>
      <c r="D63" s="226" t="s">
        <v>75</v>
      </c>
      <c r="E63" s="227">
        <v>0</v>
      </c>
      <c r="F63" s="227">
        <f>C63*E63</f>
        <v>0</v>
      </c>
      <c r="G63" s="227">
        <f>$H$11*E63</f>
        <v>0</v>
      </c>
      <c r="H63" s="228">
        <f>F63*$H$11</f>
        <v>0</v>
      </c>
      <c r="I63" s="229">
        <v>37244</v>
      </c>
      <c r="J63" s="228">
        <f>C63*I63</f>
        <v>37244</v>
      </c>
      <c r="K63" s="230">
        <f>SUM(H63,J63)</f>
        <v>37244</v>
      </c>
      <c r="L63" s="228">
        <f>K63/C63</f>
        <v>37244</v>
      </c>
      <c r="M63" s="231">
        <f>C63*L63</f>
        <v>37244</v>
      </c>
      <c r="N63" s="232">
        <v>0</v>
      </c>
      <c r="O63" s="233">
        <f>M63*N63</f>
        <v>0</v>
      </c>
      <c r="P63" s="159"/>
      <c r="Q63" s="159"/>
    </row>
    <row r="64" spans="1:17" s="72" customFormat="1" ht="14.25" x14ac:dyDescent="0.2">
      <c r="A64" s="63"/>
      <c r="B64" s="143"/>
      <c r="C64" s="64"/>
      <c r="D64" s="75"/>
      <c r="E64" s="128"/>
      <c r="F64" s="129"/>
      <c r="G64" s="129"/>
      <c r="H64" s="129"/>
      <c r="I64" s="153"/>
      <c r="J64" s="128"/>
      <c r="K64" s="128"/>
      <c r="L64" s="128"/>
      <c r="M64" s="120"/>
      <c r="N64" s="126"/>
      <c r="O64" s="127"/>
      <c r="P64" s="159"/>
      <c r="Q64" s="159"/>
    </row>
    <row r="65" spans="1:17" s="72" customFormat="1" ht="14.25" x14ac:dyDescent="0.2">
      <c r="A65" s="63"/>
      <c r="B65" s="143"/>
      <c r="C65" s="64"/>
      <c r="D65" s="75"/>
      <c r="E65" s="128"/>
      <c r="F65" s="129"/>
      <c r="G65" s="129"/>
      <c r="H65" s="129"/>
      <c r="I65" s="153"/>
      <c r="J65" s="128"/>
      <c r="K65" s="128"/>
      <c r="L65" s="128"/>
      <c r="M65" s="120"/>
      <c r="N65" s="126"/>
      <c r="O65" s="127"/>
      <c r="P65" s="159"/>
      <c r="Q65" s="159"/>
    </row>
    <row r="66" spans="1:17" s="72" customFormat="1" ht="15" x14ac:dyDescent="0.2">
      <c r="A66" s="63"/>
      <c r="B66" s="176" t="s">
        <v>60</v>
      </c>
      <c r="C66" s="64"/>
      <c r="D66" s="75"/>
      <c r="E66" s="128"/>
      <c r="F66" s="129"/>
      <c r="G66" s="129"/>
      <c r="H66" s="129"/>
      <c r="I66" s="153"/>
      <c r="J66" s="128"/>
      <c r="K66" s="128"/>
      <c r="L66" s="128"/>
      <c r="M66" s="120"/>
      <c r="N66" s="126"/>
      <c r="O66" s="127"/>
      <c r="P66" s="159"/>
      <c r="Q66" s="159"/>
    </row>
    <row r="67" spans="1:17" s="72" customFormat="1" ht="15" x14ac:dyDescent="0.2">
      <c r="A67" s="63"/>
      <c r="B67" s="176"/>
      <c r="C67" s="64"/>
      <c r="D67" s="75"/>
      <c r="E67" s="128"/>
      <c r="F67" s="129"/>
      <c r="G67" s="129"/>
      <c r="H67" s="129"/>
      <c r="I67" s="153"/>
      <c r="J67" s="128"/>
      <c r="K67" s="128"/>
      <c r="L67" s="128"/>
      <c r="M67" s="120"/>
      <c r="N67" s="126"/>
      <c r="O67" s="127"/>
      <c r="P67" s="159"/>
      <c r="Q67" s="159"/>
    </row>
    <row r="68" spans="1:17" s="72" customFormat="1" ht="14.25" x14ac:dyDescent="0.2">
      <c r="A68" s="63"/>
      <c r="B68" s="547" t="s">
        <v>823</v>
      </c>
      <c r="C68" s="64"/>
      <c r="D68" s="75"/>
      <c r="E68" s="128"/>
      <c r="F68" s="129"/>
      <c r="G68" s="129"/>
      <c r="H68" s="129"/>
      <c r="I68" s="153"/>
      <c r="J68" s="128"/>
      <c r="K68" s="128"/>
      <c r="L68" s="128"/>
      <c r="M68" s="120"/>
      <c r="N68" s="126"/>
      <c r="O68" s="127"/>
      <c r="P68" s="159"/>
      <c r="Q68" s="159"/>
    </row>
    <row r="69" spans="1:17" s="72" customFormat="1" ht="14.25" x14ac:dyDescent="0.2">
      <c r="A69" s="63"/>
      <c r="B69" s="143" t="s">
        <v>807</v>
      </c>
      <c r="C69" s="64">
        <v>5.01</v>
      </c>
      <c r="D69" s="75" t="s">
        <v>151</v>
      </c>
      <c r="E69" s="128"/>
      <c r="F69" s="129"/>
      <c r="G69" s="129"/>
      <c r="H69" s="129"/>
      <c r="I69" s="153"/>
      <c r="J69" s="128"/>
      <c r="K69" s="128"/>
      <c r="L69" s="128"/>
      <c r="M69" s="120"/>
      <c r="N69" s="126"/>
      <c r="O69" s="127"/>
      <c r="P69" s="159"/>
      <c r="Q69" s="159"/>
    </row>
    <row r="70" spans="1:17" s="72" customFormat="1" ht="15" x14ac:dyDescent="0.2">
      <c r="A70" s="63"/>
      <c r="B70" s="176"/>
      <c r="C70" s="64"/>
      <c r="D70" s="75"/>
      <c r="E70" s="128"/>
      <c r="F70" s="129"/>
      <c r="G70" s="129"/>
      <c r="H70" s="129"/>
      <c r="I70" s="153"/>
      <c r="J70" s="128"/>
      <c r="K70" s="128"/>
      <c r="L70" s="128"/>
      <c r="M70" s="120"/>
      <c r="N70" s="126"/>
      <c r="O70" s="127"/>
      <c r="P70" s="159"/>
      <c r="Q70" s="159"/>
    </row>
    <row r="71" spans="1:17" s="72" customFormat="1" ht="14.25" x14ac:dyDescent="0.2">
      <c r="A71" s="63"/>
      <c r="B71" s="547" t="s">
        <v>824</v>
      </c>
      <c r="C71" s="64"/>
      <c r="D71" s="75"/>
      <c r="E71" s="128"/>
      <c r="F71" s="129"/>
      <c r="G71" s="129"/>
      <c r="H71" s="129"/>
      <c r="I71" s="153"/>
      <c r="J71" s="128"/>
      <c r="K71" s="128"/>
      <c r="L71" s="128"/>
      <c r="M71" s="120"/>
      <c r="N71" s="126"/>
      <c r="O71" s="127"/>
      <c r="P71" s="159"/>
      <c r="Q71" s="159"/>
    </row>
    <row r="72" spans="1:17" s="72" customFormat="1" ht="14.25" x14ac:dyDescent="0.2">
      <c r="A72" s="63"/>
      <c r="B72" s="143" t="s">
        <v>807</v>
      </c>
      <c r="C72" s="195">
        <v>5.55</v>
      </c>
      <c r="D72" s="75" t="s">
        <v>151</v>
      </c>
      <c r="E72" s="128"/>
      <c r="F72" s="129"/>
      <c r="G72" s="129"/>
      <c r="H72" s="129"/>
      <c r="I72" s="153"/>
      <c r="J72" s="128"/>
      <c r="K72" s="128"/>
      <c r="L72" s="128"/>
      <c r="M72" s="120"/>
      <c r="N72" s="126"/>
      <c r="O72" s="127"/>
      <c r="P72" s="159"/>
      <c r="Q72" s="159"/>
    </row>
    <row r="73" spans="1:17" s="72" customFormat="1" ht="15" x14ac:dyDescent="0.2">
      <c r="A73" s="63"/>
      <c r="B73" s="176"/>
      <c r="C73" s="64"/>
      <c r="D73" s="75"/>
      <c r="E73" s="128"/>
      <c r="F73" s="129"/>
      <c r="G73" s="129"/>
      <c r="H73" s="129"/>
      <c r="I73" s="153"/>
      <c r="J73" s="128"/>
      <c r="K73" s="128"/>
      <c r="L73" s="128"/>
      <c r="M73" s="120"/>
      <c r="N73" s="126"/>
      <c r="O73" s="127"/>
      <c r="P73" s="159"/>
      <c r="Q73" s="159"/>
    </row>
    <row r="74" spans="1:17" s="72" customFormat="1" ht="14.25" x14ac:dyDescent="0.2">
      <c r="A74" s="63"/>
      <c r="B74" s="547" t="s">
        <v>825</v>
      </c>
      <c r="C74" s="64"/>
      <c r="D74" s="75"/>
      <c r="E74" s="128"/>
      <c r="F74" s="129"/>
      <c r="G74" s="129"/>
      <c r="H74" s="129"/>
      <c r="I74" s="153"/>
      <c r="J74" s="128"/>
      <c r="K74" s="128"/>
      <c r="L74" s="128"/>
      <c r="M74" s="120"/>
      <c r="N74" s="126"/>
      <c r="O74" s="127"/>
      <c r="P74" s="159"/>
      <c r="Q74" s="159"/>
    </row>
    <row r="75" spans="1:17" s="72" customFormat="1" ht="14.25" x14ac:dyDescent="0.2">
      <c r="A75" s="63"/>
      <c r="B75" s="143" t="s">
        <v>807</v>
      </c>
      <c r="C75" s="195">
        <v>5.55</v>
      </c>
      <c r="D75" s="75" t="s">
        <v>151</v>
      </c>
      <c r="E75" s="128"/>
      <c r="F75" s="129"/>
      <c r="G75" s="129"/>
      <c r="H75" s="129"/>
      <c r="I75" s="153"/>
      <c r="J75" s="128"/>
      <c r="K75" s="128"/>
      <c r="L75" s="128"/>
      <c r="M75" s="120"/>
      <c r="N75" s="126"/>
      <c r="O75" s="127"/>
      <c r="P75" s="159"/>
      <c r="Q75" s="159"/>
    </row>
    <row r="76" spans="1:17" s="72" customFormat="1" ht="15" x14ac:dyDescent="0.2">
      <c r="A76" s="63"/>
      <c r="B76" s="176"/>
      <c r="C76" s="64"/>
      <c r="D76" s="75"/>
      <c r="E76" s="128"/>
      <c r="F76" s="129"/>
      <c r="G76" s="129"/>
      <c r="H76" s="129"/>
      <c r="I76" s="153"/>
      <c r="J76" s="128"/>
      <c r="K76" s="128"/>
      <c r="L76" s="128"/>
      <c r="M76" s="120"/>
      <c r="N76" s="126"/>
      <c r="O76" s="127"/>
      <c r="P76" s="159"/>
      <c r="Q76" s="159"/>
    </row>
    <row r="77" spans="1:17" s="72" customFormat="1" ht="14.25" x14ac:dyDescent="0.2">
      <c r="A77" s="63"/>
      <c r="B77" s="547" t="s">
        <v>826</v>
      </c>
      <c r="C77" s="64"/>
      <c r="D77" s="75"/>
      <c r="E77" s="128"/>
      <c r="F77" s="129"/>
      <c r="G77" s="129"/>
      <c r="H77" s="129"/>
      <c r="I77" s="153"/>
      <c r="J77" s="128"/>
      <c r="K77" s="128"/>
      <c r="L77" s="128"/>
      <c r="M77" s="120"/>
      <c r="N77" s="126"/>
      <c r="O77" s="127"/>
      <c r="P77" s="159"/>
      <c r="Q77" s="159"/>
    </row>
    <row r="78" spans="1:17" s="72" customFormat="1" ht="14.25" x14ac:dyDescent="0.2">
      <c r="A78" s="63"/>
      <c r="B78" s="143" t="s">
        <v>807</v>
      </c>
      <c r="C78" s="195">
        <v>5.47</v>
      </c>
      <c r="D78" s="75" t="s">
        <v>151</v>
      </c>
      <c r="E78" s="128"/>
      <c r="F78" s="129"/>
      <c r="G78" s="129"/>
      <c r="H78" s="129"/>
      <c r="I78" s="153"/>
      <c r="J78" s="128"/>
      <c r="K78" s="128"/>
      <c r="L78" s="128"/>
      <c r="M78" s="120"/>
      <c r="N78" s="126"/>
      <c r="O78" s="127"/>
      <c r="P78" s="159"/>
      <c r="Q78" s="159"/>
    </row>
    <row r="79" spans="1:17" s="72" customFormat="1" ht="15" x14ac:dyDescent="0.2">
      <c r="A79" s="63"/>
      <c r="B79" s="176"/>
      <c r="C79" s="195" t="s">
        <v>29</v>
      </c>
      <c r="D79" s="75"/>
      <c r="E79" s="128"/>
      <c r="F79" s="129"/>
      <c r="G79" s="129"/>
      <c r="H79" s="129"/>
      <c r="I79" s="153"/>
      <c r="J79" s="128"/>
      <c r="K79" s="128"/>
      <c r="L79" s="128"/>
      <c r="M79" s="120"/>
      <c r="N79" s="126"/>
      <c r="O79" s="127"/>
      <c r="P79" s="159"/>
      <c r="Q79" s="159"/>
    </row>
    <row r="80" spans="1:17" s="72" customFormat="1" ht="14.25" x14ac:dyDescent="0.2">
      <c r="A80" s="63"/>
      <c r="B80" s="547" t="s">
        <v>827</v>
      </c>
      <c r="C80" s="64"/>
      <c r="D80" s="75"/>
      <c r="E80" s="128"/>
      <c r="F80" s="129"/>
      <c r="G80" s="129"/>
      <c r="H80" s="129"/>
      <c r="I80" s="153"/>
      <c r="J80" s="128"/>
      <c r="K80" s="128"/>
      <c r="L80" s="128"/>
      <c r="M80" s="120"/>
      <c r="N80" s="126"/>
      <c r="O80" s="127"/>
      <c r="P80" s="159"/>
      <c r="Q80" s="159"/>
    </row>
    <row r="81" spans="1:17" s="72" customFormat="1" ht="14.25" x14ac:dyDescent="0.2">
      <c r="A81" s="63"/>
      <c r="B81" s="143" t="s">
        <v>807</v>
      </c>
      <c r="C81" s="195">
        <v>13.39</v>
      </c>
      <c r="D81" s="75" t="s">
        <v>151</v>
      </c>
      <c r="E81" s="128"/>
      <c r="F81" s="129"/>
      <c r="G81" s="129"/>
      <c r="H81" s="129"/>
      <c r="I81" s="153"/>
      <c r="J81" s="128"/>
      <c r="K81" s="128"/>
      <c r="L81" s="128"/>
      <c r="M81" s="120"/>
      <c r="N81" s="126"/>
      <c r="O81" s="127"/>
      <c r="P81" s="159"/>
      <c r="Q81" s="159"/>
    </row>
    <row r="82" spans="1:17" s="72" customFormat="1" ht="14.25" x14ac:dyDescent="0.2">
      <c r="A82" s="63"/>
      <c r="B82" s="143"/>
      <c r="C82" s="195"/>
      <c r="D82" s="75"/>
      <c r="E82" s="128"/>
      <c r="F82" s="129"/>
      <c r="G82" s="129"/>
      <c r="H82" s="129"/>
      <c r="I82" s="153"/>
      <c r="J82" s="128"/>
      <c r="K82" s="128"/>
      <c r="L82" s="128"/>
      <c r="M82" s="120"/>
      <c r="N82" s="126"/>
      <c r="O82" s="127"/>
      <c r="P82" s="159"/>
      <c r="Q82" s="159"/>
    </row>
    <row r="83" spans="1:17" s="72" customFormat="1" ht="14.25" x14ac:dyDescent="0.2">
      <c r="A83" s="63"/>
      <c r="B83" s="547" t="s">
        <v>828</v>
      </c>
      <c r="C83" s="195"/>
      <c r="D83" s="75"/>
      <c r="E83" s="128"/>
      <c r="F83" s="129"/>
      <c r="G83" s="129"/>
      <c r="H83" s="129"/>
      <c r="I83" s="153"/>
      <c r="J83" s="128"/>
      <c r="K83" s="128"/>
      <c r="L83" s="128"/>
      <c r="M83" s="120"/>
      <c r="N83" s="126"/>
      <c r="O83" s="127"/>
      <c r="P83" s="159"/>
      <c r="Q83" s="159"/>
    </row>
    <row r="84" spans="1:17" s="72" customFormat="1" ht="14.25" x14ac:dyDescent="0.2">
      <c r="A84" s="63"/>
      <c r="B84" s="143" t="s">
        <v>807</v>
      </c>
      <c r="C84" s="195">
        <v>8.2899999999999991</v>
      </c>
      <c r="D84" s="75" t="s">
        <v>151</v>
      </c>
      <c r="E84" s="128"/>
      <c r="F84" s="129"/>
      <c r="G84" s="129"/>
      <c r="H84" s="129"/>
      <c r="I84" s="153"/>
      <c r="J84" s="128"/>
      <c r="K84" s="128"/>
      <c r="L84" s="128"/>
      <c r="M84" s="120"/>
      <c r="N84" s="126"/>
      <c r="O84" s="127"/>
      <c r="P84" s="159"/>
      <c r="Q84" s="159"/>
    </row>
    <row r="85" spans="1:17" s="72" customFormat="1" ht="14.25" x14ac:dyDescent="0.2">
      <c r="A85" s="63"/>
      <c r="B85" s="143"/>
      <c r="C85" s="195"/>
      <c r="D85" s="75"/>
      <c r="E85" s="128"/>
      <c r="F85" s="129"/>
      <c r="G85" s="129"/>
      <c r="H85" s="129"/>
      <c r="I85" s="153"/>
      <c r="J85" s="128"/>
      <c r="K85" s="128"/>
      <c r="L85" s="128"/>
      <c r="M85" s="120"/>
      <c r="N85" s="126"/>
      <c r="O85" s="127"/>
      <c r="P85" s="159"/>
      <c r="Q85" s="159"/>
    </row>
    <row r="86" spans="1:17" s="72" customFormat="1" ht="14.25" x14ac:dyDescent="0.2">
      <c r="A86" s="63"/>
      <c r="B86" s="547" t="s">
        <v>829</v>
      </c>
      <c r="C86" s="195"/>
      <c r="D86" s="75"/>
      <c r="E86" s="128"/>
      <c r="F86" s="129"/>
      <c r="G86" s="129"/>
      <c r="H86" s="129"/>
      <c r="I86" s="153"/>
      <c r="J86" s="128"/>
      <c r="K86" s="128"/>
      <c r="L86" s="128"/>
      <c r="M86" s="120"/>
      <c r="N86" s="126"/>
      <c r="O86" s="127"/>
      <c r="P86" s="159"/>
      <c r="Q86" s="159"/>
    </row>
    <row r="87" spans="1:17" s="72" customFormat="1" ht="14.25" x14ac:dyDescent="0.2">
      <c r="A87" s="63"/>
      <c r="B87" s="143" t="s">
        <v>807</v>
      </c>
      <c r="C87" s="195">
        <v>8.2899999999999991</v>
      </c>
      <c r="D87" s="75" t="s">
        <v>151</v>
      </c>
      <c r="E87" s="128"/>
      <c r="F87" s="129"/>
      <c r="G87" s="129"/>
      <c r="H87" s="129"/>
      <c r="I87" s="153"/>
      <c r="J87" s="128"/>
      <c r="K87" s="128"/>
      <c r="L87" s="128"/>
      <c r="M87" s="120"/>
      <c r="N87" s="126"/>
      <c r="O87" s="127"/>
      <c r="P87" s="159"/>
      <c r="Q87" s="159"/>
    </row>
    <row r="88" spans="1:17" s="72" customFormat="1" ht="14.25" x14ac:dyDescent="0.2">
      <c r="A88" s="63"/>
      <c r="B88" s="143"/>
      <c r="C88" s="195"/>
      <c r="D88" s="75"/>
      <c r="E88" s="128"/>
      <c r="F88" s="129"/>
      <c r="G88" s="129"/>
      <c r="H88" s="129"/>
      <c r="I88" s="153"/>
      <c r="J88" s="128"/>
      <c r="K88" s="128"/>
      <c r="L88" s="128"/>
      <c r="M88" s="120"/>
      <c r="N88" s="126"/>
      <c r="O88" s="127"/>
      <c r="P88" s="159"/>
      <c r="Q88" s="159"/>
    </row>
    <row r="89" spans="1:17" s="72" customFormat="1" ht="14.25" x14ac:dyDescent="0.2">
      <c r="A89" s="63"/>
      <c r="B89" s="547" t="s">
        <v>830</v>
      </c>
      <c r="C89" s="195"/>
      <c r="D89" s="75"/>
      <c r="E89" s="128"/>
      <c r="F89" s="129"/>
      <c r="G89" s="129"/>
      <c r="H89" s="129"/>
      <c r="I89" s="153"/>
      <c r="J89" s="128"/>
      <c r="K89" s="128"/>
      <c r="L89" s="128"/>
      <c r="M89" s="120"/>
      <c r="N89" s="126"/>
      <c r="O89" s="127"/>
      <c r="P89" s="159"/>
      <c r="Q89" s="159"/>
    </row>
    <row r="90" spans="1:17" s="72" customFormat="1" ht="14.25" x14ac:dyDescent="0.2">
      <c r="A90" s="63"/>
      <c r="B90" s="143" t="s">
        <v>807</v>
      </c>
      <c r="C90" s="134">
        <v>15.4</v>
      </c>
      <c r="D90" s="75" t="s">
        <v>151</v>
      </c>
      <c r="E90" s="128"/>
      <c r="F90" s="129"/>
      <c r="G90" s="129"/>
      <c r="H90" s="129"/>
      <c r="I90" s="153"/>
      <c r="J90" s="128"/>
      <c r="K90" s="128"/>
      <c r="L90" s="128"/>
      <c r="M90" s="120"/>
      <c r="N90" s="126"/>
      <c r="O90" s="127"/>
      <c r="P90" s="159"/>
      <c r="Q90" s="159"/>
    </row>
    <row r="91" spans="1:17" s="72" customFormat="1" ht="14.25" x14ac:dyDescent="0.2">
      <c r="A91" s="63"/>
      <c r="B91" s="143"/>
      <c r="C91" s="195"/>
      <c r="D91" s="75"/>
      <c r="E91" s="128"/>
      <c r="F91" s="129"/>
      <c r="G91" s="129"/>
      <c r="H91" s="129"/>
      <c r="I91" s="153"/>
      <c r="J91" s="128"/>
      <c r="K91" s="128"/>
      <c r="L91" s="128"/>
      <c r="M91" s="120"/>
      <c r="N91" s="126"/>
      <c r="O91" s="127"/>
      <c r="P91" s="159"/>
      <c r="Q91" s="159"/>
    </row>
    <row r="92" spans="1:17" s="72" customFormat="1" ht="15.75" customHeight="1" x14ac:dyDescent="0.2">
      <c r="A92" s="63"/>
      <c r="B92" s="547" t="s">
        <v>831</v>
      </c>
      <c r="C92" s="195"/>
      <c r="D92" s="75"/>
      <c r="E92" s="128"/>
      <c r="F92" s="129"/>
      <c r="G92" s="129"/>
      <c r="H92" s="129"/>
      <c r="I92" s="153"/>
      <c r="J92" s="128"/>
      <c r="K92" s="128"/>
      <c r="L92" s="128"/>
      <c r="M92" s="120"/>
      <c r="N92" s="126"/>
      <c r="O92" s="127"/>
      <c r="P92" s="159"/>
      <c r="Q92" s="159"/>
    </row>
    <row r="93" spans="1:17" s="72" customFormat="1" ht="14.25" x14ac:dyDescent="0.2">
      <c r="A93" s="63"/>
      <c r="B93" s="143" t="s">
        <v>807</v>
      </c>
      <c r="C93" s="134">
        <v>15.4</v>
      </c>
      <c r="D93" s="75" t="s">
        <v>151</v>
      </c>
      <c r="E93" s="128"/>
      <c r="F93" s="129"/>
      <c r="G93" s="129"/>
      <c r="H93" s="129"/>
      <c r="I93" s="153"/>
      <c r="J93" s="128"/>
      <c r="K93" s="128"/>
      <c r="L93" s="128"/>
      <c r="M93" s="120"/>
      <c r="N93" s="126"/>
      <c r="O93" s="127"/>
      <c r="P93" s="550">
        <f>SUM(C69:C93)</f>
        <v>82.350000000000009</v>
      </c>
      <c r="Q93" s="159" t="s">
        <v>151</v>
      </c>
    </row>
    <row r="94" spans="1:17" s="72" customFormat="1" ht="14.25" x14ac:dyDescent="0.2">
      <c r="A94" s="63"/>
      <c r="B94" s="143"/>
      <c r="C94" s="64"/>
      <c r="D94" s="75"/>
      <c r="E94" s="128"/>
      <c r="F94" s="129"/>
      <c r="G94" s="129"/>
      <c r="H94" s="129"/>
      <c r="I94" s="153"/>
      <c r="J94" s="128"/>
      <c r="K94" s="128"/>
      <c r="L94" s="128"/>
      <c r="M94" s="120"/>
      <c r="N94" s="126"/>
      <c r="O94" s="127"/>
      <c r="P94" s="159"/>
      <c r="Q94" s="159"/>
    </row>
    <row r="95" spans="1:17" s="72" customFormat="1" ht="14.25" x14ac:dyDescent="0.2">
      <c r="A95" s="63"/>
      <c r="B95" s="143" t="s">
        <v>808</v>
      </c>
      <c r="C95" s="64">
        <v>1</v>
      </c>
      <c r="D95" s="75" t="s">
        <v>75</v>
      </c>
      <c r="E95" s="245">
        <v>0</v>
      </c>
      <c r="F95" s="245">
        <f>C95*E95</f>
        <v>0</v>
      </c>
      <c r="G95" s="245">
        <f>$H$11*E95</f>
        <v>0</v>
      </c>
      <c r="H95" s="246">
        <f>F95*$H$11</f>
        <v>0</v>
      </c>
      <c r="I95" s="247">
        <v>1260</v>
      </c>
      <c r="J95" s="246">
        <f>C95*I95</f>
        <v>1260</v>
      </c>
      <c r="K95" s="248">
        <f>SUM(H95,J95)</f>
        <v>1260</v>
      </c>
      <c r="L95" s="246">
        <f>K95/C95</f>
        <v>1260</v>
      </c>
      <c r="M95" s="249">
        <f>C95*L95</f>
        <v>1260</v>
      </c>
      <c r="N95" s="250">
        <v>0</v>
      </c>
      <c r="O95" s="251">
        <f>M95*N95</f>
        <v>0</v>
      </c>
      <c r="P95" s="159"/>
      <c r="Q95" s="159"/>
    </row>
    <row r="96" spans="1:17" s="72" customFormat="1" ht="14.25" hidden="1" x14ac:dyDescent="0.2">
      <c r="A96" s="63"/>
      <c r="B96" s="143"/>
      <c r="C96" s="64"/>
      <c r="D96" s="75"/>
      <c r="E96" s="128"/>
      <c r="F96" s="129"/>
      <c r="G96" s="129"/>
      <c r="H96" s="129"/>
      <c r="I96" s="153"/>
      <c r="J96" s="128"/>
      <c r="K96" s="128"/>
      <c r="L96" s="128"/>
      <c r="M96" s="120"/>
      <c r="N96" s="126"/>
      <c r="O96" s="127"/>
      <c r="P96" s="159"/>
      <c r="Q96" s="159"/>
    </row>
    <row r="97" spans="1:19" s="72" customFormat="1" ht="14.25" hidden="1" x14ac:dyDescent="0.2">
      <c r="A97" s="225"/>
      <c r="B97" s="200" t="s">
        <v>811</v>
      </c>
      <c r="C97" s="201">
        <v>1</v>
      </c>
      <c r="D97" s="226" t="s">
        <v>75</v>
      </c>
      <c r="E97" s="227">
        <v>0</v>
      </c>
      <c r="F97" s="227">
        <f>C97*E97</f>
        <v>0</v>
      </c>
      <c r="G97" s="227">
        <f>$H$11*E97</f>
        <v>0</v>
      </c>
      <c r="H97" s="228">
        <f>F97*$H$11</f>
        <v>0</v>
      </c>
      <c r="I97" s="229">
        <v>61210</v>
      </c>
      <c r="J97" s="228">
        <f>C97*I97</f>
        <v>61210</v>
      </c>
      <c r="K97" s="230">
        <f>SUM(H97,J97)</f>
        <v>61210</v>
      </c>
      <c r="L97" s="228">
        <f>K97/C97</f>
        <v>61210</v>
      </c>
      <c r="M97" s="231">
        <f>C97*L97</f>
        <v>61210</v>
      </c>
      <c r="N97" s="232">
        <v>0</v>
      </c>
      <c r="O97" s="233">
        <f>M97*N97</f>
        <v>0</v>
      </c>
      <c r="P97" s="159"/>
      <c r="Q97" s="159"/>
      <c r="R97" s="583">
        <f>SUM(M97,M63,M38)</f>
        <v>126644</v>
      </c>
    </row>
    <row r="98" spans="1:19" s="72" customFormat="1" ht="14.25" x14ac:dyDescent="0.2">
      <c r="A98" s="241"/>
      <c r="B98" s="242"/>
      <c r="C98" s="243"/>
      <c r="D98" s="244"/>
      <c r="E98" s="245"/>
      <c r="F98" s="245"/>
      <c r="G98" s="245"/>
      <c r="H98" s="246"/>
      <c r="I98" s="247"/>
      <c r="J98" s="246"/>
      <c r="K98" s="248"/>
      <c r="L98" s="246"/>
      <c r="M98" s="249"/>
      <c r="N98" s="250"/>
      <c r="O98" s="251"/>
      <c r="P98" s="159"/>
      <c r="Q98" s="159"/>
    </row>
    <row r="99" spans="1:19" ht="23.25" customHeight="1" x14ac:dyDescent="0.2">
      <c r="A99" s="63"/>
      <c r="B99" s="132"/>
      <c r="C99" s="138"/>
      <c r="D99" s="142"/>
      <c r="E99" s="133"/>
      <c r="F99" s="134"/>
      <c r="G99" s="134"/>
      <c r="H99" s="135"/>
      <c r="I99" s="135"/>
      <c r="J99" s="135"/>
      <c r="K99" s="136"/>
      <c r="L99" s="135"/>
      <c r="M99" s="137"/>
      <c r="N99" s="131"/>
      <c r="O99" s="130"/>
      <c r="P99" s="60"/>
      <c r="Q99" s="59"/>
    </row>
    <row r="100" spans="1:19" ht="24" customHeight="1" x14ac:dyDescent="0.2">
      <c r="A100" s="30"/>
      <c r="B100" s="31"/>
      <c r="C100" s="32"/>
      <c r="D100" s="33"/>
      <c r="E100" s="33"/>
      <c r="F100" s="33">
        <f>SUM(F13:F99)</f>
        <v>0</v>
      </c>
      <c r="G100" s="33"/>
      <c r="H100" s="86">
        <f>SUM(H13:H99)</f>
        <v>0</v>
      </c>
      <c r="I100" s="33"/>
      <c r="J100" s="78">
        <f>SUM(J13:J99)</f>
        <v>129584</v>
      </c>
      <c r="K100" s="33"/>
      <c r="L100" s="33"/>
      <c r="M100" s="68"/>
      <c r="N100" s="94"/>
      <c r="O100" s="104"/>
      <c r="P100" s="60"/>
      <c r="Q100" s="59"/>
    </row>
    <row r="101" spans="1:19" ht="15" customHeight="1" x14ac:dyDescent="0.2">
      <c r="A101" s="15"/>
      <c r="B101" s="28" t="s">
        <v>16</v>
      </c>
      <c r="C101" s="24"/>
      <c r="D101" s="25"/>
      <c r="E101" s="25"/>
      <c r="F101" s="25"/>
      <c r="G101" s="25"/>
      <c r="H101" s="25"/>
      <c r="I101" s="25"/>
      <c r="J101" s="25"/>
      <c r="K101" s="25"/>
      <c r="L101" s="25"/>
      <c r="M101" s="26">
        <f>SUM(M13:M99)</f>
        <v>129584</v>
      </c>
      <c r="N101" s="100"/>
      <c r="O101" s="103">
        <f>SUM(O13:O99)</f>
        <v>0</v>
      </c>
      <c r="P101" s="60"/>
      <c r="Q101" s="65"/>
    </row>
    <row r="102" spans="1:19" x14ac:dyDescent="0.2">
      <c r="A102" s="13"/>
      <c r="B102" s="35" t="s">
        <v>12</v>
      </c>
      <c r="C102" s="24"/>
      <c r="D102" s="36"/>
      <c r="E102" s="36"/>
      <c r="F102" s="36"/>
      <c r="G102" s="36"/>
      <c r="H102" s="36"/>
      <c r="I102" s="36"/>
      <c r="J102" s="36"/>
      <c r="K102" s="36"/>
      <c r="L102" s="36"/>
      <c r="M102" s="26"/>
      <c r="N102" s="100"/>
      <c r="O102" s="103"/>
      <c r="P102" s="60"/>
      <c r="Q102" s="65"/>
    </row>
    <row r="103" spans="1:19" ht="24" customHeight="1" x14ac:dyDescent="0.2">
      <c r="A103" s="13"/>
      <c r="B103" s="37"/>
      <c r="C103" s="24"/>
      <c r="D103" s="36"/>
      <c r="E103" s="36"/>
      <c r="F103" s="36"/>
      <c r="G103" s="36"/>
      <c r="H103" s="36"/>
      <c r="I103" s="36"/>
      <c r="J103" s="36"/>
      <c r="K103" s="36"/>
      <c r="L103" s="36"/>
      <c r="M103" s="26"/>
      <c r="N103" s="100"/>
      <c r="O103" s="103"/>
      <c r="P103" s="60"/>
      <c r="Q103" s="59"/>
    </row>
    <row r="104" spans="1:19" ht="18.75" customHeight="1" x14ac:dyDescent="0.2">
      <c r="A104" s="15"/>
      <c r="B104" s="13" t="s">
        <v>8</v>
      </c>
      <c r="C104" s="24"/>
      <c r="D104" s="36" t="s">
        <v>5</v>
      </c>
      <c r="E104" s="36"/>
      <c r="F104" s="36"/>
      <c r="G104" s="36"/>
      <c r="H104" s="36"/>
      <c r="I104" s="36"/>
      <c r="J104" s="36"/>
      <c r="K104" s="36"/>
      <c r="L104" s="609">
        <v>2.0500000000000001E-2</v>
      </c>
      <c r="M104" s="84">
        <f>M101*L104</f>
        <v>2656.4720000000002</v>
      </c>
      <c r="N104" s="100"/>
      <c r="O104" s="103">
        <f>(O101/M101)*M104</f>
        <v>0</v>
      </c>
      <c r="P104" s="551">
        <f>P34</f>
        <v>38.989999999999995</v>
      </c>
      <c r="Q104" s="159" t="s">
        <v>278</v>
      </c>
      <c r="R104" s="389"/>
      <c r="S104" s="159"/>
    </row>
    <row r="105" spans="1:19" ht="18.75" customHeight="1" x14ac:dyDescent="0.2">
      <c r="A105" s="38"/>
      <c r="B105" s="13"/>
      <c r="C105" s="24"/>
      <c r="D105" s="36"/>
      <c r="E105" s="36"/>
      <c r="F105" s="36"/>
      <c r="G105" s="36"/>
      <c r="H105" s="36"/>
      <c r="I105" s="36"/>
      <c r="J105" s="36"/>
      <c r="K105" s="36"/>
      <c r="L105" s="36"/>
      <c r="M105" s="26"/>
      <c r="N105" s="100"/>
      <c r="O105" s="103"/>
      <c r="P105" s="551">
        <f>P59</f>
        <v>51.53</v>
      </c>
      <c r="Q105" s="159" t="s">
        <v>279</v>
      </c>
      <c r="R105" s="389"/>
      <c r="S105" s="159"/>
    </row>
    <row r="106" spans="1:19" s="42" customFormat="1" x14ac:dyDescent="0.2">
      <c r="A106" s="15"/>
      <c r="B106" s="39" t="s">
        <v>9</v>
      </c>
      <c r="C106" s="40"/>
      <c r="D106" s="41" t="s">
        <v>5</v>
      </c>
      <c r="E106" s="41"/>
      <c r="F106" s="41"/>
      <c r="G106" s="41"/>
      <c r="H106" s="41"/>
      <c r="I106" s="41"/>
      <c r="J106" s="41"/>
      <c r="K106" s="41"/>
      <c r="L106" s="79">
        <v>0.01</v>
      </c>
      <c r="M106" s="34">
        <f>M101*L106</f>
        <v>1295.8399999999999</v>
      </c>
      <c r="N106" s="100"/>
      <c r="O106" s="103">
        <f>(O101/M101)*M106</f>
        <v>0</v>
      </c>
      <c r="P106" s="552">
        <f>P93</f>
        <v>82.350000000000009</v>
      </c>
      <c r="Q106" s="358" t="s">
        <v>280</v>
      </c>
      <c r="R106" s="553"/>
      <c r="S106" s="358"/>
    </row>
    <row r="107" spans="1:19" s="42" customFormat="1" x14ac:dyDescent="0.2">
      <c r="A107" s="15"/>
      <c r="B107" s="39"/>
      <c r="C107" s="40"/>
      <c r="D107" s="41"/>
      <c r="E107" s="41"/>
      <c r="F107" s="41"/>
      <c r="G107" s="41"/>
      <c r="H107" s="41"/>
      <c r="I107" s="41"/>
      <c r="J107" s="41"/>
      <c r="K107" s="41"/>
      <c r="L107" s="41"/>
      <c r="M107" s="34"/>
      <c r="N107" s="100"/>
      <c r="O107" s="103"/>
      <c r="P107" s="39"/>
      <c r="Q107" s="548"/>
      <c r="R107" s="554"/>
      <c r="S107" s="548"/>
    </row>
    <row r="108" spans="1:19" s="42" customFormat="1" x14ac:dyDescent="0.2">
      <c r="A108" s="15"/>
      <c r="B108" s="39" t="s">
        <v>10</v>
      </c>
      <c r="C108" s="40"/>
      <c r="D108" s="41" t="s">
        <v>5</v>
      </c>
      <c r="E108" s="41"/>
      <c r="F108" s="41"/>
      <c r="G108" s="41"/>
      <c r="H108" s="41"/>
      <c r="I108" s="41"/>
      <c r="J108" s="41"/>
      <c r="K108" s="41"/>
      <c r="L108" s="79">
        <v>2.5000000000000001E-3</v>
      </c>
      <c r="M108" s="34">
        <f>M101*L108</f>
        <v>323.95999999999998</v>
      </c>
      <c r="N108" s="100"/>
      <c r="O108" s="103">
        <f>(O101/M101)*M108</f>
        <v>0</v>
      </c>
    </row>
    <row r="109" spans="1:19" s="42" customFormat="1" ht="20.25" customHeight="1" x14ac:dyDescent="0.2">
      <c r="A109" s="15"/>
      <c r="B109" s="80"/>
      <c r="C109" s="81"/>
      <c r="D109" s="82"/>
      <c r="E109" s="82"/>
      <c r="F109" s="82"/>
      <c r="G109" s="82"/>
      <c r="H109" s="82"/>
      <c r="I109" s="82"/>
      <c r="J109" s="82"/>
      <c r="K109" s="82"/>
      <c r="L109" s="82"/>
      <c r="M109" s="85"/>
      <c r="N109" s="100"/>
      <c r="O109" s="103"/>
    </row>
    <row r="110" spans="1:19" s="42" customFormat="1" ht="21.75" customHeight="1" x14ac:dyDescent="0.2">
      <c r="A110" s="29"/>
      <c r="B110" s="141" t="s">
        <v>42</v>
      </c>
      <c r="C110" s="81"/>
      <c r="D110" s="82" t="s">
        <v>5</v>
      </c>
      <c r="E110" s="82"/>
      <c r="F110" s="82"/>
      <c r="G110" s="82"/>
      <c r="H110" s="82"/>
      <c r="I110" s="82"/>
      <c r="J110" s="82"/>
      <c r="K110" s="82"/>
      <c r="L110" s="83">
        <f>M110/M101</f>
        <v>0</v>
      </c>
      <c r="M110" s="85">
        <f>I123</f>
        <v>0</v>
      </c>
      <c r="N110" s="100"/>
      <c r="O110" s="103"/>
      <c r="P110" s="172"/>
    </row>
    <row r="111" spans="1:19" s="42" customFormat="1" ht="18" customHeight="1" x14ac:dyDescent="0.2">
      <c r="A111" s="29"/>
      <c r="B111" s="80"/>
      <c r="C111" s="81"/>
      <c r="D111" s="82"/>
      <c r="E111" s="82"/>
      <c r="F111" s="82"/>
      <c r="G111" s="82"/>
      <c r="H111" s="82"/>
      <c r="I111" s="82"/>
      <c r="J111" s="82"/>
      <c r="K111" s="82"/>
      <c r="L111" s="82"/>
      <c r="M111" s="85"/>
      <c r="N111" s="100"/>
      <c r="O111" s="103"/>
    </row>
    <row r="112" spans="1:19" s="42" customFormat="1" x14ac:dyDescent="0.2">
      <c r="A112" s="29"/>
      <c r="B112" s="80" t="s">
        <v>44</v>
      </c>
      <c r="C112" s="81"/>
      <c r="D112" s="82" t="s">
        <v>5</v>
      </c>
      <c r="E112" s="82"/>
      <c r="F112" s="82"/>
      <c r="G112" s="82"/>
      <c r="H112" s="82"/>
      <c r="I112" s="82"/>
      <c r="J112" s="82"/>
      <c r="K112" s="82"/>
      <c r="L112" s="83"/>
      <c r="M112" s="85"/>
      <c r="N112" s="100"/>
      <c r="O112" s="103">
        <f>M112*N112</f>
        <v>0</v>
      </c>
    </row>
    <row r="113" spans="1:17" s="42" customFormat="1" x14ac:dyDescent="0.2">
      <c r="A113" s="15"/>
      <c r="B113" s="80"/>
      <c r="C113" s="81"/>
      <c r="D113" s="82"/>
      <c r="E113" s="82"/>
      <c r="F113" s="82"/>
      <c r="G113" s="82"/>
      <c r="H113" s="82"/>
      <c r="I113" s="82"/>
      <c r="J113" s="82"/>
      <c r="K113" s="82"/>
      <c r="L113" s="82"/>
      <c r="M113" s="34"/>
      <c r="N113" s="100"/>
      <c r="O113" s="105"/>
    </row>
    <row r="114" spans="1:17" ht="18.75" customHeight="1" x14ac:dyDescent="0.2">
      <c r="A114" s="43"/>
      <c r="B114" s="44" t="s">
        <v>17</v>
      </c>
      <c r="C114" s="45"/>
      <c r="D114" s="46"/>
      <c r="E114" s="46"/>
      <c r="F114" s="46"/>
      <c r="G114" s="46"/>
      <c r="H114" s="46"/>
      <c r="I114" s="46"/>
      <c r="J114" s="46"/>
      <c r="K114" s="46"/>
      <c r="L114" s="46"/>
      <c r="M114" s="69">
        <f>SUM(M101:M113)</f>
        <v>133860.272</v>
      </c>
      <c r="N114" s="101"/>
      <c r="O114" s="106">
        <f>SUM(O101:O113)</f>
        <v>0</v>
      </c>
      <c r="P114" s="42"/>
      <c r="Q114" s="42"/>
    </row>
    <row r="115" spans="1:17" ht="16.5" customHeight="1" x14ac:dyDescent="0.2">
      <c r="A115" s="15"/>
      <c r="B115" s="19"/>
      <c r="C115" s="24"/>
      <c r="D115" s="36"/>
      <c r="E115" s="36"/>
      <c r="F115" s="36"/>
      <c r="G115" s="36"/>
      <c r="H115" s="36"/>
      <c r="I115" s="36"/>
      <c r="J115" s="36"/>
      <c r="K115" s="36"/>
      <c r="L115" s="36"/>
      <c r="M115" s="26"/>
      <c r="N115" s="95"/>
      <c r="O115" s="107"/>
      <c r="P115" s="42"/>
      <c r="Q115" s="42"/>
    </row>
    <row r="116" spans="1:17" x14ac:dyDescent="0.2">
      <c r="A116" s="15"/>
      <c r="B116" s="19" t="s">
        <v>11</v>
      </c>
      <c r="C116" s="24"/>
      <c r="D116" s="36"/>
      <c r="E116" s="36"/>
      <c r="F116" s="36"/>
      <c r="G116" s="36"/>
      <c r="H116" s="36"/>
      <c r="I116" s="36"/>
      <c r="J116" s="36"/>
      <c r="K116" s="36"/>
      <c r="L116" s="606">
        <v>3.5000000000000003E-2</v>
      </c>
      <c r="M116" s="26">
        <f>M114*L116</f>
        <v>4685.10952</v>
      </c>
      <c r="N116" s="95"/>
      <c r="O116" s="107">
        <f>O114/M114*M116</f>
        <v>0</v>
      </c>
      <c r="P116" s="42"/>
      <c r="Q116" s="42"/>
    </row>
    <row r="117" spans="1:17" x14ac:dyDescent="0.2">
      <c r="A117" s="47"/>
      <c r="B117" s="48"/>
      <c r="C117" s="49"/>
      <c r="D117" s="49"/>
      <c r="E117" s="49"/>
      <c r="F117" s="49"/>
      <c r="G117" s="49"/>
      <c r="H117" s="49"/>
      <c r="I117" s="49"/>
      <c r="J117" s="49"/>
      <c r="K117" s="49"/>
      <c r="L117" s="174"/>
      <c r="M117" s="70"/>
      <c r="N117" s="95"/>
      <c r="O117" s="107"/>
      <c r="P117" s="42"/>
      <c r="Q117" s="42"/>
    </row>
    <row r="118" spans="1:17" ht="27.75" customHeight="1" x14ac:dyDescent="0.2">
      <c r="A118" s="50"/>
      <c r="B118" s="56" t="s">
        <v>237</v>
      </c>
      <c r="C118" s="51"/>
      <c r="D118" s="52"/>
      <c r="E118" s="52"/>
      <c r="F118" s="52"/>
      <c r="G118" s="52"/>
      <c r="H118" s="52"/>
      <c r="I118" s="52"/>
      <c r="J118" s="52"/>
      <c r="K118" s="52"/>
      <c r="L118" s="173"/>
      <c r="M118" s="71">
        <f>ROUNDUP(SUM(M114:M117),0)</f>
        <v>138546</v>
      </c>
      <c r="N118" s="151">
        <f>O118/M118</f>
        <v>0</v>
      </c>
      <c r="O118" s="109">
        <f>SUM(O114:O117)</f>
        <v>0</v>
      </c>
      <c r="P118" s="42"/>
      <c r="Q118" s="42"/>
    </row>
    <row r="119" spans="1:17" ht="13.5" customHeight="1" x14ac:dyDescent="0.2">
      <c r="A119" s="161"/>
      <c r="B119" s="162"/>
      <c r="C119" s="163"/>
      <c r="D119" s="164"/>
      <c r="E119" s="164"/>
      <c r="F119" s="164"/>
      <c r="G119" s="72"/>
      <c r="H119" s="72"/>
      <c r="I119" s="72"/>
      <c r="J119" s="72"/>
      <c r="K119" s="164"/>
      <c r="L119" s="164"/>
      <c r="M119" s="165"/>
      <c r="N119" s="166">
        <f>SUM(L103:L113)</f>
        <v>3.3000000000000002E-2</v>
      </c>
      <c r="O119" s="240"/>
      <c r="P119" s="166">
        <f>L116</f>
        <v>3.5000000000000003E-2</v>
      </c>
      <c r="Q119" s="42"/>
    </row>
    <row r="120" spans="1:17" ht="13.5" customHeight="1" x14ac:dyDescent="0.2">
      <c r="A120" s="161"/>
      <c r="B120" s="162"/>
      <c r="C120" s="163"/>
      <c r="D120" s="164"/>
      <c r="E120" s="164"/>
      <c r="F120" s="167"/>
      <c r="G120" s="410" t="s">
        <v>45</v>
      </c>
      <c r="H120" s="411"/>
      <c r="I120" s="411"/>
      <c r="J120" s="412"/>
      <c r="K120" s="164"/>
      <c r="L120" s="169" t="s">
        <v>328</v>
      </c>
      <c r="M120" s="165">
        <f>SUM(M14:M38)</f>
        <v>29030</v>
      </c>
      <c r="N120" s="570">
        <f>M120*$N$119</f>
        <v>957.99</v>
      </c>
      <c r="O120" s="156">
        <f>SUM(M120:N120)</f>
        <v>29987.99</v>
      </c>
      <c r="P120" s="544">
        <f>O120*$P$119</f>
        <v>1049.5796500000001</v>
      </c>
      <c r="Q120" s="565">
        <f>SUM(O120:P120)</f>
        <v>31037.569650000001</v>
      </c>
    </row>
    <row r="121" spans="1:17" ht="13.5" customHeight="1" x14ac:dyDescent="0.2">
      <c r="A121" s="161"/>
      <c r="B121" s="162"/>
      <c r="C121" s="163"/>
      <c r="D121" s="164"/>
      <c r="E121" s="164"/>
      <c r="F121" s="164"/>
      <c r="G121" s="413"/>
      <c r="H121" s="414" t="s">
        <v>583</v>
      </c>
      <c r="I121" s="72"/>
      <c r="J121" s="415"/>
      <c r="K121" s="164"/>
      <c r="L121" s="169"/>
      <c r="M121" s="165"/>
      <c r="N121" s="570"/>
      <c r="O121" s="156"/>
      <c r="P121" s="544"/>
      <c r="Q121" s="566"/>
    </row>
    <row r="122" spans="1:17" ht="13.5" customHeight="1" x14ac:dyDescent="0.2">
      <c r="F122" s="168"/>
      <c r="G122" s="413">
        <f>F100/8</f>
        <v>0</v>
      </c>
      <c r="H122" s="416">
        <v>1</v>
      </c>
      <c r="I122" s="72"/>
      <c r="J122" s="415"/>
      <c r="K122" s="164"/>
      <c r="L122" s="169" t="s">
        <v>329</v>
      </c>
      <c r="M122" s="53">
        <f>SUM(M41:M63)</f>
        <v>38084</v>
      </c>
      <c r="N122" s="570">
        <f>M122*$N$119</f>
        <v>1256.7720000000002</v>
      </c>
      <c r="O122" s="156">
        <f>SUM(M122:N122)</f>
        <v>39340.771999999997</v>
      </c>
      <c r="P122" s="544">
        <f>O122*$P$119</f>
        <v>1376.9270200000001</v>
      </c>
      <c r="Q122" s="219">
        <f>SUM(O122:P122)</f>
        <v>40717.69902</v>
      </c>
    </row>
    <row r="123" spans="1:17" ht="13.5" customHeight="1" x14ac:dyDescent="0.2">
      <c r="F123" s="168"/>
      <c r="G123" s="413">
        <f>G122/H122</f>
        <v>0</v>
      </c>
      <c r="H123" s="61">
        <v>18</v>
      </c>
      <c r="I123" s="61">
        <f>G123*H123</f>
        <v>0</v>
      </c>
      <c r="J123" s="415"/>
      <c r="K123" s="164"/>
      <c r="L123" s="169"/>
      <c r="M123" s="53"/>
      <c r="N123" s="570"/>
      <c r="O123" s="156"/>
      <c r="P123" s="544"/>
      <c r="Q123" s="566"/>
    </row>
    <row r="124" spans="1:17" ht="13.5" customHeight="1" x14ac:dyDescent="0.2">
      <c r="F124" s="168"/>
      <c r="G124" s="413"/>
      <c r="H124" s="72"/>
      <c r="I124" s="72"/>
      <c r="J124" s="415"/>
      <c r="K124" s="164"/>
      <c r="L124" s="169" t="s">
        <v>330</v>
      </c>
      <c r="M124" s="53">
        <f>SUM(M66:M97)</f>
        <v>62470</v>
      </c>
      <c r="N124" s="570">
        <f>M124*$N$119</f>
        <v>2061.5100000000002</v>
      </c>
      <c r="O124" s="156">
        <f>SUM(M124:N124)</f>
        <v>64531.51</v>
      </c>
      <c r="P124" s="544">
        <f>O124*$P$119</f>
        <v>2258.6028500000002</v>
      </c>
      <c r="Q124" s="567">
        <f>SUM(O124:P124)</f>
        <v>66790.112850000005</v>
      </c>
    </row>
    <row r="125" spans="1:17" x14ac:dyDescent="0.2">
      <c r="G125" s="417"/>
      <c r="H125" s="418"/>
      <c r="I125" s="418"/>
      <c r="J125" s="419"/>
      <c r="L125" s="556"/>
      <c r="M125" s="557"/>
      <c r="N125" s="558"/>
      <c r="O125" s="559"/>
      <c r="P125" s="559"/>
      <c r="Q125" s="546"/>
    </row>
    <row r="126" spans="1:17" x14ac:dyDescent="0.2">
      <c r="H126" s="60"/>
      <c r="M126" s="53">
        <f>SUM(M120:M125)</f>
        <v>129584</v>
      </c>
      <c r="N126" s="53"/>
      <c r="O126" s="53"/>
      <c r="P126" s="53"/>
      <c r="Q126" s="53">
        <f>SUM(Q120:Q125)</f>
        <v>138545.38152</v>
      </c>
    </row>
    <row r="127" spans="1:17" x14ac:dyDescent="0.2">
      <c r="M127" s="53"/>
      <c r="N127" s="96"/>
      <c r="O127" s="108"/>
      <c r="P127" s="42"/>
      <c r="Q127" s="42"/>
    </row>
    <row r="128" spans="1:17" ht="15" x14ac:dyDescent="0.25">
      <c r="B128" s="113" t="s">
        <v>30</v>
      </c>
      <c r="C128" s="114"/>
      <c r="D128" s="114"/>
      <c r="E128" s="114"/>
      <c r="F128" s="114"/>
      <c r="I128" s="113" t="s">
        <v>30</v>
      </c>
      <c r="J128" s="114"/>
      <c r="K128" s="114"/>
      <c r="L128" s="114"/>
      <c r="M128" s="114"/>
      <c r="O128" s="108"/>
      <c r="P128" s="42"/>
      <c r="Q128" s="42"/>
    </row>
    <row r="129" spans="2:17" x14ac:dyDescent="0.2">
      <c r="B129" s="115" t="s">
        <v>43</v>
      </c>
      <c r="C129" s="116"/>
      <c r="D129" s="111"/>
      <c r="E129" s="111"/>
      <c r="F129" s="111"/>
      <c r="I129" s="115" t="s">
        <v>31</v>
      </c>
      <c r="J129" s="116"/>
      <c r="K129" s="111"/>
      <c r="L129" s="111"/>
      <c r="M129" s="111"/>
      <c r="O129" s="108"/>
      <c r="P129" s="42"/>
      <c r="Q129" s="42"/>
    </row>
    <row r="130" spans="2:17" ht="15" x14ac:dyDescent="0.25">
      <c r="B130" s="115" t="s">
        <v>32</v>
      </c>
      <c r="C130" s="116" t="s">
        <v>33</v>
      </c>
      <c r="D130" s="111" t="s">
        <v>34</v>
      </c>
      <c r="E130" s="111" t="s">
        <v>35</v>
      </c>
      <c r="F130" s="114"/>
      <c r="I130" s="115" t="s">
        <v>32</v>
      </c>
      <c r="J130" s="116" t="s">
        <v>33</v>
      </c>
      <c r="K130" s="111" t="s">
        <v>34</v>
      </c>
      <c r="L130" s="111" t="s">
        <v>35</v>
      </c>
      <c r="M130" s="114"/>
      <c r="O130" s="108"/>
      <c r="P130" s="42"/>
      <c r="Q130" s="42"/>
    </row>
    <row r="131" spans="2:17" x14ac:dyDescent="0.2">
      <c r="B131" s="117">
        <v>1</v>
      </c>
      <c r="C131" s="116">
        <v>55</v>
      </c>
      <c r="D131" s="111">
        <f>B131*C131</f>
        <v>55</v>
      </c>
      <c r="E131" s="111">
        <f>D131*F131</f>
        <v>110</v>
      </c>
      <c r="F131" s="118">
        <v>2</v>
      </c>
      <c r="I131" s="117">
        <v>4</v>
      </c>
      <c r="J131" s="116">
        <v>55</v>
      </c>
      <c r="K131" s="111">
        <f>I131*J131</f>
        <v>220</v>
      </c>
      <c r="L131" s="111">
        <f>K131*M131</f>
        <v>440</v>
      </c>
      <c r="M131" s="118">
        <v>2</v>
      </c>
      <c r="O131" s="108"/>
      <c r="P131" s="42"/>
      <c r="Q131" s="42"/>
    </row>
    <row r="132" spans="2:17" x14ac:dyDescent="0.2">
      <c r="B132" s="115" t="s">
        <v>36</v>
      </c>
      <c r="C132" s="116"/>
      <c r="D132" s="111"/>
      <c r="E132" s="111" t="s">
        <v>37</v>
      </c>
      <c r="F132" s="111"/>
      <c r="I132" s="115" t="s">
        <v>36</v>
      </c>
      <c r="J132" s="116"/>
      <c r="K132" s="111"/>
      <c r="L132" s="111" t="s">
        <v>37</v>
      </c>
      <c r="M132" s="111"/>
      <c r="O132" s="108"/>
      <c r="P132" s="42"/>
      <c r="Q132" s="42"/>
    </row>
    <row r="133" spans="2:17" ht="15" x14ac:dyDescent="0.25">
      <c r="B133" s="115">
        <v>0.7</v>
      </c>
      <c r="C133" s="119"/>
      <c r="D133" s="114"/>
      <c r="E133" s="111">
        <f>B133*C133</f>
        <v>0</v>
      </c>
      <c r="F133" s="111"/>
      <c r="I133" s="115">
        <v>0.7</v>
      </c>
      <c r="J133" s="119">
        <v>310</v>
      </c>
      <c r="K133" s="114"/>
      <c r="L133" s="111">
        <f>I133*J133</f>
        <v>217</v>
      </c>
      <c r="M133" s="111"/>
      <c r="O133" s="108"/>
      <c r="P133" s="42"/>
      <c r="Q133" s="42"/>
    </row>
    <row r="134" spans="2:17" x14ac:dyDescent="0.2">
      <c r="B134" s="115" t="s">
        <v>38</v>
      </c>
      <c r="C134" s="116"/>
      <c r="D134" s="111"/>
      <c r="E134" s="111">
        <f>SUM(E131:E133)</f>
        <v>110</v>
      </c>
      <c r="F134" s="111"/>
      <c r="I134" s="115" t="s">
        <v>38</v>
      </c>
      <c r="J134" s="116"/>
      <c r="K134" s="111"/>
      <c r="L134" s="111">
        <f>SUM(L131:L133)</f>
        <v>657</v>
      </c>
      <c r="M134" s="111"/>
      <c r="O134" s="108"/>
      <c r="P134" s="42"/>
      <c r="Q134" s="42"/>
    </row>
    <row r="135" spans="2:17" x14ac:dyDescent="0.2">
      <c r="B135" s="117">
        <v>2</v>
      </c>
      <c r="C135" s="116"/>
      <c r="D135" s="111"/>
      <c r="E135" s="111">
        <f>B135*E134</f>
        <v>220</v>
      </c>
      <c r="F135" s="111"/>
      <c r="I135" s="117">
        <v>1</v>
      </c>
      <c r="J135" s="116"/>
      <c r="K135" s="111"/>
      <c r="L135" s="111">
        <f>I135*L134</f>
        <v>657</v>
      </c>
      <c r="M135" s="111"/>
      <c r="O135" s="108"/>
      <c r="P135" s="42"/>
      <c r="Q135" s="42"/>
    </row>
    <row r="136" spans="2:17" x14ac:dyDescent="0.2">
      <c r="B136" s="115" t="s">
        <v>39</v>
      </c>
      <c r="C136" s="116" t="s">
        <v>40</v>
      </c>
      <c r="D136" s="111"/>
      <c r="E136" s="111" t="s">
        <v>41</v>
      </c>
      <c r="F136" s="111"/>
      <c r="I136" s="115" t="s">
        <v>39</v>
      </c>
      <c r="J136" s="116" t="s">
        <v>40</v>
      </c>
      <c r="K136" s="111"/>
      <c r="L136" s="111" t="s">
        <v>41</v>
      </c>
      <c r="M136" s="111"/>
      <c r="Q136" s="54"/>
    </row>
    <row r="137" spans="2:17" x14ac:dyDescent="0.2">
      <c r="B137" s="117"/>
      <c r="C137" s="119"/>
      <c r="D137" s="111">
        <f>B137*C137</f>
        <v>0</v>
      </c>
      <c r="E137" s="111">
        <f>D137*F131</f>
        <v>0</v>
      </c>
      <c r="F137" s="111"/>
      <c r="I137" s="117">
        <v>125</v>
      </c>
      <c r="J137" s="119">
        <v>4</v>
      </c>
      <c r="K137" s="111">
        <f>I137*J137</f>
        <v>500</v>
      </c>
      <c r="L137" s="111">
        <f>K137*M131</f>
        <v>1000</v>
      </c>
      <c r="M137" s="111"/>
    </row>
    <row r="138" spans="2:17" x14ac:dyDescent="0.2">
      <c r="B138" s="115"/>
      <c r="C138" s="116"/>
      <c r="D138" s="111"/>
      <c r="E138" s="112">
        <f>SUM(E135:E137)</f>
        <v>220</v>
      </c>
      <c r="F138" s="111"/>
      <c r="I138" s="115"/>
      <c r="J138" s="116"/>
      <c r="K138" s="111"/>
      <c r="L138" s="112">
        <f>SUM(L135:L137)</f>
        <v>1657</v>
      </c>
      <c r="M138" s="111"/>
    </row>
    <row r="142" spans="2:17" x14ac:dyDescent="0.2">
      <c r="D142" s="72" t="s">
        <v>45</v>
      </c>
      <c r="E142" s="14">
        <f>F100/8.5</f>
        <v>0</v>
      </c>
      <c r="F142" s="60">
        <f>E142*17.5</f>
        <v>0</v>
      </c>
      <c r="G142" s="72" t="s">
        <v>48</v>
      </c>
    </row>
  </sheetData>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Summary</vt:lpstr>
      <vt:lpstr>Suspended Ceilings</vt:lpstr>
      <vt:lpstr>WORKINGS_Ceilngs</vt:lpstr>
      <vt:lpstr>Partitions</vt:lpstr>
      <vt:lpstr>Partitions SPEC Rates</vt:lpstr>
      <vt:lpstr>WORKINGS_Partitions SPEC Rates</vt:lpstr>
      <vt:lpstr>WORKINGS_Partitions</vt:lpstr>
      <vt:lpstr>Insulation</vt:lpstr>
      <vt:lpstr>Gib Linings</vt:lpstr>
      <vt:lpstr>Stopping</vt:lpstr>
      <vt:lpstr>Potters Rigitone Matrix</vt:lpstr>
      <vt:lpstr>Ambitec</vt:lpstr>
      <vt:lpstr>Featurecraft</vt:lpstr>
      <vt:lpstr>WORKINGS_Potters Rigitone</vt:lpstr>
      <vt:lpstr>Potters Aluminium and Glazing</vt:lpstr>
      <vt:lpstr>WORKINGS_Ali L4 (2)</vt:lpstr>
      <vt:lpstr>WORKINGS_Ali L4</vt:lpstr>
      <vt:lpstr>WORKINGS_Ali L5 (2)</vt:lpstr>
      <vt:lpstr>WORKINGS_Ali L5</vt:lpstr>
      <vt:lpstr>WORKINGS_Ali L6 (2)</vt:lpstr>
      <vt:lpstr>WORKINGS_Ali L6</vt:lpstr>
      <vt:lpstr>Asona Quicklock</vt:lpstr>
      <vt:lpstr>Ambitec!Print_Area</vt:lpstr>
      <vt:lpstr>'Asona Quicklock'!Print_Area</vt:lpstr>
      <vt:lpstr>Featurecraft!Print_Area</vt:lpstr>
      <vt:lpstr>'Gib Linings'!Print_Area</vt:lpstr>
      <vt:lpstr>Insulation!Print_Area</vt:lpstr>
      <vt:lpstr>Partitions!Print_Area</vt:lpstr>
      <vt:lpstr>'Partitions SPEC Rates'!Print_Area</vt:lpstr>
      <vt:lpstr>'Potters Aluminium and Glazing'!Print_Area</vt:lpstr>
      <vt:lpstr>'Potters Rigitone Matrix'!Print_Area</vt:lpstr>
      <vt:lpstr>Stopping!Print_Area</vt:lpstr>
      <vt:lpstr>Summary!Print_Area</vt:lpstr>
      <vt:lpstr>'Suspended Ceilings'!Print_Area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David Long</cp:lastModifiedBy>
  <cp:lastPrinted>2026-01-21T20:44:28Z</cp:lastPrinted>
  <dcterms:created xsi:type="dcterms:W3CDTF">2008-08-03T23:58:12Z</dcterms:created>
  <dcterms:modified xsi:type="dcterms:W3CDTF">2026-04-08T19:22:45Z</dcterms:modified>
</cp:coreProperties>
</file>