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defaultThemeVersion="124226"/>
  <mc:AlternateContent xmlns:mc="http://schemas.openxmlformats.org/markup-compatibility/2006">
    <mc:Choice Requires="x15">
      <x15ac:absPath xmlns:x15ac="http://schemas.microsoft.com/office/spreadsheetml/2010/11/ac" url="C:\Users\David\Dropbox\Jobs\2. Jobs won and in progress\4009 2 Devonport Road\Davy\Data folder\"/>
    </mc:Choice>
  </mc:AlternateContent>
  <xr:revisionPtr revIDLastSave="0" documentId="8_{3FE6155F-B355-485A-9593-E0BD4CA14FAD}" xr6:coauthVersionLast="47" xr6:coauthVersionMax="47" xr10:uidLastSave="{00000000-0000-0000-0000-000000000000}"/>
  <bookViews>
    <workbookView xWindow="-120" yWindow="-120" windowWidth="29040" windowHeight="15720" tabRatio="895" activeTab="1" xr2:uid="{3FC227C3-581A-47B8-A860-351BABAB74E0}"/>
  </bookViews>
  <sheets>
    <sheet name="Summary" sheetId="11" r:id="rId1"/>
    <sheet name="Suspended Ceilings_25_8" sheetId="177" r:id="rId2"/>
    <sheet name="Workings_Ceilings" sheetId="146" r:id="rId3"/>
    <sheet name="Sheet1" sheetId="180" r:id="rId4"/>
    <sheet name="Steel Stud Partitions_25_8" sheetId="169" r:id="rId5"/>
    <sheet name="Workings_Partitions" sheetId="150" r:id="rId6"/>
    <sheet name="Gib Linings_25_8" sheetId="175" r:id="rId7"/>
    <sheet name="Stopping_25_8" sheetId="176" r:id="rId8"/>
    <sheet name="Skirting with Columns" sheetId="160" r:id="rId9"/>
    <sheet name="PROV SUM PS1 &amp; PS4 _25_8" sheetId="178" r:id="rId10"/>
  </sheets>
  <definedNames>
    <definedName name="_xlnm.Print_Area" localSheetId="6">'Gib Linings_25_8'!$A$1:$D$13</definedName>
    <definedName name="_xlnm.Print_Area" localSheetId="9">'PROV SUM PS1 &amp; PS4 _25_8'!$A$1:$D$13</definedName>
    <definedName name="_xlnm.Print_Area" localSheetId="8">'Skirting with Columns'!$A$1:$D$13</definedName>
    <definedName name="_xlnm.Print_Area" localSheetId="4">'Steel Stud Partitions_25_8'!$A$1:$D$13</definedName>
    <definedName name="_xlnm.Print_Area" localSheetId="7">Stopping_25_8!$A$1:$D$13</definedName>
    <definedName name="_xlnm.Print_Area" localSheetId="1">'Suspended Ceilings_25_8'!$A$1:$D$13</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76" i="177" l="1"/>
  <c r="B374" i="177"/>
  <c r="U22" i="178"/>
  <c r="Q63" i="169"/>
  <c r="Q50" i="169"/>
  <c r="Q130" i="177"/>
  <c r="T177" i="177"/>
  <c r="AD298" i="146"/>
  <c r="AD296" i="146"/>
  <c r="AC296" i="146"/>
  <c r="AC295" i="146"/>
  <c r="AC294" i="146"/>
  <c r="AC293" i="146"/>
  <c r="AC292" i="146"/>
  <c r="AC286" i="146"/>
  <c r="AC284" i="146"/>
  <c r="AC283" i="146"/>
  <c r="AC281" i="146"/>
  <c r="AB284" i="146"/>
  <c r="AB283" i="146"/>
  <c r="AB281" i="146"/>
  <c r="Z210" i="146"/>
  <c r="AC276" i="146"/>
  <c r="AC275" i="146"/>
  <c r="AC277" i="146"/>
  <c r="AC278" i="146"/>
  <c r="AC270" i="146"/>
  <c r="AC269" i="146"/>
  <c r="AC268" i="146"/>
  <c r="AC267" i="146"/>
  <c r="AC271" i="146"/>
  <c r="AC272" i="146"/>
  <c r="AA240" i="146"/>
  <c r="Z226" i="146"/>
  <c r="Z209" i="146"/>
  <c r="Z249" i="146"/>
  <c r="Z251" i="146"/>
  <c r="AA241" i="146"/>
  <c r="AC241" i="146"/>
  <c r="Z242" i="146"/>
  <c r="AA234" i="146"/>
  <c r="AA235" i="146"/>
  <c r="AC208" i="146"/>
  <c r="Z228" i="146"/>
  <c r="Z220" i="146"/>
  <c r="Z222" i="146"/>
  <c r="Z211" i="146"/>
  <c r="AE208" i="146"/>
  <c r="AD208" i="146"/>
  <c r="K206" i="177"/>
  <c r="L206" i="177"/>
  <c r="M206" i="177"/>
  <c r="Q173" i="177"/>
  <c r="Q133" i="177"/>
  <c r="R323" i="177"/>
  <c r="Q324" i="177"/>
  <c r="R324" i="177"/>
  <c r="R278" i="177"/>
  <c r="Q278" i="177"/>
  <c r="R236" i="177"/>
  <c r="Q236" i="177"/>
  <c r="C73" i="180"/>
  <c r="G93" i="180"/>
  <c r="H93" i="180"/>
  <c r="C93" i="180"/>
  <c r="K79" i="180"/>
  <c r="C89" i="180"/>
  <c r="G89" i="180"/>
  <c r="H89" i="180"/>
  <c r="I88" i="180"/>
  <c r="C88" i="180"/>
  <c r="F88" i="180"/>
  <c r="E87" i="180"/>
  <c r="C87" i="180"/>
  <c r="G87" i="180"/>
  <c r="H87" i="180"/>
  <c r="E86" i="180"/>
  <c r="C86" i="180"/>
  <c r="G86" i="180"/>
  <c r="H86" i="180"/>
  <c r="E85" i="180"/>
  <c r="C85" i="180"/>
  <c r="G85" i="180"/>
  <c r="H85" i="180"/>
  <c r="C84" i="180"/>
  <c r="G84" i="180"/>
  <c r="H84" i="180"/>
  <c r="F83" i="180"/>
  <c r="H73" i="180"/>
  <c r="H71" i="180"/>
  <c r="H70" i="180"/>
  <c r="H69" i="180"/>
  <c r="E84" i="180"/>
  <c r="L89" i="146"/>
  <c r="C72" i="146"/>
  <c r="F72" i="146"/>
  <c r="L88" i="146"/>
  <c r="Q11" i="177"/>
  <c r="Q10" i="177"/>
  <c r="P20" i="169"/>
  <c r="Q20" i="169"/>
  <c r="P26" i="169"/>
  <c r="Q26" i="169"/>
  <c r="P27" i="169"/>
  <c r="Q27" i="169"/>
  <c r="P39" i="169"/>
  <c r="P51" i="169"/>
  <c r="P64" i="169"/>
  <c r="P77" i="169"/>
  <c r="P90" i="169"/>
  <c r="P103" i="169"/>
  <c r="P104" i="169"/>
  <c r="Q104" i="169"/>
  <c r="Q110" i="169"/>
  <c r="Q109" i="169"/>
  <c r="P110" i="169"/>
  <c r="P109" i="169"/>
  <c r="P138" i="177"/>
  <c r="P178" i="177"/>
  <c r="P264" i="177"/>
  <c r="P343" i="177"/>
  <c r="R384" i="177"/>
  <c r="R385" i="177"/>
  <c r="R386" i="177"/>
  <c r="R387" i="177"/>
  <c r="R388" i="177"/>
  <c r="R383" i="177"/>
  <c r="P30" i="177"/>
  <c r="Q30" i="177"/>
  <c r="P70" i="177"/>
  <c r="Q178" i="177"/>
  <c r="Q343" i="177"/>
  <c r="P25" i="175"/>
  <c r="M24" i="175"/>
  <c r="U102" i="177"/>
  <c r="T145" i="175"/>
  <c r="M159" i="175"/>
  <c r="P19" i="176"/>
  <c r="P29" i="176"/>
  <c r="P33" i="176"/>
  <c r="P41" i="176"/>
  <c r="P45" i="176"/>
  <c r="P53" i="176"/>
  <c r="P57" i="176"/>
  <c r="P65" i="176"/>
  <c r="P69" i="176"/>
  <c r="P77" i="176"/>
  <c r="P81" i="176"/>
  <c r="P89" i="176"/>
  <c r="P93" i="176"/>
  <c r="P101" i="176"/>
  <c r="P105" i="176"/>
  <c r="P112" i="176"/>
  <c r="F154" i="175"/>
  <c r="H154" i="175"/>
  <c r="S20" i="160"/>
  <c r="S31" i="160"/>
  <c r="S40" i="160"/>
  <c r="S50" i="160"/>
  <c r="S60" i="160"/>
  <c r="S70" i="160"/>
  <c r="R90" i="160"/>
  <c r="R80" i="160"/>
  <c r="S90" i="160"/>
  <c r="P19" i="160"/>
  <c r="P20" i="160"/>
  <c r="Q20" i="160"/>
  <c r="P30" i="160"/>
  <c r="P39" i="160"/>
  <c r="P49" i="160"/>
  <c r="P59" i="160"/>
  <c r="P89" i="160"/>
  <c r="P79" i="160"/>
  <c r="Q69" i="160"/>
  <c r="P69" i="160"/>
  <c r="J68" i="177"/>
  <c r="G68" i="177"/>
  <c r="F68" i="177"/>
  <c r="H68" i="177"/>
  <c r="K68" i="177"/>
  <c r="L68" i="177"/>
  <c r="M68" i="177"/>
  <c r="O68" i="177"/>
  <c r="J67" i="177"/>
  <c r="G67" i="177"/>
  <c r="F67" i="177"/>
  <c r="H67" i="177"/>
  <c r="K67" i="177"/>
  <c r="L67" i="177"/>
  <c r="M67" i="177"/>
  <c r="O67" i="177"/>
  <c r="G66" i="177"/>
  <c r="F66" i="177"/>
  <c r="H66" i="177"/>
  <c r="G65" i="177"/>
  <c r="J65" i="177"/>
  <c r="J64" i="177"/>
  <c r="G64" i="177"/>
  <c r="F64" i="177"/>
  <c r="H64" i="177"/>
  <c r="K64" i="177"/>
  <c r="L64" i="177"/>
  <c r="M64" i="177"/>
  <c r="O64" i="177"/>
  <c r="J62" i="177"/>
  <c r="G62" i="177"/>
  <c r="F62" i="177"/>
  <c r="H62" i="177"/>
  <c r="K62" i="177"/>
  <c r="L62" i="177"/>
  <c r="M62" i="177"/>
  <c r="O62" i="177"/>
  <c r="J61" i="177"/>
  <c r="G61" i="177"/>
  <c r="F61" i="177"/>
  <c r="H61" i="177"/>
  <c r="K61" i="177"/>
  <c r="L61" i="177"/>
  <c r="M61" i="177"/>
  <c r="O61" i="177"/>
  <c r="G60" i="177"/>
  <c r="C60" i="177"/>
  <c r="J60" i="177"/>
  <c r="G59" i="177"/>
  <c r="C59" i="177"/>
  <c r="J59" i="177"/>
  <c r="J58" i="177"/>
  <c r="G58" i="177"/>
  <c r="F58" i="177"/>
  <c r="H58" i="177"/>
  <c r="J56" i="177"/>
  <c r="G56" i="177"/>
  <c r="F56" i="177"/>
  <c r="H56" i="177"/>
  <c r="J55" i="177"/>
  <c r="G55" i="177"/>
  <c r="F55" i="177"/>
  <c r="H55" i="177"/>
  <c r="G54" i="177"/>
  <c r="C54" i="177"/>
  <c r="J54" i="177"/>
  <c r="G53" i="177"/>
  <c r="C53" i="177"/>
  <c r="F53" i="177"/>
  <c r="H53" i="177"/>
  <c r="J53" i="177"/>
  <c r="J52" i="177"/>
  <c r="G52" i="177"/>
  <c r="F52" i="177"/>
  <c r="H52" i="177"/>
  <c r="K52" i="177"/>
  <c r="L52" i="177"/>
  <c r="M52" i="177"/>
  <c r="O52" i="177"/>
  <c r="G48" i="177"/>
  <c r="C48" i="177"/>
  <c r="J48" i="177"/>
  <c r="G47" i="177"/>
  <c r="C47" i="177"/>
  <c r="J47" i="177"/>
  <c r="J50" i="177"/>
  <c r="G50" i="177"/>
  <c r="F50" i="177"/>
  <c r="H50" i="177"/>
  <c r="J49" i="177"/>
  <c r="G49" i="177"/>
  <c r="F49" i="177"/>
  <c r="H49" i="177"/>
  <c r="K49" i="177"/>
  <c r="L49" i="177"/>
  <c r="M49" i="177"/>
  <c r="O49" i="177"/>
  <c r="J46" i="177"/>
  <c r="G46" i="177"/>
  <c r="F46" i="177"/>
  <c r="H46" i="177"/>
  <c r="K46" i="177"/>
  <c r="L46" i="177"/>
  <c r="M46" i="177"/>
  <c r="O46" i="177"/>
  <c r="J114" i="177"/>
  <c r="G114" i="177"/>
  <c r="F114" i="177"/>
  <c r="H114" i="177"/>
  <c r="K114" i="177"/>
  <c r="L114" i="177"/>
  <c r="M114" i="177"/>
  <c r="O114" i="177"/>
  <c r="C115" i="177"/>
  <c r="J115" i="177"/>
  <c r="F115" i="177"/>
  <c r="H115" i="177"/>
  <c r="G115" i="177"/>
  <c r="C108" i="177"/>
  <c r="J108" i="177"/>
  <c r="F108" i="177"/>
  <c r="H108" i="177"/>
  <c r="K108" i="177"/>
  <c r="L108" i="177"/>
  <c r="G108" i="177"/>
  <c r="J118" i="177"/>
  <c r="G118" i="177"/>
  <c r="F118" i="177"/>
  <c r="H118" i="177"/>
  <c r="J117" i="177"/>
  <c r="G117" i="177"/>
  <c r="F117" i="177"/>
  <c r="H117" i="177"/>
  <c r="K117" i="177"/>
  <c r="L117" i="177"/>
  <c r="M117" i="177"/>
  <c r="O117" i="177"/>
  <c r="G116" i="177"/>
  <c r="C116" i="177"/>
  <c r="J116" i="177"/>
  <c r="J112" i="177"/>
  <c r="F112" i="177"/>
  <c r="H112" i="177"/>
  <c r="G112" i="177"/>
  <c r="C109" i="177"/>
  <c r="F109" i="177"/>
  <c r="H109" i="177"/>
  <c r="J109" i="177"/>
  <c r="J111" i="177"/>
  <c r="G111" i="177"/>
  <c r="F111" i="177"/>
  <c r="H111" i="177"/>
  <c r="J110" i="177"/>
  <c r="G110" i="177"/>
  <c r="F110" i="177"/>
  <c r="H110" i="177"/>
  <c r="C103" i="177"/>
  <c r="J103" i="177"/>
  <c r="F103" i="177"/>
  <c r="H103" i="177"/>
  <c r="G109" i="177"/>
  <c r="J107" i="177"/>
  <c r="G107" i="177"/>
  <c r="F107" i="177"/>
  <c r="H107" i="177"/>
  <c r="AE128" i="146"/>
  <c r="AJ166" i="146"/>
  <c r="AJ168" i="146"/>
  <c r="AK157" i="146"/>
  <c r="AK158" i="146"/>
  <c r="AM158" i="146"/>
  <c r="AJ159" i="146"/>
  <c r="AK151" i="146"/>
  <c r="AK152" i="146"/>
  <c r="AK153" i="146"/>
  <c r="AJ145" i="146"/>
  <c r="AJ137" i="146"/>
  <c r="AJ139" i="146"/>
  <c r="AL128" i="146"/>
  <c r="AN128" i="146"/>
  <c r="AJ128" i="146"/>
  <c r="AO125" i="146"/>
  <c r="AN125" i="146"/>
  <c r="AD128" i="146"/>
  <c r="AB128" i="146"/>
  <c r="C128" i="177"/>
  <c r="F128" i="177"/>
  <c r="H128" i="177"/>
  <c r="G128" i="177"/>
  <c r="G135" i="177"/>
  <c r="F135" i="177"/>
  <c r="H135" i="177"/>
  <c r="J137" i="177"/>
  <c r="G137" i="177"/>
  <c r="F137" i="177"/>
  <c r="H137" i="177"/>
  <c r="J136" i="177"/>
  <c r="G136" i="177"/>
  <c r="F136" i="177"/>
  <c r="H136" i="177"/>
  <c r="K136" i="177"/>
  <c r="L136" i="177"/>
  <c r="M136" i="177"/>
  <c r="O136" i="177"/>
  <c r="J99" i="177"/>
  <c r="G99" i="177"/>
  <c r="F99" i="177"/>
  <c r="H99" i="177"/>
  <c r="G102" i="177"/>
  <c r="G103" i="177"/>
  <c r="G175" i="177"/>
  <c r="C175" i="177"/>
  <c r="G165" i="177"/>
  <c r="C165" i="177"/>
  <c r="C207" i="177"/>
  <c r="F207" i="177"/>
  <c r="H207" i="177"/>
  <c r="G207" i="177"/>
  <c r="G251" i="177"/>
  <c r="C251" i="177"/>
  <c r="J251" i="177"/>
  <c r="G217" i="177"/>
  <c r="C217" i="177"/>
  <c r="J217" i="177"/>
  <c r="G261" i="177"/>
  <c r="C261" i="177"/>
  <c r="F261" i="177"/>
  <c r="H261" i="177"/>
  <c r="G340" i="177"/>
  <c r="C340" i="177"/>
  <c r="J340" i="177"/>
  <c r="F340" i="177"/>
  <c r="H340" i="177"/>
  <c r="G303" i="177"/>
  <c r="C303" i="177"/>
  <c r="J303" i="177"/>
  <c r="G293" i="177"/>
  <c r="C293" i="177"/>
  <c r="F293" i="177"/>
  <c r="H293" i="177"/>
  <c r="J127" i="177"/>
  <c r="G127" i="177"/>
  <c r="F127" i="177"/>
  <c r="H127" i="177"/>
  <c r="J174" i="177"/>
  <c r="G174" i="177"/>
  <c r="F174" i="177"/>
  <c r="H174" i="177"/>
  <c r="K174" i="177"/>
  <c r="L174" i="177"/>
  <c r="M174" i="177"/>
  <c r="O174" i="177"/>
  <c r="J216" i="177"/>
  <c r="G216" i="177"/>
  <c r="F216" i="177"/>
  <c r="H216" i="177"/>
  <c r="K216" i="177"/>
  <c r="L216" i="177"/>
  <c r="M216" i="177"/>
  <c r="O216" i="177"/>
  <c r="J260" i="177"/>
  <c r="G260" i="177"/>
  <c r="F260" i="177"/>
  <c r="H260" i="177"/>
  <c r="J302" i="177"/>
  <c r="G302" i="177"/>
  <c r="F302" i="177"/>
  <c r="H302" i="177"/>
  <c r="K302" i="177"/>
  <c r="L302" i="177"/>
  <c r="M302" i="177"/>
  <c r="O302" i="177"/>
  <c r="G292" i="177"/>
  <c r="G250" i="177"/>
  <c r="G206" i="177"/>
  <c r="G164" i="177"/>
  <c r="AC198" i="146"/>
  <c r="AC199" i="146"/>
  <c r="AC197" i="146"/>
  <c r="AC196" i="146"/>
  <c r="J161" i="177"/>
  <c r="G161" i="177"/>
  <c r="F161" i="177"/>
  <c r="H161" i="177"/>
  <c r="K161" i="177"/>
  <c r="L161" i="177"/>
  <c r="M161" i="177"/>
  <c r="J160" i="177"/>
  <c r="G160" i="177"/>
  <c r="F160" i="177"/>
  <c r="H160" i="177"/>
  <c r="K160" i="177"/>
  <c r="L160" i="177"/>
  <c r="M160" i="177"/>
  <c r="J203" i="177"/>
  <c r="G203" i="177"/>
  <c r="F203" i="177"/>
  <c r="H203" i="177"/>
  <c r="K203" i="177"/>
  <c r="L203" i="177"/>
  <c r="M203" i="177"/>
  <c r="J202" i="177"/>
  <c r="G202" i="177"/>
  <c r="F202" i="177"/>
  <c r="H202" i="177"/>
  <c r="K202" i="177"/>
  <c r="L202" i="177"/>
  <c r="M202" i="177"/>
  <c r="J247" i="177"/>
  <c r="G247" i="177"/>
  <c r="F247" i="177"/>
  <c r="H247" i="177"/>
  <c r="J246" i="177"/>
  <c r="G246" i="177"/>
  <c r="F246" i="177"/>
  <c r="H246" i="177"/>
  <c r="K246" i="177"/>
  <c r="L246" i="177"/>
  <c r="M246" i="177"/>
  <c r="J289" i="177"/>
  <c r="G289" i="177"/>
  <c r="F289" i="177"/>
  <c r="H289" i="177"/>
  <c r="J288" i="177"/>
  <c r="G288" i="177"/>
  <c r="F288" i="177"/>
  <c r="H288" i="177"/>
  <c r="J105" i="177"/>
  <c r="G105" i="177"/>
  <c r="F105" i="177"/>
  <c r="H105" i="177"/>
  <c r="K105" i="177"/>
  <c r="L105" i="177"/>
  <c r="M105" i="177"/>
  <c r="O105" i="177"/>
  <c r="J104" i="177"/>
  <c r="G104" i="177"/>
  <c r="F104" i="177"/>
  <c r="H104" i="177"/>
  <c r="J101" i="177"/>
  <c r="G101" i="177"/>
  <c r="F101" i="177"/>
  <c r="H101" i="177"/>
  <c r="J163" i="177"/>
  <c r="G163" i="177"/>
  <c r="F163" i="177"/>
  <c r="H163" i="177"/>
  <c r="K163" i="177"/>
  <c r="L163" i="177"/>
  <c r="M163" i="177"/>
  <c r="O163" i="177"/>
  <c r="J205" i="177"/>
  <c r="G205" i="177"/>
  <c r="F205" i="177"/>
  <c r="H205" i="177"/>
  <c r="J291" i="177"/>
  <c r="G291" i="177"/>
  <c r="F291" i="177"/>
  <c r="H291" i="177"/>
  <c r="K291" i="177"/>
  <c r="L291" i="177"/>
  <c r="M291" i="177"/>
  <c r="O291" i="177"/>
  <c r="J249" i="177"/>
  <c r="G249" i="177"/>
  <c r="F249" i="177"/>
  <c r="H249" i="177"/>
  <c r="AC158" i="146"/>
  <c r="AD125" i="146"/>
  <c r="J295" i="177"/>
  <c r="G295" i="177"/>
  <c r="F295" i="177"/>
  <c r="H295" i="177"/>
  <c r="K295" i="177"/>
  <c r="L295" i="177"/>
  <c r="M295" i="177"/>
  <c r="O295" i="177"/>
  <c r="J294" i="177"/>
  <c r="G294" i="177"/>
  <c r="F294" i="177"/>
  <c r="H294" i="177"/>
  <c r="J253" i="177"/>
  <c r="G253" i="177"/>
  <c r="F253" i="177"/>
  <c r="H253" i="177"/>
  <c r="J252" i="177"/>
  <c r="G252" i="177"/>
  <c r="F252" i="177"/>
  <c r="H252" i="177"/>
  <c r="J209" i="177"/>
  <c r="G209" i="177"/>
  <c r="F209" i="177"/>
  <c r="H209" i="177"/>
  <c r="K209" i="177"/>
  <c r="L209" i="177"/>
  <c r="M209" i="177"/>
  <c r="O209" i="177"/>
  <c r="J208" i="177"/>
  <c r="G208" i="177"/>
  <c r="F208" i="177"/>
  <c r="H208" i="177"/>
  <c r="K208" i="177"/>
  <c r="L208" i="177"/>
  <c r="M208" i="177"/>
  <c r="J167" i="177"/>
  <c r="G167" i="177"/>
  <c r="F167" i="177"/>
  <c r="H167" i="177"/>
  <c r="J166" i="177"/>
  <c r="G166" i="177"/>
  <c r="F166" i="177"/>
  <c r="H166" i="177"/>
  <c r="K166" i="177"/>
  <c r="L166" i="177"/>
  <c r="M166" i="177"/>
  <c r="O166" i="177"/>
  <c r="R173" i="177"/>
  <c r="J130" i="177"/>
  <c r="G130" i="177"/>
  <c r="F130" i="177"/>
  <c r="H130" i="177"/>
  <c r="K130" i="177"/>
  <c r="L130" i="177"/>
  <c r="M130" i="177"/>
  <c r="O130" i="177"/>
  <c r="J129" i="177"/>
  <c r="G129" i="177"/>
  <c r="F129" i="177"/>
  <c r="H129" i="177"/>
  <c r="K129" i="177"/>
  <c r="L129" i="177"/>
  <c r="M129" i="177"/>
  <c r="O129" i="177"/>
  <c r="J177" i="177"/>
  <c r="G177" i="177"/>
  <c r="F177" i="177"/>
  <c r="H177" i="177"/>
  <c r="J176" i="177"/>
  <c r="G176" i="177"/>
  <c r="F176" i="177"/>
  <c r="H176" i="177"/>
  <c r="K176" i="177"/>
  <c r="L176" i="177"/>
  <c r="M176" i="177"/>
  <c r="O176" i="177"/>
  <c r="J219" i="177"/>
  <c r="G219" i="177"/>
  <c r="F219" i="177"/>
  <c r="H219" i="177"/>
  <c r="J218" i="177"/>
  <c r="G218" i="177"/>
  <c r="F218" i="177"/>
  <c r="H218" i="177"/>
  <c r="J263" i="177"/>
  <c r="G263" i="177"/>
  <c r="F263" i="177"/>
  <c r="H263" i="177"/>
  <c r="K263" i="177"/>
  <c r="L263" i="177"/>
  <c r="M263" i="177"/>
  <c r="O263" i="177"/>
  <c r="J262" i="177"/>
  <c r="G262" i="177"/>
  <c r="F262" i="177"/>
  <c r="H262" i="177"/>
  <c r="AC185" i="146"/>
  <c r="AC184" i="146"/>
  <c r="AC183" i="146"/>
  <c r="AC186" i="146"/>
  <c r="AC192" i="146"/>
  <c r="AC191" i="146"/>
  <c r="J305" i="177"/>
  <c r="G305" i="177"/>
  <c r="F305" i="177"/>
  <c r="H305" i="177"/>
  <c r="J304" i="177"/>
  <c r="G304" i="177"/>
  <c r="F304" i="177"/>
  <c r="H304" i="177"/>
  <c r="K304" i="177"/>
  <c r="L304" i="177"/>
  <c r="M304" i="177"/>
  <c r="O304" i="177"/>
  <c r="C102" i="177"/>
  <c r="F102" i="177"/>
  <c r="H102" i="177"/>
  <c r="J102" i="177"/>
  <c r="C164" i="177"/>
  <c r="F164" i="177"/>
  <c r="H164" i="177"/>
  <c r="C206" i="177"/>
  <c r="J206" i="177"/>
  <c r="C250" i="177"/>
  <c r="F250" i="177"/>
  <c r="H250" i="177"/>
  <c r="J90" i="177"/>
  <c r="G90" i="177"/>
  <c r="F90" i="177"/>
  <c r="H90" i="177"/>
  <c r="K90" i="177"/>
  <c r="L90" i="177"/>
  <c r="M90" i="177"/>
  <c r="O90" i="177"/>
  <c r="J152" i="177"/>
  <c r="G152" i="177"/>
  <c r="F152" i="177"/>
  <c r="H152" i="177"/>
  <c r="J192" i="177"/>
  <c r="G192" i="177"/>
  <c r="F192" i="177"/>
  <c r="H192" i="177"/>
  <c r="K192" i="177"/>
  <c r="L192" i="177"/>
  <c r="M192" i="177"/>
  <c r="O192" i="177"/>
  <c r="J236" i="177"/>
  <c r="G236" i="177"/>
  <c r="F236" i="177"/>
  <c r="H236" i="177"/>
  <c r="K236" i="177"/>
  <c r="L236" i="177"/>
  <c r="M236" i="177"/>
  <c r="O236" i="177"/>
  <c r="J278" i="177"/>
  <c r="G278" i="177"/>
  <c r="F278" i="177"/>
  <c r="H278" i="177"/>
  <c r="J88" i="177"/>
  <c r="G88" i="177"/>
  <c r="F88" i="177"/>
  <c r="H88" i="177"/>
  <c r="K88" i="177"/>
  <c r="L88" i="177"/>
  <c r="M88" i="177"/>
  <c r="O88" i="177"/>
  <c r="J87" i="177"/>
  <c r="G87" i="177"/>
  <c r="F87" i="177"/>
  <c r="H87" i="177"/>
  <c r="K87" i="177"/>
  <c r="L87" i="177"/>
  <c r="J150" i="177"/>
  <c r="G150" i="177"/>
  <c r="F150" i="177"/>
  <c r="H150" i="177"/>
  <c r="J149" i="177"/>
  <c r="G149" i="177"/>
  <c r="F149" i="177"/>
  <c r="H149" i="177"/>
  <c r="K149" i="177"/>
  <c r="L149" i="177"/>
  <c r="M149" i="177"/>
  <c r="J190" i="177"/>
  <c r="G190" i="177"/>
  <c r="F190" i="177"/>
  <c r="H190" i="177"/>
  <c r="J189" i="177"/>
  <c r="G189" i="177"/>
  <c r="F189" i="177"/>
  <c r="H189" i="177"/>
  <c r="K189" i="177"/>
  <c r="L189" i="177"/>
  <c r="M189" i="177"/>
  <c r="J234" i="177"/>
  <c r="G234" i="177"/>
  <c r="F234" i="177"/>
  <c r="H234" i="177"/>
  <c r="K234" i="177"/>
  <c r="L234" i="177"/>
  <c r="M234" i="177"/>
  <c r="O234" i="177"/>
  <c r="J233" i="177"/>
  <c r="G233" i="177"/>
  <c r="F233" i="177"/>
  <c r="H233" i="177"/>
  <c r="J276" i="177"/>
  <c r="G276" i="177"/>
  <c r="F276" i="177"/>
  <c r="F353" i="177"/>
  <c r="G375" i="177"/>
  <c r="G376" i="177"/>
  <c r="I376" i="177"/>
  <c r="M365" i="177"/>
  <c r="H276" i="177"/>
  <c r="H353" i="177"/>
  <c r="K276" i="177"/>
  <c r="L276" i="177"/>
  <c r="M276" i="177"/>
  <c r="P306" i="177"/>
  <c r="J275" i="177"/>
  <c r="G275" i="177"/>
  <c r="F275" i="177"/>
  <c r="H275" i="177"/>
  <c r="K275" i="177"/>
  <c r="L275" i="177"/>
  <c r="M275" i="177"/>
  <c r="O275" i="177"/>
  <c r="G324" i="177"/>
  <c r="E28" i="180"/>
  <c r="F28" i="180"/>
  <c r="G28" i="180"/>
  <c r="H28" i="180"/>
  <c r="K28" i="180"/>
  <c r="I28" i="180"/>
  <c r="J28" i="180"/>
  <c r="G37" i="180"/>
  <c r="H37" i="180"/>
  <c r="C37" i="180"/>
  <c r="C33" i="180"/>
  <c r="G33" i="180"/>
  <c r="H33" i="180"/>
  <c r="I32" i="180"/>
  <c r="C32" i="180"/>
  <c r="F32" i="180"/>
  <c r="E31" i="180"/>
  <c r="C31" i="180"/>
  <c r="F31" i="180"/>
  <c r="C30" i="180"/>
  <c r="G30" i="180"/>
  <c r="H30" i="180"/>
  <c r="E29" i="180"/>
  <c r="C29" i="180"/>
  <c r="G29" i="180"/>
  <c r="H29" i="180"/>
  <c r="C28" i="180"/>
  <c r="F27" i="180"/>
  <c r="H17" i="180"/>
  <c r="H15" i="180"/>
  <c r="E30" i="180"/>
  <c r="H14" i="180"/>
  <c r="H13" i="180"/>
  <c r="AK28" i="146"/>
  <c r="AO28" i="146"/>
  <c r="AP28" i="146"/>
  <c r="AK27" i="146"/>
  <c r="AK25" i="146"/>
  <c r="C25" i="146"/>
  <c r="G25" i="146"/>
  <c r="H25" i="146"/>
  <c r="AK26" i="146"/>
  <c r="AO26" i="146"/>
  <c r="AP26" i="146"/>
  <c r="C292" i="177"/>
  <c r="F292" i="177"/>
  <c r="H292" i="177"/>
  <c r="V390" i="177"/>
  <c r="U390" i="177"/>
  <c r="U189" i="177"/>
  <c r="L93" i="11"/>
  <c r="L91" i="11"/>
  <c r="L89" i="11"/>
  <c r="L87" i="11"/>
  <c r="L85" i="11"/>
  <c r="L83" i="11"/>
  <c r="K89" i="11"/>
  <c r="I89" i="11"/>
  <c r="H89" i="11"/>
  <c r="F89" i="11"/>
  <c r="N89" i="11"/>
  <c r="D89" i="11"/>
  <c r="M81" i="11"/>
  <c r="K81" i="11"/>
  <c r="J81" i="11"/>
  <c r="G81" i="11"/>
  <c r="E81" i="11"/>
  <c r="B93" i="11"/>
  <c r="B91" i="11"/>
  <c r="B89" i="11"/>
  <c r="B87" i="11"/>
  <c r="B85" i="11"/>
  <c r="B83" i="11"/>
  <c r="D72" i="11"/>
  <c r="B72" i="11"/>
  <c r="L81" i="11"/>
  <c r="B66" i="11"/>
  <c r="I81" i="11"/>
  <c r="B64" i="11"/>
  <c r="H81" i="11"/>
  <c r="B3" i="169"/>
  <c r="B2" i="169"/>
  <c r="B1" i="169"/>
  <c r="B60" i="11"/>
  <c r="F81" i="11"/>
  <c r="B3" i="177"/>
  <c r="B2" i="177"/>
  <c r="B1" i="177"/>
  <c r="B56" i="11"/>
  <c r="D81" i="11"/>
  <c r="C277" i="146"/>
  <c r="G277" i="146"/>
  <c r="K262" i="146"/>
  <c r="C258" i="146"/>
  <c r="E277" i="146"/>
  <c r="C273" i="146"/>
  <c r="G273" i="146"/>
  <c r="C272" i="146"/>
  <c r="F272" i="146"/>
  <c r="C271" i="146"/>
  <c r="G271" i="146"/>
  <c r="C270" i="146"/>
  <c r="G270" i="146"/>
  <c r="C269" i="146"/>
  <c r="G269" i="146"/>
  <c r="I268" i="146"/>
  <c r="F268" i="146"/>
  <c r="H256" i="146"/>
  <c r="E271" i="146"/>
  <c r="F271" i="146"/>
  <c r="H255" i="146"/>
  <c r="E270" i="146"/>
  <c r="F270" i="146"/>
  <c r="H254" i="146"/>
  <c r="E269" i="146"/>
  <c r="AA157" i="146"/>
  <c r="AA158" i="146"/>
  <c r="Z159" i="146"/>
  <c r="L55" i="178"/>
  <c r="K55" i="178"/>
  <c r="D55" i="178"/>
  <c r="E55" i="178"/>
  <c r="L51" i="178"/>
  <c r="E51" i="178"/>
  <c r="K49" i="178"/>
  <c r="L49" i="178"/>
  <c r="L52" i="178"/>
  <c r="L53" i="178"/>
  <c r="L56" i="178"/>
  <c r="D49" i="178"/>
  <c r="E49" i="178"/>
  <c r="E52" i="178"/>
  <c r="E53" i="178"/>
  <c r="N24" i="178"/>
  <c r="S22" i="178"/>
  <c r="J20" i="178"/>
  <c r="G20" i="178"/>
  <c r="F20" i="178"/>
  <c r="H20" i="178"/>
  <c r="K20" i="178"/>
  <c r="L20" i="178"/>
  <c r="M20" i="178"/>
  <c r="Q20" i="178"/>
  <c r="R20" i="178"/>
  <c r="J19" i="178"/>
  <c r="G19" i="178"/>
  <c r="F19" i="178"/>
  <c r="H19" i="178"/>
  <c r="K19" i="178"/>
  <c r="L19" i="178"/>
  <c r="M19" i="178"/>
  <c r="Q19" i="178"/>
  <c r="R19" i="178"/>
  <c r="J17" i="178"/>
  <c r="G17" i="178"/>
  <c r="F17" i="178"/>
  <c r="H17" i="178"/>
  <c r="K17" i="178"/>
  <c r="L17" i="178"/>
  <c r="M17" i="178"/>
  <c r="Q17" i="178"/>
  <c r="R17" i="178"/>
  <c r="J16" i="178"/>
  <c r="H16" i="178"/>
  <c r="K16" i="178"/>
  <c r="L16" i="178"/>
  <c r="M16" i="178"/>
  <c r="Q16" i="178"/>
  <c r="R16" i="178"/>
  <c r="G16" i="178"/>
  <c r="F16" i="178"/>
  <c r="J23" i="178"/>
  <c r="F23" i="178"/>
  <c r="F43" i="178"/>
  <c r="B6" i="178"/>
  <c r="B3" i="178"/>
  <c r="B2" i="178"/>
  <c r="B1" i="178"/>
  <c r="Z166" i="146"/>
  <c r="Z168" i="146"/>
  <c r="AA151" i="146"/>
  <c r="AA152" i="146"/>
  <c r="AB127" i="146"/>
  <c r="AD127" i="146"/>
  <c r="Z145" i="146"/>
  <c r="Z137" i="146"/>
  <c r="Z139" i="146"/>
  <c r="Z128" i="146"/>
  <c r="AE125" i="146"/>
  <c r="K390" i="177"/>
  <c r="L390" i="177"/>
  <c r="D390" i="177"/>
  <c r="E390" i="177"/>
  <c r="L386" i="177"/>
  <c r="E386" i="177"/>
  <c r="K384" i="177"/>
  <c r="L384" i="177"/>
  <c r="L387" i="177"/>
  <c r="L388" i="177"/>
  <c r="L391" i="177"/>
  <c r="D384" i="177"/>
  <c r="E384" i="177"/>
  <c r="D377" i="177"/>
  <c r="D375" i="177"/>
  <c r="D374" i="177"/>
  <c r="W352" i="177"/>
  <c r="T350" i="177"/>
  <c r="J350" i="177"/>
  <c r="G350" i="177"/>
  <c r="F350" i="177"/>
  <c r="H350" i="177"/>
  <c r="J342" i="177"/>
  <c r="G342" i="177"/>
  <c r="F342" i="177"/>
  <c r="H342" i="177"/>
  <c r="K342" i="177"/>
  <c r="L342" i="177"/>
  <c r="M342" i="177"/>
  <c r="O342" i="177"/>
  <c r="J341" i="177"/>
  <c r="G341" i="177"/>
  <c r="F341" i="177"/>
  <c r="H341" i="177"/>
  <c r="J339" i="177"/>
  <c r="G339" i="177"/>
  <c r="F339" i="177"/>
  <c r="H339" i="177"/>
  <c r="K339" i="177"/>
  <c r="L339" i="177"/>
  <c r="M339" i="177"/>
  <c r="O339" i="177"/>
  <c r="J338" i="177"/>
  <c r="E338" i="177"/>
  <c r="F338" i="177"/>
  <c r="H338" i="177"/>
  <c r="K338" i="177"/>
  <c r="L338" i="177"/>
  <c r="M338" i="177"/>
  <c r="O338" i="177"/>
  <c r="G338" i="177"/>
  <c r="J327" i="177"/>
  <c r="G327" i="177"/>
  <c r="F327" i="177"/>
  <c r="H327" i="177"/>
  <c r="K327" i="177"/>
  <c r="L327" i="177"/>
  <c r="M327" i="177"/>
  <c r="O327" i="177"/>
  <c r="J325" i="177"/>
  <c r="G325" i="177"/>
  <c r="F325" i="177"/>
  <c r="H325" i="177"/>
  <c r="K325" i="177"/>
  <c r="L325" i="177"/>
  <c r="M325" i="177"/>
  <c r="O325" i="177"/>
  <c r="J324" i="177"/>
  <c r="F324" i="177"/>
  <c r="H324" i="177"/>
  <c r="K324" i="177"/>
  <c r="L324" i="177"/>
  <c r="J323" i="177"/>
  <c r="G323" i="177"/>
  <c r="F323" i="177"/>
  <c r="H323" i="177"/>
  <c r="K323" i="177"/>
  <c r="L323" i="177"/>
  <c r="M323" i="177"/>
  <c r="O323" i="177"/>
  <c r="J322" i="177"/>
  <c r="G322" i="177"/>
  <c r="F322" i="177"/>
  <c r="H322" i="177"/>
  <c r="J321" i="177"/>
  <c r="G321" i="177"/>
  <c r="F321" i="177"/>
  <c r="H321" i="177"/>
  <c r="K321" i="177"/>
  <c r="L321" i="177"/>
  <c r="M321" i="177"/>
  <c r="O321" i="177"/>
  <c r="J318" i="177"/>
  <c r="G318" i="177"/>
  <c r="F318" i="177"/>
  <c r="H318" i="177"/>
  <c r="K318" i="177"/>
  <c r="L318" i="177"/>
  <c r="M318" i="177"/>
  <c r="O318" i="177"/>
  <c r="J311" i="177"/>
  <c r="G311" i="177"/>
  <c r="F311" i="177"/>
  <c r="H311" i="177"/>
  <c r="K311" i="177"/>
  <c r="L311" i="177"/>
  <c r="M311" i="177"/>
  <c r="O311" i="177"/>
  <c r="J301" i="177"/>
  <c r="E301" i="177"/>
  <c r="J281" i="177"/>
  <c r="G281" i="177"/>
  <c r="F281" i="177"/>
  <c r="H281" i="177"/>
  <c r="J279" i="177"/>
  <c r="G279" i="177"/>
  <c r="F279" i="177"/>
  <c r="H279" i="177"/>
  <c r="J277" i="177"/>
  <c r="G277" i="177"/>
  <c r="F277" i="177"/>
  <c r="H277" i="177"/>
  <c r="J269" i="177"/>
  <c r="G269" i="177"/>
  <c r="F269" i="177"/>
  <c r="H269" i="177"/>
  <c r="K269" i="177"/>
  <c r="L269" i="177"/>
  <c r="M269" i="177"/>
  <c r="O269" i="177"/>
  <c r="J259" i="177"/>
  <c r="E259" i="177"/>
  <c r="F259" i="177"/>
  <c r="H259" i="177"/>
  <c r="K259" i="177"/>
  <c r="L259" i="177"/>
  <c r="M259" i="177"/>
  <c r="O259" i="177"/>
  <c r="J239" i="177"/>
  <c r="G239" i="177"/>
  <c r="F239" i="177"/>
  <c r="H239" i="177"/>
  <c r="K239" i="177"/>
  <c r="L239" i="177"/>
  <c r="M239" i="177"/>
  <c r="O239" i="177"/>
  <c r="J237" i="177"/>
  <c r="G237" i="177"/>
  <c r="F237" i="177"/>
  <c r="H237" i="177"/>
  <c r="K237" i="177"/>
  <c r="L237" i="177"/>
  <c r="M237" i="177"/>
  <c r="O237" i="177"/>
  <c r="J235" i="177"/>
  <c r="G235" i="177"/>
  <c r="F235" i="177"/>
  <c r="H235" i="177"/>
  <c r="K235" i="177"/>
  <c r="L235" i="177"/>
  <c r="M235" i="177"/>
  <c r="O235" i="177"/>
  <c r="J225" i="177"/>
  <c r="G225" i="177"/>
  <c r="F225" i="177"/>
  <c r="H225" i="177"/>
  <c r="J215" i="177"/>
  <c r="E215" i="177"/>
  <c r="F215" i="177"/>
  <c r="H215" i="177"/>
  <c r="J195" i="177"/>
  <c r="G195" i="177"/>
  <c r="F195" i="177"/>
  <c r="H195" i="177"/>
  <c r="K195" i="177"/>
  <c r="L195" i="177"/>
  <c r="M195" i="177"/>
  <c r="O195" i="177"/>
  <c r="J193" i="177"/>
  <c r="G193" i="177"/>
  <c r="F193" i="177"/>
  <c r="H193" i="177"/>
  <c r="K193" i="177"/>
  <c r="L193" i="177"/>
  <c r="M193" i="177"/>
  <c r="O193" i="177"/>
  <c r="J191" i="177"/>
  <c r="G191" i="177"/>
  <c r="F191" i="177"/>
  <c r="H191" i="177"/>
  <c r="K191" i="177"/>
  <c r="L191" i="177"/>
  <c r="M191" i="177"/>
  <c r="O191" i="177"/>
  <c r="T189" i="177"/>
  <c r="J183" i="177"/>
  <c r="G183" i="177"/>
  <c r="F183" i="177"/>
  <c r="H183" i="177"/>
  <c r="J173" i="177"/>
  <c r="E173" i="177"/>
  <c r="G173" i="177"/>
  <c r="F173" i="177"/>
  <c r="H173" i="177"/>
  <c r="K173" i="177"/>
  <c r="L173" i="177"/>
  <c r="M173" i="177"/>
  <c r="O173" i="177"/>
  <c r="J155" i="177"/>
  <c r="G155" i="177"/>
  <c r="F155" i="177"/>
  <c r="H155" i="177"/>
  <c r="K155" i="177"/>
  <c r="L155" i="177"/>
  <c r="M155" i="177"/>
  <c r="O155" i="177"/>
  <c r="J153" i="177"/>
  <c r="G153" i="177"/>
  <c r="F153" i="177"/>
  <c r="H153" i="177"/>
  <c r="J151" i="177"/>
  <c r="G151" i="177"/>
  <c r="F151" i="177"/>
  <c r="H151" i="177"/>
  <c r="J143" i="177"/>
  <c r="G143" i="177"/>
  <c r="F143" i="177"/>
  <c r="H143" i="177"/>
  <c r="K143" i="177"/>
  <c r="L143" i="177"/>
  <c r="M143" i="177"/>
  <c r="O143" i="177"/>
  <c r="J134" i="177"/>
  <c r="G134" i="177"/>
  <c r="F134" i="177"/>
  <c r="H134" i="177"/>
  <c r="J133" i="177"/>
  <c r="E133" i="177"/>
  <c r="G133" i="177"/>
  <c r="J126" i="177"/>
  <c r="E126" i="177"/>
  <c r="J93" i="177"/>
  <c r="G93" i="177"/>
  <c r="F93" i="177"/>
  <c r="H93" i="177"/>
  <c r="J91" i="177"/>
  <c r="G91" i="177"/>
  <c r="F91" i="177"/>
  <c r="H91" i="177"/>
  <c r="K91" i="177"/>
  <c r="L91" i="177"/>
  <c r="M91" i="177"/>
  <c r="O91" i="177"/>
  <c r="J89" i="177"/>
  <c r="G89" i="177"/>
  <c r="F89" i="177"/>
  <c r="H89" i="177"/>
  <c r="K89" i="177"/>
  <c r="L89" i="177"/>
  <c r="M89" i="177"/>
  <c r="O89" i="177"/>
  <c r="J80" i="177"/>
  <c r="G80" i="177"/>
  <c r="F80" i="177"/>
  <c r="H80" i="177"/>
  <c r="J78" i="177"/>
  <c r="G78" i="177"/>
  <c r="F78" i="177"/>
  <c r="H78" i="177"/>
  <c r="K78" i="177"/>
  <c r="L78" i="177"/>
  <c r="M78" i="177"/>
  <c r="O78" i="177"/>
  <c r="J76" i="177"/>
  <c r="G76" i="177"/>
  <c r="F76" i="177"/>
  <c r="H76" i="177"/>
  <c r="K76" i="177"/>
  <c r="L76" i="177"/>
  <c r="M76" i="177"/>
  <c r="O76" i="177"/>
  <c r="J35" i="177"/>
  <c r="G35" i="177"/>
  <c r="F35" i="177"/>
  <c r="H35" i="177"/>
  <c r="J27" i="177"/>
  <c r="G27" i="177"/>
  <c r="F27" i="177"/>
  <c r="H27" i="177"/>
  <c r="K27" i="177"/>
  <c r="L27" i="177"/>
  <c r="M27" i="177"/>
  <c r="O27" i="177"/>
  <c r="J17" i="177"/>
  <c r="G17" i="177"/>
  <c r="F17" i="177"/>
  <c r="H17" i="177"/>
  <c r="S177" i="146"/>
  <c r="S176" i="146"/>
  <c r="T177" i="146"/>
  <c r="P166" i="146"/>
  <c r="P168" i="146"/>
  <c r="Q157" i="146"/>
  <c r="Q158" i="146"/>
  <c r="Q151" i="146"/>
  <c r="Q152" i="146"/>
  <c r="P145" i="146"/>
  <c r="P137" i="146"/>
  <c r="P139" i="146"/>
  <c r="P128" i="146"/>
  <c r="P132" i="146"/>
  <c r="U125" i="146"/>
  <c r="T125" i="146"/>
  <c r="T322" i="175"/>
  <c r="M381" i="175"/>
  <c r="T254" i="175"/>
  <c r="M318" i="175"/>
  <c r="T205" i="175"/>
  <c r="M250" i="175"/>
  <c r="T163" i="175"/>
  <c r="M201" i="175"/>
  <c r="T138" i="175"/>
  <c r="M141" i="175"/>
  <c r="T123" i="175"/>
  <c r="M134" i="175"/>
  <c r="T111" i="175"/>
  <c r="M120" i="175"/>
  <c r="T98" i="175"/>
  <c r="M107" i="175"/>
  <c r="T85" i="175"/>
  <c r="M94" i="175"/>
  <c r="T72" i="175"/>
  <c r="M81" i="175"/>
  <c r="T53" i="175"/>
  <c r="M68" i="175"/>
  <c r="T28" i="175"/>
  <c r="M49" i="175"/>
  <c r="T15" i="175"/>
  <c r="T385" i="175"/>
  <c r="M444" i="175"/>
  <c r="T511" i="175"/>
  <c r="M566" i="175"/>
  <c r="T448" i="175"/>
  <c r="F39" i="176"/>
  <c r="H39" i="176"/>
  <c r="F171" i="175"/>
  <c r="H171" i="175"/>
  <c r="K236" i="176"/>
  <c r="L236" i="176"/>
  <c r="D236" i="176"/>
  <c r="E236" i="176"/>
  <c r="L232" i="176"/>
  <c r="E232" i="176"/>
  <c r="K230" i="176"/>
  <c r="L230" i="176"/>
  <c r="L233" i="176"/>
  <c r="L234" i="176"/>
  <c r="D230" i="176"/>
  <c r="E230" i="176"/>
  <c r="J190" i="176"/>
  <c r="G190" i="176"/>
  <c r="F190" i="176"/>
  <c r="H190" i="176"/>
  <c r="K190" i="176"/>
  <c r="L190" i="176"/>
  <c r="M190" i="176"/>
  <c r="O190" i="176"/>
  <c r="G189" i="176"/>
  <c r="J184" i="176"/>
  <c r="G184" i="176"/>
  <c r="F184" i="176"/>
  <c r="H184" i="176"/>
  <c r="K184" i="176"/>
  <c r="L184" i="176"/>
  <c r="M184" i="176"/>
  <c r="O184" i="176"/>
  <c r="W183" i="176"/>
  <c r="J183" i="176"/>
  <c r="G183" i="176"/>
  <c r="F183" i="176"/>
  <c r="H183" i="176"/>
  <c r="K183" i="176"/>
  <c r="L183" i="176"/>
  <c r="M183" i="176"/>
  <c r="O183" i="176"/>
  <c r="J182" i="176"/>
  <c r="G182" i="176"/>
  <c r="F182" i="176"/>
  <c r="H182" i="176"/>
  <c r="K182" i="176"/>
  <c r="L182" i="176"/>
  <c r="M182" i="176"/>
  <c r="O182" i="176"/>
  <c r="J181" i="176"/>
  <c r="G181" i="176"/>
  <c r="F181" i="176"/>
  <c r="H181" i="176"/>
  <c r="G180" i="176"/>
  <c r="W174" i="176"/>
  <c r="J174" i="176"/>
  <c r="G174" i="176"/>
  <c r="F174" i="176"/>
  <c r="H174" i="176"/>
  <c r="J173" i="176"/>
  <c r="G173" i="176"/>
  <c r="F173" i="176"/>
  <c r="H173" i="176"/>
  <c r="J172" i="176"/>
  <c r="G172" i="176"/>
  <c r="F172" i="176"/>
  <c r="H172" i="176"/>
  <c r="K172" i="176"/>
  <c r="L172" i="176"/>
  <c r="M172" i="176"/>
  <c r="O172" i="176"/>
  <c r="G171" i="176"/>
  <c r="W165" i="176"/>
  <c r="J165" i="176"/>
  <c r="G165" i="176"/>
  <c r="F165" i="176"/>
  <c r="H165" i="176"/>
  <c r="J164" i="176"/>
  <c r="G164" i="176"/>
  <c r="F164" i="176"/>
  <c r="H164" i="176"/>
  <c r="K164" i="176"/>
  <c r="L164" i="176"/>
  <c r="M164" i="176"/>
  <c r="O164" i="176"/>
  <c r="J163" i="176"/>
  <c r="G163" i="176"/>
  <c r="F163" i="176"/>
  <c r="H163" i="176"/>
  <c r="K163" i="176"/>
  <c r="L163" i="176"/>
  <c r="M163" i="176"/>
  <c r="O163" i="176"/>
  <c r="G162" i="176"/>
  <c r="W156" i="176"/>
  <c r="J156" i="176"/>
  <c r="G156" i="176"/>
  <c r="F156" i="176"/>
  <c r="H156" i="176"/>
  <c r="J155" i="176"/>
  <c r="G155" i="176"/>
  <c r="F155" i="176"/>
  <c r="H155" i="176"/>
  <c r="K155" i="176"/>
  <c r="L155" i="176"/>
  <c r="M155" i="176"/>
  <c r="O155" i="176"/>
  <c r="J154" i="176"/>
  <c r="G154" i="176"/>
  <c r="F154" i="176"/>
  <c r="H154" i="176"/>
  <c r="G153" i="176"/>
  <c r="W147" i="176"/>
  <c r="J147" i="176"/>
  <c r="G147" i="176"/>
  <c r="F147" i="176"/>
  <c r="H147" i="176"/>
  <c r="K147" i="176"/>
  <c r="L147" i="176"/>
  <c r="M147" i="176"/>
  <c r="O147" i="176"/>
  <c r="J146" i="176"/>
  <c r="G146" i="176"/>
  <c r="F146" i="176"/>
  <c r="H146" i="176"/>
  <c r="K146" i="176"/>
  <c r="L146" i="176"/>
  <c r="M146" i="176"/>
  <c r="O146" i="176"/>
  <c r="J145" i="176"/>
  <c r="G145" i="176"/>
  <c r="F145" i="176"/>
  <c r="H145" i="176"/>
  <c r="G144" i="176"/>
  <c r="W138" i="176"/>
  <c r="J138" i="176"/>
  <c r="G138" i="176"/>
  <c r="F138" i="176"/>
  <c r="H138" i="176"/>
  <c r="K138" i="176"/>
  <c r="L138" i="176"/>
  <c r="M138" i="176"/>
  <c r="O138" i="176"/>
  <c r="J137" i="176"/>
  <c r="G137" i="176"/>
  <c r="F137" i="176"/>
  <c r="H137" i="176"/>
  <c r="J136" i="176"/>
  <c r="G136" i="176"/>
  <c r="F136" i="176"/>
  <c r="H136" i="176"/>
  <c r="K136" i="176"/>
  <c r="L136" i="176"/>
  <c r="M136" i="176"/>
  <c r="O136" i="176"/>
  <c r="G135" i="176"/>
  <c r="W129" i="176"/>
  <c r="J129" i="176"/>
  <c r="K129" i="176"/>
  <c r="L129" i="176"/>
  <c r="M129" i="176"/>
  <c r="O129" i="176"/>
  <c r="G129" i="176"/>
  <c r="F129" i="176"/>
  <c r="H129" i="176"/>
  <c r="J128" i="176"/>
  <c r="G128" i="176"/>
  <c r="F128" i="176"/>
  <c r="H128" i="176"/>
  <c r="J127" i="176"/>
  <c r="G127" i="176"/>
  <c r="F127" i="176"/>
  <c r="H127" i="176"/>
  <c r="K127" i="176"/>
  <c r="L127" i="176"/>
  <c r="M127" i="176"/>
  <c r="O127" i="176"/>
  <c r="G126" i="176"/>
  <c r="J119" i="176"/>
  <c r="G119" i="176"/>
  <c r="F119" i="176"/>
  <c r="H119" i="176"/>
  <c r="J118" i="176"/>
  <c r="G118" i="176"/>
  <c r="F118" i="176"/>
  <c r="H118" i="176"/>
  <c r="K118" i="176"/>
  <c r="L118" i="176"/>
  <c r="M118" i="176"/>
  <c r="O118" i="176"/>
  <c r="G117" i="176"/>
  <c r="J111" i="176"/>
  <c r="G111" i="176"/>
  <c r="F111" i="176"/>
  <c r="H111" i="176"/>
  <c r="J110" i="176"/>
  <c r="G110" i="176"/>
  <c r="F110" i="176"/>
  <c r="H110" i="176"/>
  <c r="J104" i="176"/>
  <c r="G104" i="176"/>
  <c r="F104" i="176"/>
  <c r="H104" i="176"/>
  <c r="J103" i="176"/>
  <c r="G103" i="176"/>
  <c r="F103" i="176"/>
  <c r="H103" i="176"/>
  <c r="J100" i="176"/>
  <c r="G100" i="176"/>
  <c r="F100" i="176"/>
  <c r="H100" i="176"/>
  <c r="J99" i="176"/>
  <c r="G99" i="176"/>
  <c r="F99" i="176"/>
  <c r="H99" i="176"/>
  <c r="K99" i="176"/>
  <c r="L99" i="176"/>
  <c r="M99" i="176"/>
  <c r="O99" i="176"/>
  <c r="J98" i="176"/>
  <c r="G98" i="176"/>
  <c r="F98" i="176"/>
  <c r="H98" i="176"/>
  <c r="J92" i="176"/>
  <c r="G92" i="176"/>
  <c r="F92" i="176"/>
  <c r="H92" i="176"/>
  <c r="J91" i="176"/>
  <c r="G91" i="176"/>
  <c r="F91" i="176"/>
  <c r="H91" i="176"/>
  <c r="J88" i="176"/>
  <c r="G88" i="176"/>
  <c r="F88" i="176"/>
  <c r="H88" i="176"/>
  <c r="K88" i="176"/>
  <c r="L88" i="176"/>
  <c r="M88" i="176"/>
  <c r="O88" i="176"/>
  <c r="J87" i="176"/>
  <c r="G87" i="176"/>
  <c r="F87" i="176"/>
  <c r="H87" i="176"/>
  <c r="K87" i="176"/>
  <c r="L87" i="176"/>
  <c r="M87" i="176"/>
  <c r="O87" i="176"/>
  <c r="J86" i="176"/>
  <c r="G86" i="176"/>
  <c r="F86" i="176"/>
  <c r="H86" i="176"/>
  <c r="K86" i="176"/>
  <c r="L86" i="176"/>
  <c r="M86" i="176"/>
  <c r="O86" i="176"/>
  <c r="J80" i="176"/>
  <c r="G80" i="176"/>
  <c r="F80" i="176"/>
  <c r="H80" i="176"/>
  <c r="J79" i="176"/>
  <c r="G79" i="176"/>
  <c r="F79" i="176"/>
  <c r="H79" i="176"/>
  <c r="J76" i="176"/>
  <c r="G76" i="176"/>
  <c r="F76" i="176"/>
  <c r="H76" i="176"/>
  <c r="K76" i="176"/>
  <c r="L76" i="176"/>
  <c r="M76" i="176"/>
  <c r="O76" i="176"/>
  <c r="J75" i="176"/>
  <c r="G75" i="176"/>
  <c r="F75" i="176"/>
  <c r="H75" i="176"/>
  <c r="J74" i="176"/>
  <c r="G74" i="176"/>
  <c r="F74" i="176"/>
  <c r="H74" i="176"/>
  <c r="J68" i="176"/>
  <c r="G68" i="176"/>
  <c r="F68" i="176"/>
  <c r="H68" i="176"/>
  <c r="K68" i="176"/>
  <c r="L68" i="176"/>
  <c r="M68" i="176"/>
  <c r="O68" i="176"/>
  <c r="J67" i="176"/>
  <c r="G67" i="176"/>
  <c r="F67" i="176"/>
  <c r="H67" i="176"/>
  <c r="J64" i="176"/>
  <c r="G64" i="176"/>
  <c r="F64" i="176"/>
  <c r="H64" i="176"/>
  <c r="J63" i="176"/>
  <c r="G63" i="176"/>
  <c r="F63" i="176"/>
  <c r="H63" i="176"/>
  <c r="K63" i="176"/>
  <c r="L63" i="176"/>
  <c r="M63" i="176"/>
  <c r="O63" i="176"/>
  <c r="J62" i="176"/>
  <c r="G62" i="176"/>
  <c r="F62" i="176"/>
  <c r="H62" i="176"/>
  <c r="J56" i="176"/>
  <c r="G56" i="176"/>
  <c r="F56" i="176"/>
  <c r="H56" i="176"/>
  <c r="J55" i="176"/>
  <c r="G55" i="176"/>
  <c r="F55" i="176"/>
  <c r="H55" i="176"/>
  <c r="J52" i="176"/>
  <c r="G52" i="176"/>
  <c r="F52" i="176"/>
  <c r="H52" i="176"/>
  <c r="J51" i="176"/>
  <c r="G51" i="176"/>
  <c r="F51" i="176"/>
  <c r="H51" i="176"/>
  <c r="K51" i="176"/>
  <c r="L51" i="176"/>
  <c r="M51" i="176"/>
  <c r="O51" i="176"/>
  <c r="J50" i="176"/>
  <c r="G50" i="176"/>
  <c r="F50" i="176"/>
  <c r="H50" i="176"/>
  <c r="K50" i="176"/>
  <c r="L50" i="176"/>
  <c r="M50" i="176"/>
  <c r="O50" i="176"/>
  <c r="J44" i="176"/>
  <c r="G44" i="176"/>
  <c r="F44" i="176"/>
  <c r="H44" i="176"/>
  <c r="J43" i="176"/>
  <c r="G43" i="176"/>
  <c r="F43" i="176"/>
  <c r="H43" i="176"/>
  <c r="J40" i="176"/>
  <c r="G40" i="176"/>
  <c r="F40" i="176"/>
  <c r="H40" i="176"/>
  <c r="K40" i="176"/>
  <c r="L40" i="176"/>
  <c r="M40" i="176"/>
  <c r="O40" i="176"/>
  <c r="J39" i="176"/>
  <c r="G39" i="176"/>
  <c r="J38" i="176"/>
  <c r="G38" i="176"/>
  <c r="F38" i="176"/>
  <c r="H38" i="176"/>
  <c r="J32" i="176"/>
  <c r="G32" i="176"/>
  <c r="F32" i="176"/>
  <c r="H32" i="176"/>
  <c r="J31" i="176"/>
  <c r="G31" i="176"/>
  <c r="F31" i="176"/>
  <c r="H31" i="176"/>
  <c r="K31" i="176"/>
  <c r="L31" i="176"/>
  <c r="M31" i="176"/>
  <c r="O31" i="176"/>
  <c r="J28" i="176"/>
  <c r="G28" i="176"/>
  <c r="F28" i="176"/>
  <c r="H28" i="176"/>
  <c r="K28" i="176"/>
  <c r="L28" i="176"/>
  <c r="M28" i="176"/>
  <c r="O28" i="176"/>
  <c r="J27" i="176"/>
  <c r="G27" i="176"/>
  <c r="F27" i="176"/>
  <c r="H27" i="176"/>
  <c r="K27" i="176"/>
  <c r="L27" i="176"/>
  <c r="M27" i="176"/>
  <c r="O27" i="176"/>
  <c r="J26" i="176"/>
  <c r="G26" i="176"/>
  <c r="F26" i="176"/>
  <c r="H26" i="176"/>
  <c r="J18" i="176"/>
  <c r="G18" i="176"/>
  <c r="F18" i="176"/>
  <c r="H18" i="176"/>
  <c r="J17" i="176"/>
  <c r="G17" i="176"/>
  <c r="F17" i="176"/>
  <c r="H17" i="176"/>
  <c r="B3" i="176"/>
  <c r="B2" i="176"/>
  <c r="B1" i="176"/>
  <c r="K619" i="175"/>
  <c r="L619" i="175"/>
  <c r="D619" i="175"/>
  <c r="E619" i="175"/>
  <c r="L615" i="175"/>
  <c r="E615" i="175"/>
  <c r="K613" i="175"/>
  <c r="L613" i="175"/>
  <c r="D613" i="175"/>
  <c r="E613" i="175"/>
  <c r="T574" i="175"/>
  <c r="C189" i="176"/>
  <c r="F189" i="176"/>
  <c r="H189" i="176"/>
  <c r="J574" i="175"/>
  <c r="G574" i="175"/>
  <c r="F574" i="175"/>
  <c r="H574" i="175"/>
  <c r="J573" i="175"/>
  <c r="G573" i="175"/>
  <c r="F573" i="175"/>
  <c r="H573" i="175"/>
  <c r="J572" i="175"/>
  <c r="G572" i="175"/>
  <c r="F572" i="175"/>
  <c r="H572" i="175"/>
  <c r="J565" i="175"/>
  <c r="G565" i="175"/>
  <c r="F565" i="175"/>
  <c r="H565" i="175"/>
  <c r="T564" i="175"/>
  <c r="C180" i="176"/>
  <c r="J564" i="175"/>
  <c r="G564" i="175"/>
  <c r="F564" i="175"/>
  <c r="H564" i="175"/>
  <c r="J562" i="175"/>
  <c r="G562" i="175"/>
  <c r="F562" i="175"/>
  <c r="H562" i="175"/>
  <c r="J561" i="175"/>
  <c r="G561" i="175"/>
  <c r="F561" i="175"/>
  <c r="H561" i="175"/>
  <c r="J560" i="175"/>
  <c r="G560" i="175"/>
  <c r="F560" i="175"/>
  <c r="H560" i="175"/>
  <c r="J558" i="175"/>
  <c r="G558" i="175"/>
  <c r="F558" i="175"/>
  <c r="H558" i="175"/>
  <c r="J557" i="175"/>
  <c r="G557" i="175"/>
  <c r="F557" i="175"/>
  <c r="H557" i="175"/>
  <c r="J556" i="175"/>
  <c r="G556" i="175"/>
  <c r="F556" i="175"/>
  <c r="H556" i="175"/>
  <c r="J554" i="175"/>
  <c r="G554" i="175"/>
  <c r="F554" i="175"/>
  <c r="H554" i="175"/>
  <c r="J553" i="175"/>
  <c r="G553" i="175"/>
  <c r="F553" i="175"/>
  <c r="H553" i="175"/>
  <c r="J552" i="175"/>
  <c r="G552" i="175"/>
  <c r="F552" i="175"/>
  <c r="H552" i="175"/>
  <c r="J549" i="175"/>
  <c r="G549" i="175"/>
  <c r="F549" i="175"/>
  <c r="H549" i="175"/>
  <c r="J547" i="175"/>
  <c r="G547" i="175"/>
  <c r="F547" i="175"/>
  <c r="H547" i="175"/>
  <c r="J546" i="175"/>
  <c r="G546" i="175"/>
  <c r="F546" i="175"/>
  <c r="H546" i="175"/>
  <c r="J544" i="175"/>
  <c r="G544" i="175"/>
  <c r="F544" i="175"/>
  <c r="H544" i="175"/>
  <c r="J543" i="175"/>
  <c r="G543" i="175"/>
  <c r="F543" i="175"/>
  <c r="H543" i="175"/>
  <c r="J542" i="175"/>
  <c r="G542" i="175"/>
  <c r="F542" i="175"/>
  <c r="H542" i="175"/>
  <c r="J540" i="175"/>
  <c r="G540" i="175"/>
  <c r="F540" i="175"/>
  <c r="H540" i="175"/>
  <c r="J539" i="175"/>
  <c r="G539" i="175"/>
  <c r="F539" i="175"/>
  <c r="H539" i="175"/>
  <c r="J538" i="175"/>
  <c r="G538" i="175"/>
  <c r="F538" i="175"/>
  <c r="H538" i="175"/>
  <c r="J536" i="175"/>
  <c r="G536" i="175"/>
  <c r="F536" i="175"/>
  <c r="H536" i="175"/>
  <c r="J535" i="175"/>
  <c r="G535" i="175"/>
  <c r="F535" i="175"/>
  <c r="H535" i="175"/>
  <c r="K535" i="175"/>
  <c r="L535" i="175"/>
  <c r="M535" i="175"/>
  <c r="O535" i="175"/>
  <c r="J534" i="175"/>
  <c r="G534" i="175"/>
  <c r="F534" i="175"/>
  <c r="H534" i="175"/>
  <c r="J532" i="175"/>
  <c r="G532" i="175"/>
  <c r="F532" i="175"/>
  <c r="H532" i="175"/>
  <c r="J531" i="175"/>
  <c r="G531" i="175"/>
  <c r="F531" i="175"/>
  <c r="H531" i="175"/>
  <c r="J530" i="175"/>
  <c r="G530" i="175"/>
  <c r="F530" i="175"/>
  <c r="H530" i="175"/>
  <c r="J529" i="175"/>
  <c r="G529" i="175"/>
  <c r="F529" i="175"/>
  <c r="H529" i="175"/>
  <c r="J528" i="175"/>
  <c r="G528" i="175"/>
  <c r="F528" i="175"/>
  <c r="H528" i="175"/>
  <c r="J527" i="175"/>
  <c r="G527" i="175"/>
  <c r="F527" i="175"/>
  <c r="H527" i="175"/>
  <c r="J526" i="175"/>
  <c r="G526" i="175"/>
  <c r="F526" i="175"/>
  <c r="H526" i="175"/>
  <c r="J525" i="175"/>
  <c r="G525" i="175"/>
  <c r="F525" i="175"/>
  <c r="H525" i="175"/>
  <c r="J524" i="175"/>
  <c r="G524" i="175"/>
  <c r="F524" i="175"/>
  <c r="H524" i="175"/>
  <c r="J523" i="175"/>
  <c r="G523" i="175"/>
  <c r="F523" i="175"/>
  <c r="H523" i="175"/>
  <c r="J522" i="175"/>
  <c r="G522" i="175"/>
  <c r="F522" i="175"/>
  <c r="H522" i="175"/>
  <c r="J521" i="175"/>
  <c r="G521" i="175"/>
  <c r="F521" i="175"/>
  <c r="H521" i="175"/>
  <c r="J520" i="175"/>
  <c r="G520" i="175"/>
  <c r="F520" i="175"/>
  <c r="H520" i="175"/>
  <c r="J519" i="175"/>
  <c r="G519" i="175"/>
  <c r="F519" i="175"/>
  <c r="H519" i="175"/>
  <c r="J518" i="175"/>
  <c r="G518" i="175"/>
  <c r="F518" i="175"/>
  <c r="H518" i="175"/>
  <c r="J517" i="175"/>
  <c r="G517" i="175"/>
  <c r="F517" i="175"/>
  <c r="H517" i="175"/>
  <c r="J516" i="175"/>
  <c r="G516" i="175"/>
  <c r="F516" i="175"/>
  <c r="H516" i="175"/>
  <c r="J515" i="175"/>
  <c r="G515" i="175"/>
  <c r="F515" i="175"/>
  <c r="H515" i="175"/>
  <c r="J514" i="175"/>
  <c r="G514" i="175"/>
  <c r="F514" i="175"/>
  <c r="H514" i="175"/>
  <c r="J513" i="175"/>
  <c r="G513" i="175"/>
  <c r="F513" i="175"/>
  <c r="H513" i="175"/>
  <c r="J506" i="175"/>
  <c r="G506" i="175"/>
  <c r="F506" i="175"/>
  <c r="H506" i="175"/>
  <c r="J505" i="175"/>
  <c r="G505" i="175"/>
  <c r="F505" i="175"/>
  <c r="H505" i="175"/>
  <c r="T504" i="175"/>
  <c r="C171" i="176"/>
  <c r="J504" i="175"/>
  <c r="G504" i="175"/>
  <c r="F504" i="175"/>
  <c r="H504" i="175"/>
  <c r="J502" i="175"/>
  <c r="G502" i="175"/>
  <c r="F502" i="175"/>
  <c r="H502" i="175"/>
  <c r="J501" i="175"/>
  <c r="G501" i="175"/>
  <c r="F501" i="175"/>
  <c r="H501" i="175"/>
  <c r="J499" i="175"/>
  <c r="G499" i="175"/>
  <c r="F499" i="175"/>
  <c r="H499" i="175"/>
  <c r="J498" i="175"/>
  <c r="G498" i="175"/>
  <c r="F498" i="175"/>
  <c r="H498" i="175"/>
  <c r="J497" i="175"/>
  <c r="G497" i="175"/>
  <c r="F497" i="175"/>
  <c r="H497" i="175"/>
  <c r="J495" i="175"/>
  <c r="G495" i="175"/>
  <c r="F495" i="175"/>
  <c r="H495" i="175"/>
  <c r="J494" i="175"/>
  <c r="G494" i="175"/>
  <c r="F494" i="175"/>
  <c r="H494" i="175"/>
  <c r="J493" i="175"/>
  <c r="G493" i="175"/>
  <c r="F493" i="175"/>
  <c r="H493" i="175"/>
  <c r="J491" i="175"/>
  <c r="G491" i="175"/>
  <c r="F491" i="175"/>
  <c r="H491" i="175"/>
  <c r="J490" i="175"/>
  <c r="G490" i="175"/>
  <c r="F490" i="175"/>
  <c r="H490" i="175"/>
  <c r="J489" i="175"/>
  <c r="G489" i="175"/>
  <c r="F489" i="175"/>
  <c r="H489" i="175"/>
  <c r="J486" i="175"/>
  <c r="G486" i="175"/>
  <c r="F486" i="175"/>
  <c r="H486" i="175"/>
  <c r="J484" i="175"/>
  <c r="G484" i="175"/>
  <c r="F484" i="175"/>
  <c r="H484" i="175"/>
  <c r="J483" i="175"/>
  <c r="G483" i="175"/>
  <c r="F483" i="175"/>
  <c r="H483" i="175"/>
  <c r="J481" i="175"/>
  <c r="G481" i="175"/>
  <c r="F481" i="175"/>
  <c r="H481" i="175"/>
  <c r="J480" i="175"/>
  <c r="G480" i="175"/>
  <c r="F480" i="175"/>
  <c r="H480" i="175"/>
  <c r="J479" i="175"/>
  <c r="G479" i="175"/>
  <c r="F479" i="175"/>
  <c r="H479" i="175"/>
  <c r="J477" i="175"/>
  <c r="G477" i="175"/>
  <c r="F477" i="175"/>
  <c r="H477" i="175"/>
  <c r="J476" i="175"/>
  <c r="G476" i="175"/>
  <c r="F476" i="175"/>
  <c r="H476" i="175"/>
  <c r="J475" i="175"/>
  <c r="G475" i="175"/>
  <c r="F475" i="175"/>
  <c r="H475" i="175"/>
  <c r="J473" i="175"/>
  <c r="G473" i="175"/>
  <c r="F473" i="175"/>
  <c r="H473" i="175"/>
  <c r="K473" i="175"/>
  <c r="L473" i="175"/>
  <c r="M473" i="175"/>
  <c r="O473" i="175"/>
  <c r="J472" i="175"/>
  <c r="G472" i="175"/>
  <c r="F472" i="175"/>
  <c r="H472" i="175"/>
  <c r="K472" i="175"/>
  <c r="L472" i="175"/>
  <c r="M472" i="175"/>
  <c r="O472" i="175"/>
  <c r="J471" i="175"/>
  <c r="G471" i="175"/>
  <c r="F471" i="175"/>
  <c r="H471" i="175"/>
  <c r="J469" i="175"/>
  <c r="G469" i="175"/>
  <c r="F469" i="175"/>
  <c r="H469" i="175"/>
  <c r="J468" i="175"/>
  <c r="G468" i="175"/>
  <c r="F468" i="175"/>
  <c r="H468" i="175"/>
  <c r="J467" i="175"/>
  <c r="G467" i="175"/>
  <c r="F467" i="175"/>
  <c r="H467" i="175"/>
  <c r="J466" i="175"/>
  <c r="G466" i="175"/>
  <c r="F466" i="175"/>
  <c r="H466" i="175"/>
  <c r="J465" i="175"/>
  <c r="G465" i="175"/>
  <c r="F465" i="175"/>
  <c r="H465" i="175"/>
  <c r="J464" i="175"/>
  <c r="G464" i="175"/>
  <c r="F464" i="175"/>
  <c r="H464" i="175"/>
  <c r="J463" i="175"/>
  <c r="G463" i="175"/>
  <c r="F463" i="175"/>
  <c r="H463" i="175"/>
  <c r="J462" i="175"/>
  <c r="G462" i="175"/>
  <c r="F462" i="175"/>
  <c r="H462" i="175"/>
  <c r="J461" i="175"/>
  <c r="G461" i="175"/>
  <c r="F461" i="175"/>
  <c r="H461" i="175"/>
  <c r="J460" i="175"/>
  <c r="G460" i="175"/>
  <c r="F460" i="175"/>
  <c r="H460" i="175"/>
  <c r="J459" i="175"/>
  <c r="G459" i="175"/>
  <c r="F459" i="175"/>
  <c r="H459" i="175"/>
  <c r="J458" i="175"/>
  <c r="G458" i="175"/>
  <c r="F458" i="175"/>
  <c r="H458" i="175"/>
  <c r="J457" i="175"/>
  <c r="G457" i="175"/>
  <c r="F457" i="175"/>
  <c r="H457" i="175"/>
  <c r="J456" i="175"/>
  <c r="G456" i="175"/>
  <c r="F456" i="175"/>
  <c r="H456" i="175"/>
  <c r="J455" i="175"/>
  <c r="G455" i="175"/>
  <c r="F455" i="175"/>
  <c r="H455" i="175"/>
  <c r="J454" i="175"/>
  <c r="G454" i="175"/>
  <c r="F454" i="175"/>
  <c r="H454" i="175"/>
  <c r="J453" i="175"/>
  <c r="G453" i="175"/>
  <c r="F453" i="175"/>
  <c r="H453" i="175"/>
  <c r="J452" i="175"/>
  <c r="G452" i="175"/>
  <c r="F452" i="175"/>
  <c r="H452" i="175"/>
  <c r="J451" i="175"/>
  <c r="G451" i="175"/>
  <c r="F451" i="175"/>
  <c r="H451" i="175"/>
  <c r="J450" i="175"/>
  <c r="G450" i="175"/>
  <c r="F450" i="175"/>
  <c r="H450" i="175"/>
  <c r="J443" i="175"/>
  <c r="G443" i="175"/>
  <c r="F443" i="175"/>
  <c r="H443" i="175"/>
  <c r="J442" i="175"/>
  <c r="G442" i="175"/>
  <c r="F442" i="175"/>
  <c r="H442" i="175"/>
  <c r="T441" i="175"/>
  <c r="C162" i="176"/>
  <c r="J441" i="175"/>
  <c r="G441" i="175"/>
  <c r="F441" i="175"/>
  <c r="H441" i="175"/>
  <c r="J439" i="175"/>
  <c r="G439" i="175"/>
  <c r="F439" i="175"/>
  <c r="H439" i="175"/>
  <c r="J438" i="175"/>
  <c r="G438" i="175"/>
  <c r="F438" i="175"/>
  <c r="H438" i="175"/>
  <c r="J436" i="175"/>
  <c r="G436" i="175"/>
  <c r="F436" i="175"/>
  <c r="H436" i="175"/>
  <c r="J435" i="175"/>
  <c r="G435" i="175"/>
  <c r="F435" i="175"/>
  <c r="H435" i="175"/>
  <c r="J434" i="175"/>
  <c r="G434" i="175"/>
  <c r="F434" i="175"/>
  <c r="H434" i="175"/>
  <c r="J432" i="175"/>
  <c r="G432" i="175"/>
  <c r="F432" i="175"/>
  <c r="H432" i="175"/>
  <c r="J431" i="175"/>
  <c r="G431" i="175"/>
  <c r="F431" i="175"/>
  <c r="H431" i="175"/>
  <c r="J430" i="175"/>
  <c r="G430" i="175"/>
  <c r="F430" i="175"/>
  <c r="H430" i="175"/>
  <c r="J428" i="175"/>
  <c r="G428" i="175"/>
  <c r="F428" i="175"/>
  <c r="H428" i="175"/>
  <c r="J427" i="175"/>
  <c r="G427" i="175"/>
  <c r="F427" i="175"/>
  <c r="H427" i="175"/>
  <c r="J426" i="175"/>
  <c r="G426" i="175"/>
  <c r="F426" i="175"/>
  <c r="H426" i="175"/>
  <c r="J423" i="175"/>
  <c r="G423" i="175"/>
  <c r="F423" i="175"/>
  <c r="H423" i="175"/>
  <c r="K423" i="175"/>
  <c r="L423" i="175"/>
  <c r="M423" i="175"/>
  <c r="O423" i="175"/>
  <c r="J421" i="175"/>
  <c r="G421" i="175"/>
  <c r="F421" i="175"/>
  <c r="H421" i="175"/>
  <c r="J420" i="175"/>
  <c r="G420" i="175"/>
  <c r="F420" i="175"/>
  <c r="H420" i="175"/>
  <c r="J418" i="175"/>
  <c r="G418" i="175"/>
  <c r="F418" i="175"/>
  <c r="H418" i="175"/>
  <c r="J417" i="175"/>
  <c r="G417" i="175"/>
  <c r="F417" i="175"/>
  <c r="H417" i="175"/>
  <c r="J416" i="175"/>
  <c r="G416" i="175"/>
  <c r="F416" i="175"/>
  <c r="H416" i="175"/>
  <c r="J414" i="175"/>
  <c r="G414" i="175"/>
  <c r="F414" i="175"/>
  <c r="H414" i="175"/>
  <c r="J413" i="175"/>
  <c r="G413" i="175"/>
  <c r="F413" i="175"/>
  <c r="H413" i="175"/>
  <c r="J412" i="175"/>
  <c r="G412" i="175"/>
  <c r="F412" i="175"/>
  <c r="H412" i="175"/>
  <c r="J410" i="175"/>
  <c r="G410" i="175"/>
  <c r="F410" i="175"/>
  <c r="H410" i="175"/>
  <c r="J409" i="175"/>
  <c r="G409" i="175"/>
  <c r="F409" i="175"/>
  <c r="H409" i="175"/>
  <c r="J408" i="175"/>
  <c r="G408" i="175"/>
  <c r="F408" i="175"/>
  <c r="H408" i="175"/>
  <c r="J406" i="175"/>
  <c r="G406" i="175"/>
  <c r="F406" i="175"/>
  <c r="H406" i="175"/>
  <c r="J405" i="175"/>
  <c r="G405" i="175"/>
  <c r="F405" i="175"/>
  <c r="H405" i="175"/>
  <c r="J404" i="175"/>
  <c r="G404" i="175"/>
  <c r="F404" i="175"/>
  <c r="H404" i="175"/>
  <c r="J403" i="175"/>
  <c r="G403" i="175"/>
  <c r="F403" i="175"/>
  <c r="H403" i="175"/>
  <c r="J402" i="175"/>
  <c r="G402" i="175"/>
  <c r="F402" i="175"/>
  <c r="H402" i="175"/>
  <c r="J401" i="175"/>
  <c r="G401" i="175"/>
  <c r="F401" i="175"/>
  <c r="H401" i="175"/>
  <c r="J400" i="175"/>
  <c r="G400" i="175"/>
  <c r="F400" i="175"/>
  <c r="H400" i="175"/>
  <c r="K400" i="175"/>
  <c r="L400" i="175"/>
  <c r="M400" i="175"/>
  <c r="O400" i="175"/>
  <c r="J399" i="175"/>
  <c r="G399" i="175"/>
  <c r="F399" i="175"/>
  <c r="H399" i="175"/>
  <c r="J398" i="175"/>
  <c r="G398" i="175"/>
  <c r="F398" i="175"/>
  <c r="H398" i="175"/>
  <c r="J397" i="175"/>
  <c r="G397" i="175"/>
  <c r="F397" i="175"/>
  <c r="H397" i="175"/>
  <c r="J396" i="175"/>
  <c r="G396" i="175"/>
  <c r="F396" i="175"/>
  <c r="H396" i="175"/>
  <c r="J395" i="175"/>
  <c r="G395" i="175"/>
  <c r="F395" i="175"/>
  <c r="H395" i="175"/>
  <c r="J394" i="175"/>
  <c r="G394" i="175"/>
  <c r="F394" i="175"/>
  <c r="H394" i="175"/>
  <c r="J393" i="175"/>
  <c r="G393" i="175"/>
  <c r="F393" i="175"/>
  <c r="H393" i="175"/>
  <c r="J392" i="175"/>
  <c r="G392" i="175"/>
  <c r="F392" i="175"/>
  <c r="H392" i="175"/>
  <c r="J391" i="175"/>
  <c r="G391" i="175"/>
  <c r="F391" i="175"/>
  <c r="H391" i="175"/>
  <c r="J390" i="175"/>
  <c r="G390" i="175"/>
  <c r="F390" i="175"/>
  <c r="H390" i="175"/>
  <c r="J389" i="175"/>
  <c r="G389" i="175"/>
  <c r="F389" i="175"/>
  <c r="H389" i="175"/>
  <c r="J388" i="175"/>
  <c r="G388" i="175"/>
  <c r="F388" i="175"/>
  <c r="H388" i="175"/>
  <c r="J387" i="175"/>
  <c r="G387" i="175"/>
  <c r="F387" i="175"/>
  <c r="H387" i="175"/>
  <c r="J380" i="175"/>
  <c r="G380" i="175"/>
  <c r="F380" i="175"/>
  <c r="H380" i="175"/>
  <c r="J379" i="175"/>
  <c r="G379" i="175"/>
  <c r="F379" i="175"/>
  <c r="H379" i="175"/>
  <c r="T378" i="175"/>
  <c r="C153" i="176"/>
  <c r="F153" i="176"/>
  <c r="H153" i="176"/>
  <c r="J378" i="175"/>
  <c r="G378" i="175"/>
  <c r="F378" i="175"/>
  <c r="H378" i="175"/>
  <c r="J376" i="175"/>
  <c r="G376" i="175"/>
  <c r="F376" i="175"/>
  <c r="H376" i="175"/>
  <c r="J375" i="175"/>
  <c r="G375" i="175"/>
  <c r="F375" i="175"/>
  <c r="H375" i="175"/>
  <c r="K375" i="175"/>
  <c r="L375" i="175"/>
  <c r="M375" i="175"/>
  <c r="O375" i="175"/>
  <c r="J373" i="175"/>
  <c r="G373" i="175"/>
  <c r="F373" i="175"/>
  <c r="H373" i="175"/>
  <c r="J372" i="175"/>
  <c r="G372" i="175"/>
  <c r="F372" i="175"/>
  <c r="H372" i="175"/>
  <c r="J371" i="175"/>
  <c r="G371" i="175"/>
  <c r="F371" i="175"/>
  <c r="H371" i="175"/>
  <c r="J369" i="175"/>
  <c r="G369" i="175"/>
  <c r="F369" i="175"/>
  <c r="H369" i="175"/>
  <c r="J368" i="175"/>
  <c r="G368" i="175"/>
  <c r="F368" i="175"/>
  <c r="H368" i="175"/>
  <c r="J367" i="175"/>
  <c r="G367" i="175"/>
  <c r="F367" i="175"/>
  <c r="H367" i="175"/>
  <c r="J365" i="175"/>
  <c r="G365" i="175"/>
  <c r="F365" i="175"/>
  <c r="H365" i="175"/>
  <c r="J364" i="175"/>
  <c r="G364" i="175"/>
  <c r="F364" i="175"/>
  <c r="H364" i="175"/>
  <c r="J363" i="175"/>
  <c r="G363" i="175"/>
  <c r="F363" i="175"/>
  <c r="H363" i="175"/>
  <c r="J360" i="175"/>
  <c r="G360" i="175"/>
  <c r="F360" i="175"/>
  <c r="H360" i="175"/>
  <c r="J358" i="175"/>
  <c r="G358" i="175"/>
  <c r="F358" i="175"/>
  <c r="H358" i="175"/>
  <c r="J357" i="175"/>
  <c r="G357" i="175"/>
  <c r="F357" i="175"/>
  <c r="H357" i="175"/>
  <c r="J355" i="175"/>
  <c r="G355" i="175"/>
  <c r="F355" i="175"/>
  <c r="H355" i="175"/>
  <c r="J354" i="175"/>
  <c r="G354" i="175"/>
  <c r="F354" i="175"/>
  <c r="H354" i="175"/>
  <c r="J353" i="175"/>
  <c r="G353" i="175"/>
  <c r="F353" i="175"/>
  <c r="H353" i="175"/>
  <c r="J351" i="175"/>
  <c r="G351" i="175"/>
  <c r="F351" i="175"/>
  <c r="H351" i="175"/>
  <c r="J350" i="175"/>
  <c r="G350" i="175"/>
  <c r="F350" i="175"/>
  <c r="H350" i="175"/>
  <c r="J349" i="175"/>
  <c r="G349" i="175"/>
  <c r="F349" i="175"/>
  <c r="H349" i="175"/>
  <c r="J347" i="175"/>
  <c r="G347" i="175"/>
  <c r="F347" i="175"/>
  <c r="H347" i="175"/>
  <c r="J346" i="175"/>
  <c r="G346" i="175"/>
  <c r="F346" i="175"/>
  <c r="H346" i="175"/>
  <c r="J345" i="175"/>
  <c r="G345" i="175"/>
  <c r="F345" i="175"/>
  <c r="H345" i="175"/>
  <c r="J343" i="175"/>
  <c r="G343" i="175"/>
  <c r="F343" i="175"/>
  <c r="H343" i="175"/>
  <c r="J342" i="175"/>
  <c r="G342" i="175"/>
  <c r="F342" i="175"/>
  <c r="H342" i="175"/>
  <c r="J341" i="175"/>
  <c r="G341" i="175"/>
  <c r="F341" i="175"/>
  <c r="H341" i="175"/>
  <c r="J340" i="175"/>
  <c r="G340" i="175"/>
  <c r="F340" i="175"/>
  <c r="H340" i="175"/>
  <c r="J339" i="175"/>
  <c r="G339" i="175"/>
  <c r="F339" i="175"/>
  <c r="H339" i="175"/>
  <c r="J338" i="175"/>
  <c r="G338" i="175"/>
  <c r="F338" i="175"/>
  <c r="H338" i="175"/>
  <c r="J337" i="175"/>
  <c r="G337" i="175"/>
  <c r="F337" i="175"/>
  <c r="H337" i="175"/>
  <c r="J336" i="175"/>
  <c r="G336" i="175"/>
  <c r="F336" i="175"/>
  <c r="H336" i="175"/>
  <c r="J335" i="175"/>
  <c r="G335" i="175"/>
  <c r="F335" i="175"/>
  <c r="H335" i="175"/>
  <c r="J334" i="175"/>
  <c r="G334" i="175"/>
  <c r="F334" i="175"/>
  <c r="H334" i="175"/>
  <c r="J333" i="175"/>
  <c r="G333" i="175"/>
  <c r="F333" i="175"/>
  <c r="H333" i="175"/>
  <c r="J332" i="175"/>
  <c r="G332" i="175"/>
  <c r="F332" i="175"/>
  <c r="H332" i="175"/>
  <c r="J331" i="175"/>
  <c r="G331" i="175"/>
  <c r="F331" i="175"/>
  <c r="H331" i="175"/>
  <c r="J330" i="175"/>
  <c r="G330" i="175"/>
  <c r="F330" i="175"/>
  <c r="H330" i="175"/>
  <c r="J329" i="175"/>
  <c r="G329" i="175"/>
  <c r="F329" i="175"/>
  <c r="H329" i="175"/>
  <c r="J328" i="175"/>
  <c r="G328" i="175"/>
  <c r="F328" i="175"/>
  <c r="H328" i="175"/>
  <c r="J327" i="175"/>
  <c r="G327" i="175"/>
  <c r="F327" i="175"/>
  <c r="H327" i="175"/>
  <c r="J326" i="175"/>
  <c r="G326" i="175"/>
  <c r="F326" i="175"/>
  <c r="H326" i="175"/>
  <c r="J325" i="175"/>
  <c r="G325" i="175"/>
  <c r="F325" i="175"/>
  <c r="H325" i="175"/>
  <c r="J324" i="175"/>
  <c r="G324" i="175"/>
  <c r="F324" i="175"/>
  <c r="H324" i="175"/>
  <c r="J317" i="175"/>
  <c r="G317" i="175"/>
  <c r="F317" i="175"/>
  <c r="H317" i="175"/>
  <c r="T315" i="175"/>
  <c r="C144" i="176"/>
  <c r="F144" i="176"/>
  <c r="H144" i="176"/>
  <c r="J315" i="175"/>
  <c r="G315" i="175"/>
  <c r="F315" i="175"/>
  <c r="H315" i="175"/>
  <c r="J313" i="175"/>
  <c r="G313" i="175"/>
  <c r="F313" i="175"/>
  <c r="H313" i="175"/>
  <c r="J312" i="175"/>
  <c r="G312" i="175"/>
  <c r="F312" i="175"/>
  <c r="H312" i="175"/>
  <c r="J311" i="175"/>
  <c r="G311" i="175"/>
  <c r="F311" i="175"/>
  <c r="H311" i="175"/>
  <c r="J309" i="175"/>
  <c r="G309" i="175"/>
  <c r="F309" i="175"/>
  <c r="H309" i="175"/>
  <c r="J308" i="175"/>
  <c r="G308" i="175"/>
  <c r="F308" i="175"/>
  <c r="H308" i="175"/>
  <c r="J306" i="175"/>
  <c r="G306" i="175"/>
  <c r="F306" i="175"/>
  <c r="H306" i="175"/>
  <c r="J305" i="175"/>
  <c r="G305" i="175"/>
  <c r="F305" i="175"/>
  <c r="H305" i="175"/>
  <c r="J304" i="175"/>
  <c r="G304" i="175"/>
  <c r="F304" i="175"/>
  <c r="H304" i="175"/>
  <c r="J302" i="175"/>
  <c r="G302" i="175"/>
  <c r="F302" i="175"/>
  <c r="H302" i="175"/>
  <c r="J301" i="175"/>
  <c r="G301" i="175"/>
  <c r="F301" i="175"/>
  <c r="H301" i="175"/>
  <c r="J300" i="175"/>
  <c r="G300" i="175"/>
  <c r="F300" i="175"/>
  <c r="H300" i="175"/>
  <c r="J298" i="175"/>
  <c r="G298" i="175"/>
  <c r="F298" i="175"/>
  <c r="H298" i="175"/>
  <c r="J297" i="175"/>
  <c r="G297" i="175"/>
  <c r="F297" i="175"/>
  <c r="H297" i="175"/>
  <c r="J296" i="175"/>
  <c r="G296" i="175"/>
  <c r="F296" i="175"/>
  <c r="H296" i="175"/>
  <c r="J293" i="175"/>
  <c r="G293" i="175"/>
  <c r="F293" i="175"/>
  <c r="H293" i="175"/>
  <c r="J291" i="175"/>
  <c r="G291" i="175"/>
  <c r="F291" i="175"/>
  <c r="H291" i="175"/>
  <c r="J290" i="175"/>
  <c r="G290" i="175"/>
  <c r="F290" i="175"/>
  <c r="H290" i="175"/>
  <c r="J288" i="175"/>
  <c r="G288" i="175"/>
  <c r="F288" i="175"/>
  <c r="H288" i="175"/>
  <c r="J287" i="175"/>
  <c r="G287" i="175"/>
  <c r="F287" i="175"/>
  <c r="H287" i="175"/>
  <c r="J286" i="175"/>
  <c r="G286" i="175"/>
  <c r="F286" i="175"/>
  <c r="H286" i="175"/>
  <c r="J284" i="175"/>
  <c r="G284" i="175"/>
  <c r="F284" i="175"/>
  <c r="H284" i="175"/>
  <c r="J283" i="175"/>
  <c r="G283" i="175"/>
  <c r="F283" i="175"/>
  <c r="H283" i="175"/>
  <c r="J282" i="175"/>
  <c r="G282" i="175"/>
  <c r="F282" i="175"/>
  <c r="H282" i="175"/>
  <c r="J280" i="175"/>
  <c r="G280" i="175"/>
  <c r="F280" i="175"/>
  <c r="H280" i="175"/>
  <c r="J279" i="175"/>
  <c r="G279" i="175"/>
  <c r="F279" i="175"/>
  <c r="H279" i="175"/>
  <c r="J278" i="175"/>
  <c r="G278" i="175"/>
  <c r="F278" i="175"/>
  <c r="H278" i="175"/>
  <c r="J276" i="175"/>
  <c r="G276" i="175"/>
  <c r="F276" i="175"/>
  <c r="H276" i="175"/>
  <c r="J275" i="175"/>
  <c r="G275" i="175"/>
  <c r="F275" i="175"/>
  <c r="H275" i="175"/>
  <c r="J274" i="175"/>
  <c r="G274" i="175"/>
  <c r="F274" i="175"/>
  <c r="H274" i="175"/>
  <c r="J273" i="175"/>
  <c r="G273" i="175"/>
  <c r="F273" i="175"/>
  <c r="H273" i="175"/>
  <c r="J272" i="175"/>
  <c r="G272" i="175"/>
  <c r="F272" i="175"/>
  <c r="H272" i="175"/>
  <c r="J271" i="175"/>
  <c r="G271" i="175"/>
  <c r="F271" i="175"/>
  <c r="H271" i="175"/>
  <c r="J270" i="175"/>
  <c r="G270" i="175"/>
  <c r="F270" i="175"/>
  <c r="H270" i="175"/>
  <c r="J269" i="175"/>
  <c r="G269" i="175"/>
  <c r="F269" i="175"/>
  <c r="H269" i="175"/>
  <c r="J268" i="175"/>
  <c r="G268" i="175"/>
  <c r="F268" i="175"/>
  <c r="H268" i="175"/>
  <c r="J267" i="175"/>
  <c r="G267" i="175"/>
  <c r="F267" i="175"/>
  <c r="H267" i="175"/>
  <c r="J266" i="175"/>
  <c r="G266" i="175"/>
  <c r="F266" i="175"/>
  <c r="H266" i="175"/>
  <c r="J265" i="175"/>
  <c r="G265" i="175"/>
  <c r="F265" i="175"/>
  <c r="H265" i="175"/>
  <c r="J264" i="175"/>
  <c r="G264" i="175"/>
  <c r="F264" i="175"/>
  <c r="H264" i="175"/>
  <c r="J263" i="175"/>
  <c r="G263" i="175"/>
  <c r="F263" i="175"/>
  <c r="H263" i="175"/>
  <c r="J262" i="175"/>
  <c r="G262" i="175"/>
  <c r="F262" i="175"/>
  <c r="H262" i="175"/>
  <c r="J261" i="175"/>
  <c r="G261" i="175"/>
  <c r="F261" i="175"/>
  <c r="H261" i="175"/>
  <c r="J260" i="175"/>
  <c r="G260" i="175"/>
  <c r="F260" i="175"/>
  <c r="H260" i="175"/>
  <c r="J259" i="175"/>
  <c r="G259" i="175"/>
  <c r="F259" i="175"/>
  <c r="H259" i="175"/>
  <c r="J258" i="175"/>
  <c r="G258" i="175"/>
  <c r="F258" i="175"/>
  <c r="H258" i="175"/>
  <c r="J257" i="175"/>
  <c r="G257" i="175"/>
  <c r="F257" i="175"/>
  <c r="H257" i="175"/>
  <c r="J249" i="175"/>
  <c r="G249" i="175"/>
  <c r="F249" i="175"/>
  <c r="H249" i="175"/>
  <c r="T248" i="175"/>
  <c r="C135" i="176"/>
  <c r="J248" i="175"/>
  <c r="G248" i="175"/>
  <c r="F248" i="175"/>
  <c r="H248" i="175"/>
  <c r="J246" i="175"/>
  <c r="G246" i="175"/>
  <c r="F246" i="175"/>
  <c r="H246" i="175"/>
  <c r="J245" i="175"/>
  <c r="G245" i="175"/>
  <c r="F245" i="175"/>
  <c r="H245" i="175"/>
  <c r="J244" i="175"/>
  <c r="G244" i="175"/>
  <c r="F244" i="175"/>
  <c r="H244" i="175"/>
  <c r="J242" i="175"/>
  <c r="G242" i="175"/>
  <c r="F242" i="175"/>
  <c r="H242" i="175"/>
  <c r="J241" i="175"/>
  <c r="G241" i="175"/>
  <c r="F241" i="175"/>
  <c r="H241" i="175"/>
  <c r="J240" i="175"/>
  <c r="G240" i="175"/>
  <c r="F240" i="175"/>
  <c r="H240" i="175"/>
  <c r="J237" i="175"/>
  <c r="G237" i="175"/>
  <c r="F237" i="175"/>
  <c r="H237" i="175"/>
  <c r="J235" i="175"/>
  <c r="G235" i="175"/>
  <c r="F235" i="175"/>
  <c r="H235" i="175"/>
  <c r="J234" i="175"/>
  <c r="G234" i="175"/>
  <c r="F234" i="175"/>
  <c r="H234" i="175"/>
  <c r="J232" i="175"/>
  <c r="G232" i="175"/>
  <c r="F232" i="175"/>
  <c r="H232" i="175"/>
  <c r="J231" i="175"/>
  <c r="G231" i="175"/>
  <c r="F231" i="175"/>
  <c r="H231" i="175"/>
  <c r="J230" i="175"/>
  <c r="G230" i="175"/>
  <c r="F230" i="175"/>
  <c r="H230" i="175"/>
  <c r="J228" i="175"/>
  <c r="G228" i="175"/>
  <c r="F228" i="175"/>
  <c r="H228" i="175"/>
  <c r="J227" i="175"/>
  <c r="G227" i="175"/>
  <c r="F227" i="175"/>
  <c r="H227" i="175"/>
  <c r="J226" i="175"/>
  <c r="G226" i="175"/>
  <c r="F226" i="175"/>
  <c r="H226" i="175"/>
  <c r="J224" i="175"/>
  <c r="G224" i="175"/>
  <c r="F224" i="175"/>
  <c r="H224" i="175"/>
  <c r="J223" i="175"/>
  <c r="G223" i="175"/>
  <c r="F223" i="175"/>
  <c r="H223" i="175"/>
  <c r="J222" i="175"/>
  <c r="G222" i="175"/>
  <c r="F222" i="175"/>
  <c r="H222" i="175"/>
  <c r="J221" i="175"/>
  <c r="G221" i="175"/>
  <c r="F221" i="175"/>
  <c r="H221" i="175"/>
  <c r="J220" i="175"/>
  <c r="G220" i="175"/>
  <c r="F220" i="175"/>
  <c r="H220" i="175"/>
  <c r="J219" i="175"/>
  <c r="G219" i="175"/>
  <c r="F219" i="175"/>
  <c r="H219" i="175"/>
  <c r="J218" i="175"/>
  <c r="G218" i="175"/>
  <c r="F218" i="175"/>
  <c r="H218" i="175"/>
  <c r="J217" i="175"/>
  <c r="G217" i="175"/>
  <c r="F217" i="175"/>
  <c r="H217" i="175"/>
  <c r="J216" i="175"/>
  <c r="G216" i="175"/>
  <c r="F216" i="175"/>
  <c r="H216" i="175"/>
  <c r="J215" i="175"/>
  <c r="G215" i="175"/>
  <c r="F215" i="175"/>
  <c r="H215" i="175"/>
  <c r="J214" i="175"/>
  <c r="G214" i="175"/>
  <c r="F214" i="175"/>
  <c r="H214" i="175"/>
  <c r="J213" i="175"/>
  <c r="G213" i="175"/>
  <c r="F213" i="175"/>
  <c r="H213" i="175"/>
  <c r="J212" i="175"/>
  <c r="G212" i="175"/>
  <c r="F212" i="175"/>
  <c r="H212" i="175"/>
  <c r="J211" i="175"/>
  <c r="G211" i="175"/>
  <c r="F211" i="175"/>
  <c r="H211" i="175"/>
  <c r="J210" i="175"/>
  <c r="G210" i="175"/>
  <c r="F210" i="175"/>
  <c r="H210" i="175"/>
  <c r="J209" i="175"/>
  <c r="G209" i="175"/>
  <c r="F209" i="175"/>
  <c r="H209" i="175"/>
  <c r="J208" i="175"/>
  <c r="G208" i="175"/>
  <c r="F208" i="175"/>
  <c r="H208" i="175"/>
  <c r="J207" i="175"/>
  <c r="G207" i="175"/>
  <c r="F207" i="175"/>
  <c r="H207" i="175"/>
  <c r="J200" i="175"/>
  <c r="G200" i="175"/>
  <c r="F200" i="175"/>
  <c r="H200" i="175"/>
  <c r="T199" i="175"/>
  <c r="C126" i="176"/>
  <c r="J199" i="175"/>
  <c r="G199" i="175"/>
  <c r="F199" i="175"/>
  <c r="H199" i="175"/>
  <c r="J198" i="175"/>
  <c r="G198" i="175"/>
  <c r="F198" i="175"/>
  <c r="H198" i="175"/>
  <c r="J196" i="175"/>
  <c r="G196" i="175"/>
  <c r="F196" i="175"/>
  <c r="H196" i="175"/>
  <c r="J195" i="175"/>
  <c r="G195" i="175"/>
  <c r="F195" i="175"/>
  <c r="H195" i="175"/>
  <c r="J194" i="175"/>
  <c r="G194" i="175"/>
  <c r="F194" i="175"/>
  <c r="H194" i="175"/>
  <c r="J190" i="175"/>
  <c r="G190" i="175"/>
  <c r="F190" i="175"/>
  <c r="H190" i="175"/>
  <c r="J188" i="175"/>
  <c r="G188" i="175"/>
  <c r="F188" i="175"/>
  <c r="H188" i="175"/>
  <c r="J187" i="175"/>
  <c r="G187" i="175"/>
  <c r="F187" i="175"/>
  <c r="H187" i="175"/>
  <c r="J185" i="175"/>
  <c r="G185" i="175"/>
  <c r="F185" i="175"/>
  <c r="H185" i="175"/>
  <c r="J183" i="175"/>
  <c r="G183" i="175"/>
  <c r="F183" i="175"/>
  <c r="H183" i="175"/>
  <c r="J182" i="175"/>
  <c r="G182" i="175"/>
  <c r="F182" i="175"/>
  <c r="H182" i="175"/>
  <c r="J181" i="175"/>
  <c r="G181" i="175"/>
  <c r="F181" i="175"/>
  <c r="H181" i="175"/>
  <c r="J180" i="175"/>
  <c r="G180" i="175"/>
  <c r="F180" i="175"/>
  <c r="H180" i="175"/>
  <c r="J179" i="175"/>
  <c r="G179" i="175"/>
  <c r="F179" i="175"/>
  <c r="H179" i="175"/>
  <c r="J178" i="175"/>
  <c r="G178" i="175"/>
  <c r="F178" i="175"/>
  <c r="H178" i="175"/>
  <c r="J177" i="175"/>
  <c r="G177" i="175"/>
  <c r="F177" i="175"/>
  <c r="H177" i="175"/>
  <c r="J176" i="175"/>
  <c r="G176" i="175"/>
  <c r="F176" i="175"/>
  <c r="H176" i="175"/>
  <c r="J175" i="175"/>
  <c r="G175" i="175"/>
  <c r="F175" i="175"/>
  <c r="H175" i="175"/>
  <c r="J174" i="175"/>
  <c r="G174" i="175"/>
  <c r="F174" i="175"/>
  <c r="H174" i="175"/>
  <c r="J173" i="175"/>
  <c r="G173" i="175"/>
  <c r="F173" i="175"/>
  <c r="H173" i="175"/>
  <c r="J172" i="175"/>
  <c r="G172" i="175"/>
  <c r="F172" i="175"/>
  <c r="H172" i="175"/>
  <c r="J171" i="175"/>
  <c r="G171" i="175"/>
  <c r="J170" i="175"/>
  <c r="G170" i="175"/>
  <c r="F170" i="175"/>
  <c r="H170" i="175"/>
  <c r="J169" i="175"/>
  <c r="G169" i="175"/>
  <c r="F169" i="175"/>
  <c r="H169" i="175"/>
  <c r="J168" i="175"/>
  <c r="G168" i="175"/>
  <c r="F168" i="175"/>
  <c r="H168" i="175"/>
  <c r="J167" i="175"/>
  <c r="G167" i="175"/>
  <c r="F167" i="175"/>
  <c r="H167" i="175"/>
  <c r="J166" i="175"/>
  <c r="G166" i="175"/>
  <c r="F166" i="175"/>
  <c r="H166" i="175"/>
  <c r="J165" i="175"/>
  <c r="G165" i="175"/>
  <c r="F165" i="175"/>
  <c r="H165" i="175"/>
  <c r="T158" i="175"/>
  <c r="C117" i="176"/>
  <c r="F117" i="176"/>
  <c r="J158" i="175"/>
  <c r="G158" i="175"/>
  <c r="F158" i="175"/>
  <c r="H158" i="175"/>
  <c r="J157" i="175"/>
  <c r="G157" i="175"/>
  <c r="F157" i="175"/>
  <c r="H157" i="175"/>
  <c r="J156" i="175"/>
  <c r="G156" i="175"/>
  <c r="F156" i="175"/>
  <c r="H156" i="175"/>
  <c r="J155" i="175"/>
  <c r="G155" i="175"/>
  <c r="F155" i="175"/>
  <c r="H155" i="175"/>
  <c r="J154" i="175"/>
  <c r="G154" i="175"/>
  <c r="J153" i="175"/>
  <c r="G153" i="175"/>
  <c r="F153" i="175"/>
  <c r="H153" i="175"/>
  <c r="J152" i="175"/>
  <c r="G152" i="175"/>
  <c r="F152" i="175"/>
  <c r="H152" i="175"/>
  <c r="J151" i="175"/>
  <c r="G151" i="175"/>
  <c r="F151" i="175"/>
  <c r="H151" i="175"/>
  <c r="J150" i="175"/>
  <c r="G150" i="175"/>
  <c r="F150" i="175"/>
  <c r="H150" i="175"/>
  <c r="J149" i="175"/>
  <c r="G149" i="175"/>
  <c r="F149" i="175"/>
  <c r="H149" i="175"/>
  <c r="J148" i="175"/>
  <c r="G148" i="175"/>
  <c r="F148" i="175"/>
  <c r="H148" i="175"/>
  <c r="J147" i="175"/>
  <c r="G147" i="175"/>
  <c r="F147" i="175"/>
  <c r="H147" i="175"/>
  <c r="J140" i="175"/>
  <c r="G140" i="175"/>
  <c r="F140" i="175"/>
  <c r="H140" i="175"/>
  <c r="J133" i="175"/>
  <c r="G133" i="175"/>
  <c r="F133" i="175"/>
  <c r="H133" i="175"/>
  <c r="J130" i="175"/>
  <c r="G130" i="175"/>
  <c r="F130" i="175"/>
  <c r="H130" i="175"/>
  <c r="T128" i="175"/>
  <c r="J128" i="175"/>
  <c r="G128" i="175"/>
  <c r="F128" i="175"/>
  <c r="H128" i="175"/>
  <c r="J126" i="175"/>
  <c r="G126" i="175"/>
  <c r="F126" i="175"/>
  <c r="H126" i="175"/>
  <c r="J125" i="175"/>
  <c r="G125" i="175"/>
  <c r="F125" i="175"/>
  <c r="H125" i="175"/>
  <c r="J119" i="175"/>
  <c r="G119" i="175"/>
  <c r="F119" i="175"/>
  <c r="H119" i="175"/>
  <c r="T116" i="175"/>
  <c r="J116" i="175"/>
  <c r="G116" i="175"/>
  <c r="F116" i="175"/>
  <c r="H116" i="175"/>
  <c r="J114" i="175"/>
  <c r="G114" i="175"/>
  <c r="F114" i="175"/>
  <c r="H114" i="175"/>
  <c r="J113" i="175"/>
  <c r="G113" i="175"/>
  <c r="F113" i="175"/>
  <c r="H113" i="175"/>
  <c r="J106" i="175"/>
  <c r="G106" i="175"/>
  <c r="F106" i="175"/>
  <c r="H106" i="175"/>
  <c r="K106" i="175"/>
  <c r="L106" i="175"/>
  <c r="M106" i="175"/>
  <c r="O106" i="175"/>
  <c r="T103" i="175"/>
  <c r="J103" i="175"/>
  <c r="G103" i="175"/>
  <c r="F103" i="175"/>
  <c r="H103" i="175"/>
  <c r="J101" i="175"/>
  <c r="G101" i="175"/>
  <c r="F101" i="175"/>
  <c r="H101" i="175"/>
  <c r="J100" i="175"/>
  <c r="G100" i="175"/>
  <c r="F100" i="175"/>
  <c r="H100" i="175"/>
  <c r="J93" i="175"/>
  <c r="G93" i="175"/>
  <c r="F93" i="175"/>
  <c r="H93" i="175"/>
  <c r="T90" i="175"/>
  <c r="J90" i="175"/>
  <c r="G90" i="175"/>
  <c r="F90" i="175"/>
  <c r="H90" i="175"/>
  <c r="J88" i="175"/>
  <c r="G88" i="175"/>
  <c r="F88" i="175"/>
  <c r="H88" i="175"/>
  <c r="J87" i="175"/>
  <c r="G87" i="175"/>
  <c r="F87" i="175"/>
  <c r="H87" i="175"/>
  <c r="J80" i="175"/>
  <c r="G80" i="175"/>
  <c r="F80" i="175"/>
  <c r="H80" i="175"/>
  <c r="T77" i="175"/>
  <c r="J77" i="175"/>
  <c r="G77" i="175"/>
  <c r="F77" i="175"/>
  <c r="H77" i="175"/>
  <c r="J75" i="175"/>
  <c r="G75" i="175"/>
  <c r="F75" i="175"/>
  <c r="H75" i="175"/>
  <c r="J74" i="175"/>
  <c r="G74" i="175"/>
  <c r="F74" i="175"/>
  <c r="H74" i="175"/>
  <c r="T67" i="175"/>
  <c r="J67" i="175"/>
  <c r="G67" i="175"/>
  <c r="F67" i="175"/>
  <c r="H67" i="175"/>
  <c r="T62" i="175"/>
  <c r="J62" i="175"/>
  <c r="G62" i="175"/>
  <c r="F62" i="175"/>
  <c r="H62" i="175"/>
  <c r="J61" i="175"/>
  <c r="G61" i="175"/>
  <c r="F61" i="175"/>
  <c r="H61" i="175"/>
  <c r="J59" i="175"/>
  <c r="G59" i="175"/>
  <c r="F59" i="175"/>
  <c r="H59" i="175"/>
  <c r="J57" i="175"/>
  <c r="G57" i="175"/>
  <c r="F57" i="175"/>
  <c r="H57" i="175"/>
  <c r="J56" i="175"/>
  <c r="G56" i="175"/>
  <c r="F56" i="175"/>
  <c r="H56" i="175"/>
  <c r="J55" i="175"/>
  <c r="G55" i="175"/>
  <c r="F55" i="175"/>
  <c r="H55" i="175"/>
  <c r="T48" i="175"/>
  <c r="J48" i="175"/>
  <c r="G48" i="175"/>
  <c r="F48" i="175"/>
  <c r="H48" i="175"/>
  <c r="J46" i="175"/>
  <c r="G46" i="175"/>
  <c r="F46" i="175"/>
  <c r="H46" i="175"/>
  <c r="J44" i="175"/>
  <c r="G44" i="175"/>
  <c r="F44" i="175"/>
  <c r="H44" i="175"/>
  <c r="J42" i="175"/>
  <c r="G42" i="175"/>
  <c r="F42" i="175"/>
  <c r="H42" i="175"/>
  <c r="T39" i="175"/>
  <c r="J39" i="175"/>
  <c r="G39" i="175"/>
  <c r="F39" i="175"/>
  <c r="H39" i="175"/>
  <c r="J37" i="175"/>
  <c r="G37" i="175"/>
  <c r="F37" i="175"/>
  <c r="H37" i="175"/>
  <c r="J36" i="175"/>
  <c r="G36" i="175"/>
  <c r="F36" i="175"/>
  <c r="H36" i="175"/>
  <c r="J34" i="175"/>
  <c r="G34" i="175"/>
  <c r="F34" i="175"/>
  <c r="H34" i="175"/>
  <c r="J33" i="175"/>
  <c r="G33" i="175"/>
  <c r="F33" i="175"/>
  <c r="H33" i="175"/>
  <c r="J31" i="175"/>
  <c r="G31" i="175"/>
  <c r="F31" i="175"/>
  <c r="H31" i="175"/>
  <c r="J30" i="175"/>
  <c r="G30" i="175"/>
  <c r="F30" i="175"/>
  <c r="H30" i="175"/>
  <c r="T23" i="175"/>
  <c r="T20" i="175"/>
  <c r="J20" i="175"/>
  <c r="G20" i="175"/>
  <c r="F20" i="175"/>
  <c r="H20" i="175"/>
  <c r="J18" i="175"/>
  <c r="G18" i="175"/>
  <c r="F18" i="175"/>
  <c r="H18" i="175"/>
  <c r="J17" i="175"/>
  <c r="G17" i="175"/>
  <c r="F17" i="175"/>
  <c r="H17" i="175"/>
  <c r="B3" i="175"/>
  <c r="B2" i="175"/>
  <c r="B1" i="175"/>
  <c r="AP10" i="146"/>
  <c r="AM25" i="146"/>
  <c r="E107" i="169"/>
  <c r="G107" i="169"/>
  <c r="E99" i="169"/>
  <c r="E94" i="169"/>
  <c r="E86" i="169"/>
  <c r="G86" i="169"/>
  <c r="E81" i="169"/>
  <c r="F81" i="169"/>
  <c r="E73" i="169"/>
  <c r="F73" i="169"/>
  <c r="E68" i="169"/>
  <c r="G68" i="169"/>
  <c r="E60" i="169"/>
  <c r="F60" i="169"/>
  <c r="E55" i="169"/>
  <c r="F55" i="169"/>
  <c r="E47" i="169"/>
  <c r="F47" i="169"/>
  <c r="E42" i="169"/>
  <c r="G42" i="169"/>
  <c r="E35" i="169"/>
  <c r="F35" i="169"/>
  <c r="E29" i="169"/>
  <c r="G29" i="169"/>
  <c r="E22" i="169"/>
  <c r="F22" i="169"/>
  <c r="E16" i="169"/>
  <c r="G16" i="169"/>
  <c r="U12" i="169"/>
  <c r="P87" i="146"/>
  <c r="R87" i="146"/>
  <c r="P86" i="146"/>
  <c r="P85" i="146"/>
  <c r="R85" i="146"/>
  <c r="P84" i="146"/>
  <c r="R84" i="146"/>
  <c r="R88" i="146"/>
  <c r="P89" i="146"/>
  <c r="V72" i="146"/>
  <c r="R72" i="146"/>
  <c r="S72" i="146"/>
  <c r="V71" i="146"/>
  <c r="Y71" i="146"/>
  <c r="P71" i="146"/>
  <c r="V69" i="146"/>
  <c r="Q69" i="146"/>
  <c r="V68" i="146"/>
  <c r="P68" i="146"/>
  <c r="Q68" i="146"/>
  <c r="V67" i="146"/>
  <c r="P67" i="146"/>
  <c r="Q67" i="146"/>
  <c r="V66" i="146"/>
  <c r="T63" i="146"/>
  <c r="R70" i="146"/>
  <c r="S70" i="146"/>
  <c r="S63" i="146"/>
  <c r="AO34" i="146"/>
  <c r="AK34" i="146"/>
  <c r="AK30" i="146"/>
  <c r="AO30" i="146"/>
  <c r="AQ29" i="146"/>
  <c r="AK29" i="146"/>
  <c r="AN29" i="146"/>
  <c r="AQ24" i="146"/>
  <c r="AN24" i="146"/>
  <c r="AP14" i="146"/>
  <c r="AM28" i="146"/>
  <c r="AP12" i="146"/>
  <c r="AM27" i="146"/>
  <c r="AP11" i="146"/>
  <c r="AM26" i="146"/>
  <c r="R77" i="150"/>
  <c r="S126" i="150"/>
  <c r="R117" i="150"/>
  <c r="S108" i="150"/>
  <c r="S109" i="150"/>
  <c r="R110" i="150"/>
  <c r="R94" i="150"/>
  <c r="S84" i="150"/>
  <c r="S85" i="150"/>
  <c r="U77" i="150"/>
  <c r="U78" i="150"/>
  <c r="W75" i="150"/>
  <c r="V75" i="150"/>
  <c r="R13" i="150"/>
  <c r="U13" i="150"/>
  <c r="U14" i="150"/>
  <c r="S61" i="150"/>
  <c r="R52" i="150"/>
  <c r="S43" i="150"/>
  <c r="S44" i="150"/>
  <c r="U39" i="150"/>
  <c r="V39" i="150"/>
  <c r="R38" i="150"/>
  <c r="R29" i="150"/>
  <c r="S19" i="150"/>
  <c r="S20" i="150"/>
  <c r="W11" i="150"/>
  <c r="V11" i="150"/>
  <c r="U75" i="150"/>
  <c r="S86" i="150"/>
  <c r="R87" i="150"/>
  <c r="W119" i="150"/>
  <c r="Y119" i="150"/>
  <c r="Z119" i="150"/>
  <c r="R112" i="150"/>
  <c r="V125" i="150"/>
  <c r="R45" i="150"/>
  <c r="U11" i="150"/>
  <c r="S21" i="150"/>
  <c r="R22" i="150"/>
  <c r="R47" i="150"/>
  <c r="V56" i="150"/>
  <c r="X56" i="150"/>
  <c r="Y56" i="150"/>
  <c r="R113" i="150"/>
  <c r="R114" i="150"/>
  <c r="R118" i="150"/>
  <c r="V124" i="150"/>
  <c r="V126" i="150"/>
  <c r="R48" i="150"/>
  <c r="R49" i="150"/>
  <c r="R53" i="150"/>
  <c r="K152" i="169"/>
  <c r="L152" i="169"/>
  <c r="D152" i="169"/>
  <c r="E152" i="169"/>
  <c r="L148" i="169"/>
  <c r="E148" i="169"/>
  <c r="K146" i="169"/>
  <c r="L146" i="169"/>
  <c r="D146" i="169"/>
  <c r="E146" i="169"/>
  <c r="X115" i="169"/>
  <c r="X112" i="169"/>
  <c r="W110" i="169"/>
  <c r="J108" i="169"/>
  <c r="G108" i="169"/>
  <c r="F108" i="169"/>
  <c r="H108" i="169"/>
  <c r="J107" i="169"/>
  <c r="J102" i="169"/>
  <c r="F102" i="169"/>
  <c r="H102" i="169"/>
  <c r="J101" i="169"/>
  <c r="F101" i="169"/>
  <c r="J100" i="169"/>
  <c r="F100" i="169"/>
  <c r="J99" i="169"/>
  <c r="J97" i="169"/>
  <c r="F97" i="169"/>
  <c r="J96" i="169"/>
  <c r="F96" i="169"/>
  <c r="H96" i="169"/>
  <c r="J95" i="169"/>
  <c r="F95" i="169"/>
  <c r="H95" i="169"/>
  <c r="K95" i="169"/>
  <c r="L95" i="169"/>
  <c r="M95" i="169"/>
  <c r="O95" i="169"/>
  <c r="J94" i="169"/>
  <c r="J89" i="169"/>
  <c r="F89" i="169"/>
  <c r="H89" i="169"/>
  <c r="K89" i="169"/>
  <c r="L89" i="169"/>
  <c r="M89" i="169"/>
  <c r="O89" i="169"/>
  <c r="J88" i="169"/>
  <c r="F88" i="169"/>
  <c r="H88" i="169"/>
  <c r="K88" i="169"/>
  <c r="L88" i="169"/>
  <c r="M88" i="169"/>
  <c r="O88" i="169"/>
  <c r="J87" i="169"/>
  <c r="F87" i="169"/>
  <c r="H87" i="169"/>
  <c r="J86" i="169"/>
  <c r="J84" i="169"/>
  <c r="F84" i="169"/>
  <c r="H84" i="169"/>
  <c r="K84" i="169"/>
  <c r="L84" i="169"/>
  <c r="M84" i="169"/>
  <c r="O84" i="169"/>
  <c r="J83" i="169"/>
  <c r="F83" i="169"/>
  <c r="H83" i="169"/>
  <c r="K83" i="169"/>
  <c r="L83" i="169"/>
  <c r="M83" i="169"/>
  <c r="O83" i="169"/>
  <c r="J82" i="169"/>
  <c r="F82" i="169"/>
  <c r="H82" i="169"/>
  <c r="J81" i="169"/>
  <c r="J76" i="169"/>
  <c r="F76" i="169"/>
  <c r="H76" i="169"/>
  <c r="J75" i="169"/>
  <c r="F75" i="169"/>
  <c r="H75" i="169"/>
  <c r="J74" i="169"/>
  <c r="F74" i="169"/>
  <c r="J73" i="169"/>
  <c r="J71" i="169"/>
  <c r="F71" i="169"/>
  <c r="H71" i="169"/>
  <c r="J70" i="169"/>
  <c r="F70" i="169"/>
  <c r="H70" i="169"/>
  <c r="J69" i="169"/>
  <c r="F69" i="169"/>
  <c r="J68" i="169"/>
  <c r="J63" i="169"/>
  <c r="F63" i="169"/>
  <c r="H63" i="169"/>
  <c r="J62" i="169"/>
  <c r="F62" i="169"/>
  <c r="H62" i="169"/>
  <c r="J61" i="169"/>
  <c r="F61" i="169"/>
  <c r="H61" i="169"/>
  <c r="J60" i="169"/>
  <c r="J58" i="169"/>
  <c r="F58" i="169"/>
  <c r="H58" i="169"/>
  <c r="K58" i="169"/>
  <c r="L58" i="169"/>
  <c r="M58" i="169"/>
  <c r="O58" i="169"/>
  <c r="J57" i="169"/>
  <c r="F57" i="169"/>
  <c r="H57" i="169"/>
  <c r="K57" i="169"/>
  <c r="L57" i="169"/>
  <c r="M57" i="169"/>
  <c r="O57" i="169"/>
  <c r="J56" i="169"/>
  <c r="F56" i="169"/>
  <c r="H56" i="169"/>
  <c r="K56" i="169"/>
  <c r="L56" i="169"/>
  <c r="M56" i="169"/>
  <c r="O56" i="169"/>
  <c r="J55" i="169"/>
  <c r="J50" i="169"/>
  <c r="G50" i="169"/>
  <c r="F50" i="169"/>
  <c r="H50" i="169"/>
  <c r="J49" i="169"/>
  <c r="F49" i="169"/>
  <c r="H49" i="169"/>
  <c r="J48" i="169"/>
  <c r="F48" i="169"/>
  <c r="H48" i="169"/>
  <c r="K48" i="169"/>
  <c r="L48" i="169"/>
  <c r="M48" i="169"/>
  <c r="O48" i="169"/>
  <c r="J47" i="169"/>
  <c r="J45" i="169"/>
  <c r="F45" i="169"/>
  <c r="H45" i="169"/>
  <c r="J44" i="169"/>
  <c r="F44" i="169"/>
  <c r="H44" i="169"/>
  <c r="J43" i="169"/>
  <c r="F43" i="169"/>
  <c r="H43" i="169"/>
  <c r="K43" i="169"/>
  <c r="L43" i="169"/>
  <c r="M43" i="169"/>
  <c r="O43" i="169"/>
  <c r="J42" i="169"/>
  <c r="J38" i="169"/>
  <c r="G38" i="169"/>
  <c r="F38" i="169"/>
  <c r="H38" i="169"/>
  <c r="J37" i="169"/>
  <c r="F37" i="169"/>
  <c r="H37" i="169"/>
  <c r="K37" i="169"/>
  <c r="L37" i="169"/>
  <c r="M37" i="169"/>
  <c r="O37" i="169"/>
  <c r="J36" i="169"/>
  <c r="F36" i="169"/>
  <c r="H36" i="169"/>
  <c r="K36" i="169"/>
  <c r="L36" i="169"/>
  <c r="M36" i="169"/>
  <c r="O36" i="169"/>
  <c r="J35" i="169"/>
  <c r="J32" i="169"/>
  <c r="F32" i="169"/>
  <c r="H32" i="169"/>
  <c r="K32" i="169"/>
  <c r="L32" i="169"/>
  <c r="M32" i="169"/>
  <c r="O32" i="169"/>
  <c r="J31" i="169"/>
  <c r="F31" i="169"/>
  <c r="H31" i="169"/>
  <c r="K31" i="169"/>
  <c r="L31" i="169"/>
  <c r="M31" i="169"/>
  <c r="O31" i="169"/>
  <c r="J30" i="169"/>
  <c r="F30" i="169"/>
  <c r="H30" i="169"/>
  <c r="J29" i="169"/>
  <c r="J25" i="169"/>
  <c r="G25" i="169"/>
  <c r="F25" i="169"/>
  <c r="H25" i="169"/>
  <c r="K25" i="169"/>
  <c r="L25" i="169"/>
  <c r="M25" i="169"/>
  <c r="O25" i="169"/>
  <c r="J24" i="169"/>
  <c r="F24" i="169"/>
  <c r="J23" i="169"/>
  <c r="F23" i="169"/>
  <c r="H23" i="169"/>
  <c r="J22" i="169"/>
  <c r="J19" i="169"/>
  <c r="F19" i="169"/>
  <c r="J18" i="169"/>
  <c r="F18" i="169"/>
  <c r="H18" i="169"/>
  <c r="K18" i="169"/>
  <c r="L18" i="169"/>
  <c r="M18" i="169"/>
  <c r="O18" i="169"/>
  <c r="J17" i="169"/>
  <c r="F17" i="169"/>
  <c r="H17" i="169"/>
  <c r="K17" i="169"/>
  <c r="L17" i="169"/>
  <c r="M17" i="169"/>
  <c r="O17" i="169"/>
  <c r="J16" i="169"/>
  <c r="G30" i="169"/>
  <c r="G43" i="169"/>
  <c r="H97" i="169"/>
  <c r="K97" i="169"/>
  <c r="L97" i="169"/>
  <c r="M97" i="169"/>
  <c r="O97" i="169"/>
  <c r="G82" i="169"/>
  <c r="G69" i="169"/>
  <c r="G56" i="169"/>
  <c r="G83" i="169"/>
  <c r="G17" i="169"/>
  <c r="G70" i="169"/>
  <c r="G57" i="169"/>
  <c r="G97" i="169"/>
  <c r="G18" i="169"/>
  <c r="G31" i="169"/>
  <c r="G44" i="169"/>
  <c r="G71" i="169"/>
  <c r="G84" i="169"/>
  <c r="G96" i="169"/>
  <c r="G58" i="169"/>
  <c r="H19" i="169"/>
  <c r="K19" i="169"/>
  <c r="L19" i="169"/>
  <c r="M19" i="169"/>
  <c r="O19" i="169"/>
  <c r="G32" i="169"/>
  <c r="G45" i="169"/>
  <c r="G100" i="169"/>
  <c r="G87" i="169"/>
  <c r="G61" i="169"/>
  <c r="H74" i="169"/>
  <c r="K74" i="169"/>
  <c r="L74" i="169"/>
  <c r="M74" i="169"/>
  <c r="O74" i="169"/>
  <c r="G101" i="169"/>
  <c r="G48" i="169"/>
  <c r="G95" i="169"/>
  <c r="G74" i="169"/>
  <c r="G23" i="169"/>
  <c r="G36" i="169"/>
  <c r="G88" i="169"/>
  <c r="G62" i="169"/>
  <c r="G75" i="169"/>
  <c r="G102" i="169"/>
  <c r="H100" i="169"/>
  <c r="K100" i="169"/>
  <c r="L100" i="169"/>
  <c r="M100" i="169"/>
  <c r="O100" i="169"/>
  <c r="H101" i="169"/>
  <c r="G37" i="169"/>
  <c r="G24" i="169"/>
  <c r="G19" i="169"/>
  <c r="H24" i="169"/>
  <c r="K24" i="169"/>
  <c r="L24" i="169"/>
  <c r="M24" i="169"/>
  <c r="O24" i="169"/>
  <c r="G49" i="169"/>
  <c r="G89" i="169"/>
  <c r="G63" i="169"/>
  <c r="G76" i="169"/>
  <c r="R120" i="150"/>
  <c r="R121" i="150"/>
  <c r="S122" i="150"/>
  <c r="W126" i="150"/>
  <c r="V127" i="150"/>
  <c r="R89" i="150"/>
  <c r="W100" i="150"/>
  <c r="Y100" i="150"/>
  <c r="Z100" i="150"/>
  <c r="AB123" i="150"/>
  <c r="R55" i="150"/>
  <c r="R56" i="150"/>
  <c r="R24" i="150"/>
  <c r="V35" i="150"/>
  <c r="X35" i="150"/>
  <c r="Y35" i="150"/>
  <c r="Z61" i="150"/>
  <c r="W117" i="150"/>
  <c r="Y117" i="150"/>
  <c r="Z117" i="150"/>
  <c r="R90" i="150"/>
  <c r="R91" i="150"/>
  <c r="R95" i="150"/>
  <c r="R25" i="150"/>
  <c r="R26" i="150"/>
  <c r="R32" i="150"/>
  <c r="S57" i="150"/>
  <c r="V54" i="150"/>
  <c r="X54" i="150"/>
  <c r="Y54" i="150"/>
  <c r="R98" i="150"/>
  <c r="R100" i="150"/>
  <c r="R34" i="150"/>
  <c r="R35" i="150"/>
  <c r="S101" i="150"/>
  <c r="S123" i="150"/>
  <c r="W98" i="150"/>
  <c r="Y98" i="150"/>
  <c r="Z98" i="150"/>
  <c r="AB122" i="150"/>
  <c r="AC122" i="150"/>
  <c r="S36" i="150"/>
  <c r="S58" i="150"/>
  <c r="V33" i="150"/>
  <c r="X33" i="150"/>
  <c r="Y33" i="150"/>
  <c r="Z60" i="150"/>
  <c r="AA60" i="150"/>
  <c r="S125" i="150"/>
  <c r="S124" i="150"/>
  <c r="S127" i="150"/>
  <c r="S59" i="150"/>
  <c r="S62" i="150"/>
  <c r="S60" i="150"/>
  <c r="Z25" i="146"/>
  <c r="AD25" i="146"/>
  <c r="AD34" i="146"/>
  <c r="Z34" i="146"/>
  <c r="AH20" i="146"/>
  <c r="Z14" i="146"/>
  <c r="AB34" i="146"/>
  <c r="AC34" i="146"/>
  <c r="Z30" i="146"/>
  <c r="AC30" i="146"/>
  <c r="AF29" i="146"/>
  <c r="Z29" i="146"/>
  <c r="AC29" i="146"/>
  <c r="Z28" i="146"/>
  <c r="AD28" i="146"/>
  <c r="Z27" i="146"/>
  <c r="AD27" i="146"/>
  <c r="Z26" i="146"/>
  <c r="AD26" i="146"/>
  <c r="AF24" i="146"/>
  <c r="AC24" i="146"/>
  <c r="AE14" i="146"/>
  <c r="AB28" i="146"/>
  <c r="AE12" i="146"/>
  <c r="AB27" i="146"/>
  <c r="AE11" i="146"/>
  <c r="AB26" i="146"/>
  <c r="AE10" i="146"/>
  <c r="AB25" i="146"/>
  <c r="O27" i="146"/>
  <c r="O25" i="146"/>
  <c r="S25" i="146"/>
  <c r="G56" i="160"/>
  <c r="O34" i="146"/>
  <c r="W20" i="146"/>
  <c r="O14" i="146"/>
  <c r="Q34" i="146"/>
  <c r="R34" i="146"/>
  <c r="S34" i="146"/>
  <c r="T11" i="146"/>
  <c r="Q26" i="146"/>
  <c r="T12" i="146"/>
  <c r="Q27" i="146"/>
  <c r="T14" i="146"/>
  <c r="Q28" i="146"/>
  <c r="T10" i="146"/>
  <c r="Q25" i="146"/>
  <c r="O30" i="146"/>
  <c r="S30" i="146"/>
  <c r="R30" i="146"/>
  <c r="U29" i="146"/>
  <c r="O29" i="146"/>
  <c r="R29" i="146"/>
  <c r="O28" i="146"/>
  <c r="S28" i="146"/>
  <c r="O26" i="146"/>
  <c r="U24" i="146"/>
  <c r="R24" i="146"/>
  <c r="J68" i="160"/>
  <c r="F68" i="160"/>
  <c r="H68" i="160"/>
  <c r="J58" i="160"/>
  <c r="G58" i="160"/>
  <c r="F58" i="160"/>
  <c r="H58" i="160"/>
  <c r="K58" i="160"/>
  <c r="L58" i="160"/>
  <c r="M58" i="160"/>
  <c r="O58" i="160"/>
  <c r="J48" i="160"/>
  <c r="F48" i="160"/>
  <c r="H48" i="160"/>
  <c r="J38" i="160"/>
  <c r="F38" i="160"/>
  <c r="H38" i="160"/>
  <c r="K38" i="160"/>
  <c r="L38" i="160"/>
  <c r="M38" i="160"/>
  <c r="O38" i="160"/>
  <c r="J28" i="160"/>
  <c r="F28" i="160"/>
  <c r="H28" i="160"/>
  <c r="J29" i="160"/>
  <c r="F29" i="160"/>
  <c r="K132" i="160"/>
  <c r="L132" i="160"/>
  <c r="D132" i="160"/>
  <c r="E132" i="160"/>
  <c r="L128" i="160"/>
  <c r="E128" i="160"/>
  <c r="K126" i="160"/>
  <c r="L126" i="160"/>
  <c r="L129" i="160"/>
  <c r="L130" i="160"/>
  <c r="L133" i="160"/>
  <c r="D126" i="160"/>
  <c r="E126" i="160"/>
  <c r="T90" i="160"/>
  <c r="J86" i="160"/>
  <c r="F86" i="160"/>
  <c r="H86" i="160"/>
  <c r="K86" i="160"/>
  <c r="L86" i="160"/>
  <c r="M86" i="160"/>
  <c r="O86" i="160"/>
  <c r="J84" i="160"/>
  <c r="F84" i="160"/>
  <c r="H84" i="160"/>
  <c r="K84" i="160"/>
  <c r="L84" i="160"/>
  <c r="M84" i="160"/>
  <c r="O84" i="160"/>
  <c r="J82" i="160"/>
  <c r="F82" i="160"/>
  <c r="H82" i="160"/>
  <c r="K82" i="160"/>
  <c r="L82" i="160"/>
  <c r="M82" i="160"/>
  <c r="J76" i="160"/>
  <c r="F76" i="160"/>
  <c r="H76" i="160"/>
  <c r="K76" i="160"/>
  <c r="L76" i="160"/>
  <c r="M76" i="160"/>
  <c r="O76" i="160"/>
  <c r="J74" i="160"/>
  <c r="G74" i="160"/>
  <c r="F74" i="160"/>
  <c r="H74" i="160"/>
  <c r="K74" i="160"/>
  <c r="L74" i="160"/>
  <c r="M74" i="160"/>
  <c r="O74" i="160"/>
  <c r="J72" i="160"/>
  <c r="F72" i="160"/>
  <c r="H72" i="160"/>
  <c r="K72" i="160"/>
  <c r="L72" i="160"/>
  <c r="M72" i="160"/>
  <c r="O72" i="160"/>
  <c r="J66" i="160"/>
  <c r="F66" i="160"/>
  <c r="H66" i="160"/>
  <c r="K66" i="160"/>
  <c r="L66" i="160"/>
  <c r="M66" i="160"/>
  <c r="O66" i="160"/>
  <c r="J64" i="160"/>
  <c r="G64" i="160"/>
  <c r="F64" i="160"/>
  <c r="H64" i="160"/>
  <c r="K64" i="160"/>
  <c r="L64" i="160"/>
  <c r="M64" i="160"/>
  <c r="O64" i="160"/>
  <c r="J62" i="160"/>
  <c r="F62" i="160"/>
  <c r="H62" i="160"/>
  <c r="K62" i="160"/>
  <c r="L62" i="160"/>
  <c r="M62" i="160"/>
  <c r="O62" i="160"/>
  <c r="J56" i="160"/>
  <c r="F56" i="160"/>
  <c r="H56" i="160"/>
  <c r="K56" i="160"/>
  <c r="L56" i="160"/>
  <c r="M56" i="160"/>
  <c r="O56" i="160"/>
  <c r="J54" i="160"/>
  <c r="F54" i="160"/>
  <c r="H54" i="160"/>
  <c r="K54" i="160"/>
  <c r="L54" i="160"/>
  <c r="M54" i="160"/>
  <c r="O54" i="160"/>
  <c r="J52" i="160"/>
  <c r="F52" i="160"/>
  <c r="H52" i="160"/>
  <c r="K52" i="160"/>
  <c r="L52" i="160"/>
  <c r="M52" i="160"/>
  <c r="O52" i="160"/>
  <c r="J46" i="160"/>
  <c r="F46" i="160"/>
  <c r="J44" i="160"/>
  <c r="F44" i="160"/>
  <c r="H44" i="160"/>
  <c r="J42" i="160"/>
  <c r="G42" i="160"/>
  <c r="F42" i="160"/>
  <c r="H42" i="160"/>
  <c r="J36" i="160"/>
  <c r="F36" i="160"/>
  <c r="H36" i="160"/>
  <c r="K36" i="160"/>
  <c r="L36" i="160"/>
  <c r="M36" i="160"/>
  <c r="O36" i="160"/>
  <c r="J34" i="160"/>
  <c r="G34" i="160"/>
  <c r="F34" i="160"/>
  <c r="H34" i="160"/>
  <c r="K34" i="160"/>
  <c r="L34" i="160"/>
  <c r="M34" i="160"/>
  <c r="O34" i="160"/>
  <c r="J32" i="160"/>
  <c r="F32" i="160"/>
  <c r="H32" i="160"/>
  <c r="Y26" i="160"/>
  <c r="AA26" i="160"/>
  <c r="W26" i="160"/>
  <c r="X26" i="160"/>
  <c r="Z26" i="160"/>
  <c r="I26" i="160"/>
  <c r="J26" i="160"/>
  <c r="F26" i="160"/>
  <c r="H26" i="160"/>
  <c r="K26" i="160"/>
  <c r="L26" i="160"/>
  <c r="M26" i="160"/>
  <c r="O26" i="160"/>
  <c r="Y25" i="160"/>
  <c r="AA25" i="160"/>
  <c r="W25" i="160"/>
  <c r="X25" i="160"/>
  <c r="Z25" i="160"/>
  <c r="I25" i="160"/>
  <c r="J25" i="160"/>
  <c r="F25" i="160"/>
  <c r="H25" i="160"/>
  <c r="Y24" i="160"/>
  <c r="AA24" i="160"/>
  <c r="W24" i="160"/>
  <c r="X24" i="160"/>
  <c r="Z24" i="160"/>
  <c r="I24" i="160"/>
  <c r="J24" i="160"/>
  <c r="G24" i="160"/>
  <c r="F24" i="160"/>
  <c r="H24" i="160"/>
  <c r="Y22" i="160"/>
  <c r="AA22" i="160"/>
  <c r="W22" i="160"/>
  <c r="X22" i="160"/>
  <c r="Z22" i="160"/>
  <c r="I22" i="160"/>
  <c r="J22" i="160"/>
  <c r="F22" i="160"/>
  <c r="H22" i="160"/>
  <c r="J17" i="160"/>
  <c r="F17" i="160"/>
  <c r="H17" i="160"/>
  <c r="B3" i="160"/>
  <c r="B2" i="160"/>
  <c r="B1" i="160"/>
  <c r="K114" i="146"/>
  <c r="I114" i="146"/>
  <c r="J114" i="146"/>
  <c r="L114" i="146"/>
  <c r="K113" i="146"/>
  <c r="I113" i="146"/>
  <c r="J113" i="146"/>
  <c r="L113" i="146"/>
  <c r="C233" i="146"/>
  <c r="E233" i="146"/>
  <c r="C232" i="146"/>
  <c r="C231" i="146"/>
  <c r="E219" i="146"/>
  <c r="F219" i="146"/>
  <c r="D218" i="146"/>
  <c r="D217" i="146"/>
  <c r="D216" i="146"/>
  <c r="G213" i="146"/>
  <c r="E216" i="146"/>
  <c r="F216" i="146"/>
  <c r="F213" i="146"/>
  <c r="E213" i="146"/>
  <c r="E215" i="146"/>
  <c r="F215" i="146"/>
  <c r="G210" i="146"/>
  <c r="C77" i="150"/>
  <c r="D166" i="146"/>
  <c r="D168" i="146"/>
  <c r="E157" i="146"/>
  <c r="E158" i="146"/>
  <c r="E151" i="146"/>
  <c r="E152" i="146"/>
  <c r="G125" i="146"/>
  <c r="D145" i="146"/>
  <c r="D137" i="146"/>
  <c r="D139" i="146"/>
  <c r="D128" i="146"/>
  <c r="D132" i="146"/>
  <c r="I125" i="146"/>
  <c r="H125" i="146"/>
  <c r="K108" i="146"/>
  <c r="I108" i="146"/>
  <c r="J108" i="146"/>
  <c r="L108" i="146"/>
  <c r="K107" i="146"/>
  <c r="I107" i="146"/>
  <c r="J107" i="146"/>
  <c r="L107" i="146"/>
  <c r="N107" i="146"/>
  <c r="O105" i="146"/>
  <c r="O111" i="146"/>
  <c r="K106" i="146"/>
  <c r="I106" i="146"/>
  <c r="J106" i="146"/>
  <c r="L106" i="146"/>
  <c r="M106" i="146"/>
  <c r="C117" i="150"/>
  <c r="D108" i="150"/>
  <c r="D109" i="150"/>
  <c r="C110" i="150"/>
  <c r="H119" i="150"/>
  <c r="J119" i="150"/>
  <c r="K119" i="150"/>
  <c r="C94" i="150"/>
  <c r="D84" i="150"/>
  <c r="D85" i="150"/>
  <c r="F75" i="150"/>
  <c r="G124" i="150"/>
  <c r="G126" i="150"/>
  <c r="D86" i="150"/>
  <c r="F77" i="150"/>
  <c r="F78" i="150"/>
  <c r="H75" i="150"/>
  <c r="G75" i="150"/>
  <c r="G125" i="150"/>
  <c r="E52" i="150"/>
  <c r="F43" i="150"/>
  <c r="F44" i="150"/>
  <c r="H39" i="150"/>
  <c r="I39" i="150"/>
  <c r="E38" i="150"/>
  <c r="E29" i="150"/>
  <c r="F19" i="150"/>
  <c r="F20" i="150"/>
  <c r="H13" i="150"/>
  <c r="H14" i="150"/>
  <c r="J11" i="150"/>
  <c r="I11" i="150"/>
  <c r="D126" i="150"/>
  <c r="F61" i="150"/>
  <c r="I67" i="146"/>
  <c r="I68" i="146"/>
  <c r="I69" i="146"/>
  <c r="I71" i="146"/>
  <c r="L71" i="146"/>
  <c r="C71" i="146"/>
  <c r="I72" i="146"/>
  <c r="I66" i="146"/>
  <c r="C87" i="146"/>
  <c r="E87" i="146"/>
  <c r="C86" i="146"/>
  <c r="C85" i="146"/>
  <c r="E85" i="146"/>
  <c r="C84" i="146"/>
  <c r="E84" i="146"/>
  <c r="E88" i="146"/>
  <c r="C89" i="146"/>
  <c r="E72" i="146"/>
  <c r="D69" i="146"/>
  <c r="D68" i="146"/>
  <c r="D67" i="146"/>
  <c r="G63" i="146"/>
  <c r="E66" i="146"/>
  <c r="F66" i="146"/>
  <c r="F63" i="146"/>
  <c r="G32" i="146"/>
  <c r="C32" i="146"/>
  <c r="K17" i="146"/>
  <c r="C13" i="146"/>
  <c r="E32" i="146"/>
  <c r="C28" i="146"/>
  <c r="G28" i="146"/>
  <c r="C27" i="146"/>
  <c r="F27" i="146"/>
  <c r="C26" i="146"/>
  <c r="G26" i="146"/>
  <c r="C24" i="146"/>
  <c r="G24" i="146"/>
  <c r="I23" i="146"/>
  <c r="F23" i="146"/>
  <c r="H11" i="146"/>
  <c r="E26" i="146"/>
  <c r="F26" i="146"/>
  <c r="H10" i="146"/>
  <c r="E25" i="146"/>
  <c r="H9" i="146"/>
  <c r="E24" i="146"/>
  <c r="C112" i="150"/>
  <c r="C113" i="150"/>
  <c r="C114" i="150"/>
  <c r="C118" i="150"/>
  <c r="C120" i="150"/>
  <c r="C121" i="150"/>
  <c r="D122" i="150"/>
  <c r="H117" i="150"/>
  <c r="J117" i="150"/>
  <c r="K117" i="150"/>
  <c r="G127" i="150"/>
  <c r="H126" i="150"/>
  <c r="C87" i="150"/>
  <c r="C89" i="150"/>
  <c r="E45" i="150"/>
  <c r="I56" i="150"/>
  <c r="K56" i="150"/>
  <c r="L56" i="150"/>
  <c r="H11" i="150"/>
  <c r="E13" i="150"/>
  <c r="F21" i="150"/>
  <c r="E22" i="150"/>
  <c r="E47" i="150"/>
  <c r="C90" i="150"/>
  <c r="C91" i="150"/>
  <c r="C95" i="150"/>
  <c r="H100" i="150"/>
  <c r="J100" i="150"/>
  <c r="K100" i="150"/>
  <c r="M123" i="150"/>
  <c r="E24" i="150"/>
  <c r="I35" i="150"/>
  <c r="K35" i="150"/>
  <c r="L35" i="150"/>
  <c r="M61" i="150"/>
  <c r="E48" i="150"/>
  <c r="E49" i="150"/>
  <c r="E53" i="150"/>
  <c r="C98" i="150"/>
  <c r="C100" i="150"/>
  <c r="E55" i="150"/>
  <c r="E56" i="150"/>
  <c r="E25" i="150"/>
  <c r="E26" i="150"/>
  <c r="E32" i="150"/>
  <c r="D101" i="150"/>
  <c r="D123" i="150"/>
  <c r="H98" i="150"/>
  <c r="J98" i="150"/>
  <c r="K98" i="150"/>
  <c r="M122" i="150"/>
  <c r="N122" i="150"/>
  <c r="E34" i="150"/>
  <c r="E35" i="150"/>
  <c r="F57" i="150"/>
  <c r="I54" i="150"/>
  <c r="K54" i="150"/>
  <c r="L54" i="150"/>
  <c r="D124" i="150"/>
  <c r="D127" i="150"/>
  <c r="D125" i="150"/>
  <c r="I33" i="150"/>
  <c r="K33" i="150"/>
  <c r="L33" i="150"/>
  <c r="M60" i="150"/>
  <c r="N60" i="150"/>
  <c r="F36" i="150"/>
  <c r="F58" i="150"/>
  <c r="F60" i="150"/>
  <c r="F59" i="150"/>
  <c r="F62" i="150"/>
  <c r="G72" i="160"/>
  <c r="G44" i="160"/>
  <c r="G17" i="160"/>
  <c r="G46" i="160"/>
  <c r="H29" i="160"/>
  <c r="K29" i="160"/>
  <c r="L29" i="160"/>
  <c r="M29" i="160"/>
  <c r="O29" i="160"/>
  <c r="G26" i="160"/>
  <c r="G52" i="160"/>
  <c r="G29" i="160"/>
  <c r="H46" i="160"/>
  <c r="K46" i="160"/>
  <c r="L46" i="160"/>
  <c r="M46" i="160"/>
  <c r="O46" i="160"/>
  <c r="G38" i="160"/>
  <c r="G68" i="160"/>
  <c r="G76" i="160"/>
  <c r="G54" i="160"/>
  <c r="G32" i="160"/>
  <c r="G66" i="160"/>
  <c r="G48" i="160"/>
  <c r="G84" i="160"/>
  <c r="G82" i="160"/>
  <c r="G25" i="160"/>
  <c r="G22" i="160"/>
  <c r="G28" i="160"/>
  <c r="G86" i="160"/>
  <c r="G36" i="160"/>
  <c r="I44" i="178"/>
  <c r="H43" i="178"/>
  <c r="I43" i="178"/>
  <c r="E56" i="178"/>
  <c r="H23" i="178"/>
  <c r="Q15" i="178"/>
  <c r="R15" i="178"/>
  <c r="R22" i="178"/>
  <c r="M24" i="178"/>
  <c r="M31" i="178"/>
  <c r="M29" i="178"/>
  <c r="M27" i="178"/>
  <c r="M37" i="178"/>
  <c r="M39" i="178"/>
  <c r="M41" i="178"/>
  <c r="AM125" i="146"/>
  <c r="J66" i="177"/>
  <c r="F65" i="177"/>
  <c r="H65" i="177"/>
  <c r="K65" i="177"/>
  <c r="L65" i="177"/>
  <c r="M65" i="177"/>
  <c r="O65" i="177"/>
  <c r="F60" i="177"/>
  <c r="H60" i="177"/>
  <c r="K60" i="177"/>
  <c r="L60" i="177"/>
  <c r="M60" i="177"/>
  <c r="O60" i="177"/>
  <c r="F59" i="177"/>
  <c r="H59" i="177"/>
  <c r="F47" i="177"/>
  <c r="H47" i="177"/>
  <c r="K47" i="177"/>
  <c r="L47" i="177"/>
  <c r="M47" i="177"/>
  <c r="O47" i="177"/>
  <c r="AJ154" i="146"/>
  <c r="AJ161" i="146"/>
  <c r="AJ162" i="146"/>
  <c r="AJ163" i="146"/>
  <c r="AO128" i="146"/>
  <c r="AL127" i="146"/>
  <c r="AN127" i="146"/>
  <c r="J135" i="177"/>
  <c r="J207" i="177"/>
  <c r="O208" i="177"/>
  <c r="K101" i="177"/>
  <c r="L101" i="177"/>
  <c r="M101" i="177"/>
  <c r="O101" i="177"/>
  <c r="AC25" i="146"/>
  <c r="AE26" i="146"/>
  <c r="AE28" i="146"/>
  <c r="AC187" i="146"/>
  <c r="AC188" i="146"/>
  <c r="AN30" i="146"/>
  <c r="E218" i="146"/>
  <c r="F218" i="146"/>
  <c r="F277" i="146"/>
  <c r="F279" i="146"/>
  <c r="AE27" i="146"/>
  <c r="T30" i="146"/>
  <c r="AD30" i="146"/>
  <c r="AC193" i="146"/>
  <c r="AC194" i="146"/>
  <c r="T34" i="146"/>
  <c r="T36" i="146"/>
  <c r="V36" i="146"/>
  <c r="E231" i="146"/>
  <c r="E153" i="146"/>
  <c r="D154" i="146"/>
  <c r="D161" i="146"/>
  <c r="F269" i="146"/>
  <c r="F24" i="146"/>
  <c r="T28" i="146"/>
  <c r="AP34" i="146"/>
  <c r="AP36" i="146"/>
  <c r="AR36" i="146"/>
  <c r="R28" i="146"/>
  <c r="R63" i="146"/>
  <c r="F273" i="146"/>
  <c r="H277" i="146"/>
  <c r="H279" i="146"/>
  <c r="J279" i="146"/>
  <c r="F28" i="146"/>
  <c r="AC26" i="146"/>
  <c r="R71" i="146"/>
  <c r="R86" i="146"/>
  <c r="E217" i="146"/>
  <c r="F217" i="146"/>
  <c r="R27" i="146"/>
  <c r="R69" i="146"/>
  <c r="R68" i="146"/>
  <c r="S68" i="146"/>
  <c r="H28" i="146"/>
  <c r="AN25" i="146"/>
  <c r="R26" i="146"/>
  <c r="R67" i="146"/>
  <c r="S67" i="146"/>
  <c r="AN28" i="146"/>
  <c r="R66" i="146"/>
  <c r="S66" i="146"/>
  <c r="E71" i="146"/>
  <c r="F71" i="146"/>
  <c r="E86" i="146"/>
  <c r="E63" i="146"/>
  <c r="E67" i="146"/>
  <c r="F67" i="146"/>
  <c r="AC27" i="146"/>
  <c r="H269" i="146"/>
  <c r="AP30" i="146"/>
  <c r="H273" i="146"/>
  <c r="G280" i="146"/>
  <c r="T25" i="146"/>
  <c r="S125" i="146"/>
  <c r="Q153" i="146"/>
  <c r="P154" i="146"/>
  <c r="P161" i="146"/>
  <c r="R36" i="146"/>
  <c r="O35" i="146"/>
  <c r="O36" i="146"/>
  <c r="R25" i="146"/>
  <c r="AS20" i="146"/>
  <c r="AK14" i="146"/>
  <c r="AM34" i="146"/>
  <c r="AN34" i="146"/>
  <c r="AC36" i="146"/>
  <c r="P133" i="146"/>
  <c r="P134" i="146"/>
  <c r="F25" i="146"/>
  <c r="D133" i="146"/>
  <c r="D134" i="146"/>
  <c r="AO25" i="146"/>
  <c r="AO27" i="146"/>
  <c r="AP27" i="146"/>
  <c r="AN27" i="146"/>
  <c r="H26" i="146"/>
  <c r="H270" i="146"/>
  <c r="H24" i="146"/>
  <c r="H32" i="146"/>
  <c r="AN26" i="146"/>
  <c r="F32" i="146"/>
  <c r="S26" i="146"/>
  <c r="T26" i="146"/>
  <c r="S27" i="146"/>
  <c r="T27" i="146"/>
  <c r="AC28" i="146"/>
  <c r="AD37" i="146"/>
  <c r="AE25" i="146"/>
  <c r="AE30" i="146"/>
  <c r="AE34" i="146"/>
  <c r="Z35" i="146"/>
  <c r="Z36" i="146"/>
  <c r="G35" i="146"/>
  <c r="E232" i="146"/>
  <c r="E234" i="146"/>
  <c r="C235" i="146"/>
  <c r="C241" i="146"/>
  <c r="E69" i="146"/>
  <c r="H271" i="146"/>
  <c r="F274" i="146"/>
  <c r="E283" i="146"/>
  <c r="AC125" i="146"/>
  <c r="AA153" i="146"/>
  <c r="Z154" i="146"/>
  <c r="Z161" i="146"/>
  <c r="G31" i="180"/>
  <c r="H31" i="180"/>
  <c r="H34" i="180"/>
  <c r="H35" i="180"/>
  <c r="I35" i="180"/>
  <c r="J35" i="180"/>
  <c r="H39" i="180"/>
  <c r="F30" i="180"/>
  <c r="F33" i="180"/>
  <c r="K23" i="180"/>
  <c r="C17" i="180"/>
  <c r="E37" i="180"/>
  <c r="F37" i="180"/>
  <c r="F29" i="180"/>
  <c r="M105" i="146"/>
  <c r="G62" i="160"/>
  <c r="AO127" i="146"/>
  <c r="AM163" i="146"/>
  <c r="AJ169" i="146"/>
  <c r="AK170" i="146"/>
  <c r="AL163" i="146"/>
  <c r="S71" i="146"/>
  <c r="F220" i="146"/>
  <c r="C221" i="146"/>
  <c r="C224" i="146"/>
  <c r="C225" i="146"/>
  <c r="C226" i="146"/>
  <c r="F29" i="146"/>
  <c r="H29" i="146"/>
  <c r="H30" i="146"/>
  <c r="I30" i="146"/>
  <c r="AN31" i="146"/>
  <c r="AM40" i="146"/>
  <c r="D162" i="146"/>
  <c r="D163" i="146"/>
  <c r="C278" i="146"/>
  <c r="C279" i="146"/>
  <c r="R31" i="146"/>
  <c r="Q40" i="146"/>
  <c r="H274" i="146"/>
  <c r="AC31" i="146"/>
  <c r="S69" i="146"/>
  <c r="S73" i="146"/>
  <c r="P74" i="146"/>
  <c r="P77" i="146"/>
  <c r="C236" i="146"/>
  <c r="E237" i="146"/>
  <c r="C240" i="146"/>
  <c r="C29" i="146"/>
  <c r="C30" i="146"/>
  <c r="C36" i="146"/>
  <c r="C17" i="146"/>
  <c r="C18" i="146"/>
  <c r="C19" i="146"/>
  <c r="F30" i="146"/>
  <c r="AN36" i="146"/>
  <c r="AK35" i="146"/>
  <c r="AK36" i="146"/>
  <c r="AC32" i="146"/>
  <c r="AB41" i="146"/>
  <c r="AB40" i="146"/>
  <c r="H275" i="146"/>
  <c r="I275" i="146"/>
  <c r="E286" i="146"/>
  <c r="E287" i="146"/>
  <c r="H287" i="146"/>
  <c r="S162" i="146"/>
  <c r="P140" i="146"/>
  <c r="Q141" i="146"/>
  <c r="AE31" i="146"/>
  <c r="AE32" i="146"/>
  <c r="AF32" i="146"/>
  <c r="R32" i="146"/>
  <c r="Q41" i="146"/>
  <c r="C243" i="146"/>
  <c r="E241" i="146"/>
  <c r="F241" i="146"/>
  <c r="AE36" i="146"/>
  <c r="E38" i="146"/>
  <c r="C33" i="146"/>
  <c r="C34" i="146"/>
  <c r="F34" i="146"/>
  <c r="H34" i="146"/>
  <c r="J34" i="146"/>
  <c r="E41" i="146"/>
  <c r="E42" i="146"/>
  <c r="H42" i="146"/>
  <c r="T31" i="146"/>
  <c r="S37" i="146"/>
  <c r="AO37" i="146"/>
  <c r="AP25" i="146"/>
  <c r="AP31" i="146"/>
  <c r="AK31" i="146"/>
  <c r="AK32" i="146"/>
  <c r="F69" i="146"/>
  <c r="D140" i="146"/>
  <c r="E141" i="146"/>
  <c r="G162" i="146"/>
  <c r="P162" i="146"/>
  <c r="P163" i="146"/>
  <c r="F275" i="146"/>
  <c r="E284" i="146"/>
  <c r="C274" i="146"/>
  <c r="C275" i="146"/>
  <c r="C281" i="146"/>
  <c r="C262" i="146"/>
  <c r="C263" i="146"/>
  <c r="C264" i="146"/>
  <c r="Z162" i="146"/>
  <c r="Z163" i="146"/>
  <c r="AE127" i="146"/>
  <c r="Z127" i="146"/>
  <c r="F34" i="180"/>
  <c r="F35" i="180"/>
  <c r="G40" i="180"/>
  <c r="E46" i="180"/>
  <c r="F39" i="180"/>
  <c r="C38" i="180"/>
  <c r="C39" i="180"/>
  <c r="E47" i="180"/>
  <c r="J39" i="180"/>
  <c r="M111" i="146"/>
  <c r="AJ127" i="146"/>
  <c r="AJ132" i="146"/>
  <c r="AJ133" i="146"/>
  <c r="AJ134" i="146"/>
  <c r="Z132" i="146"/>
  <c r="Z133" i="146"/>
  <c r="Z134" i="146"/>
  <c r="AN32" i="146"/>
  <c r="O31" i="146"/>
  <c r="O32" i="146"/>
  <c r="O38" i="146"/>
  <c r="O18" i="146"/>
  <c r="O19" i="146"/>
  <c r="O20" i="146"/>
  <c r="D169" i="146"/>
  <c r="E170" i="146"/>
  <c r="G163" i="146"/>
  <c r="AK38" i="146"/>
  <c r="AK18" i="146"/>
  <c r="AK19" i="146"/>
  <c r="AK20" i="146"/>
  <c r="AB43" i="146"/>
  <c r="P78" i="146"/>
  <c r="P79" i="146"/>
  <c r="AM41" i="146"/>
  <c r="P169" i="146"/>
  <c r="Q170" i="146"/>
  <c r="S163" i="146"/>
  <c r="S164" i="146"/>
  <c r="S165" i="146"/>
  <c r="AP41" i="146"/>
  <c r="AP47" i="146"/>
  <c r="AP48" i="146"/>
  <c r="AP49" i="146"/>
  <c r="AB44" i="146"/>
  <c r="AG36" i="146"/>
  <c r="T41" i="146"/>
  <c r="T47" i="146"/>
  <c r="T48" i="146"/>
  <c r="T49" i="146"/>
  <c r="E289" i="146"/>
  <c r="H284" i="146"/>
  <c r="H290" i="146"/>
  <c r="H291" i="146"/>
  <c r="H292" i="146"/>
  <c r="AE41" i="146"/>
  <c r="AE47" i="146"/>
  <c r="AE48" i="146"/>
  <c r="AE49" i="146"/>
  <c r="G164" i="146"/>
  <c r="G165" i="146"/>
  <c r="R162" i="146"/>
  <c r="F162" i="146"/>
  <c r="E171" i="146"/>
  <c r="AP32" i="146"/>
  <c r="AM43" i="146"/>
  <c r="Z31" i="146"/>
  <c r="Z32" i="146"/>
  <c r="Z38" i="146"/>
  <c r="Z18" i="146"/>
  <c r="Z19" i="146"/>
  <c r="Z20" i="146"/>
  <c r="T32" i="146"/>
  <c r="Q43" i="146"/>
  <c r="E39" i="146"/>
  <c r="Z169" i="146"/>
  <c r="AA170" i="146"/>
  <c r="AC163" i="146"/>
  <c r="E43" i="180"/>
  <c r="C34" i="180"/>
  <c r="C35" i="180"/>
  <c r="C41" i="180"/>
  <c r="C21" i="180"/>
  <c r="C22" i="180"/>
  <c r="C23" i="180"/>
  <c r="E44" i="180"/>
  <c r="E49" i="180"/>
  <c r="C44" i="180"/>
  <c r="H44" i="180"/>
  <c r="H50" i="180"/>
  <c r="H51" i="180"/>
  <c r="H52" i="180"/>
  <c r="AJ140" i="146"/>
  <c r="AK141" i="146"/>
  <c r="AK171" i="146"/>
  <c r="AM162" i="146"/>
  <c r="AM164" i="146"/>
  <c r="AM165" i="146"/>
  <c r="P94" i="146"/>
  <c r="F163" i="146"/>
  <c r="F164" i="146"/>
  <c r="F165" i="146"/>
  <c r="E293" i="146"/>
  <c r="E292" i="146"/>
  <c r="E294" i="146"/>
  <c r="E44" i="146"/>
  <c r="H39" i="146"/>
  <c r="H45" i="146"/>
  <c r="H46" i="146"/>
  <c r="H47" i="146"/>
  <c r="U32" i="146"/>
  <c r="Q44" i="146"/>
  <c r="R163" i="146"/>
  <c r="AQ32" i="146"/>
  <c r="AM44" i="146"/>
  <c r="E173" i="146"/>
  <c r="E172" i="146"/>
  <c r="Q171" i="146"/>
  <c r="R164" i="146"/>
  <c r="R165" i="146"/>
  <c r="AB46" i="146"/>
  <c r="Z140" i="146"/>
  <c r="AA141" i="146"/>
  <c r="AC162" i="146"/>
  <c r="AC164" i="146"/>
  <c r="AC165" i="146"/>
  <c r="AB163" i="146"/>
  <c r="E54" i="180"/>
  <c r="E53" i="180"/>
  <c r="E52" i="180"/>
  <c r="C47" i="180"/>
  <c r="AL162" i="146"/>
  <c r="AL164" i="146"/>
  <c r="AL165" i="146"/>
  <c r="AN164" i="146"/>
  <c r="AK173" i="146"/>
  <c r="AK172" i="146"/>
  <c r="H165" i="146"/>
  <c r="F166" i="146"/>
  <c r="AB51" i="146"/>
  <c r="AB50" i="146"/>
  <c r="AB49" i="146"/>
  <c r="AB52" i="146"/>
  <c r="Z41" i="146"/>
  <c r="R166" i="146"/>
  <c r="T165" i="146"/>
  <c r="Q173" i="146"/>
  <c r="Q172" i="146"/>
  <c r="AM46" i="146"/>
  <c r="Q46" i="146"/>
  <c r="E48" i="146"/>
  <c r="E47" i="146"/>
  <c r="E49" i="146"/>
  <c r="Z44" i="146"/>
  <c r="E295" i="146"/>
  <c r="E296" i="146"/>
  <c r="AA171" i="146"/>
  <c r="AB162" i="146"/>
  <c r="AB164" i="146"/>
  <c r="E55" i="180"/>
  <c r="AL166" i="146"/>
  <c r="AN165" i="146"/>
  <c r="E50" i="146"/>
  <c r="E51" i="146"/>
  <c r="Q51" i="146"/>
  <c r="Q50" i="146"/>
  <c r="Q49" i="146"/>
  <c r="Q52" i="146"/>
  <c r="O41" i="146"/>
  <c r="O44" i="146"/>
  <c r="AM49" i="146"/>
  <c r="AM51" i="146"/>
  <c r="AM50" i="146"/>
  <c r="AM52" i="146"/>
  <c r="AK41" i="146"/>
  <c r="AK44" i="146"/>
  <c r="AD164" i="146"/>
  <c r="AB165" i="146"/>
  <c r="AA173" i="146"/>
  <c r="AA172" i="146"/>
  <c r="AD165" i="146"/>
  <c r="AB166" i="146"/>
  <c r="Q19" i="176"/>
  <c r="Q29" i="176"/>
  <c r="Q33" i="176"/>
  <c r="Q41" i="176"/>
  <c r="Q45" i="176"/>
  <c r="Q53" i="176"/>
  <c r="Q57" i="176"/>
  <c r="Q65" i="176"/>
  <c r="Q69" i="176"/>
  <c r="Q77" i="176"/>
  <c r="Q81" i="176"/>
  <c r="Q89" i="176"/>
  <c r="Q93" i="176"/>
  <c r="Q101" i="176"/>
  <c r="Q105" i="176"/>
  <c r="Q112" i="176"/>
  <c r="K43" i="176"/>
  <c r="L43" i="176"/>
  <c r="M43" i="176"/>
  <c r="O43" i="176"/>
  <c r="K100" i="176"/>
  <c r="L100" i="176"/>
  <c r="M100" i="176"/>
  <c r="O100" i="176"/>
  <c r="K64" i="176"/>
  <c r="L64" i="176"/>
  <c r="M64" i="176"/>
  <c r="O64" i="176"/>
  <c r="E233" i="176"/>
  <c r="E234" i="176"/>
  <c r="K52" i="176"/>
  <c r="L52" i="176"/>
  <c r="M52" i="176"/>
  <c r="O52" i="176"/>
  <c r="K111" i="176"/>
  <c r="L111" i="176"/>
  <c r="M111" i="176"/>
  <c r="O111" i="176"/>
  <c r="K104" i="176"/>
  <c r="L104" i="176"/>
  <c r="M104" i="176"/>
  <c r="O104" i="176"/>
  <c r="K56" i="176"/>
  <c r="L56" i="176"/>
  <c r="M56" i="176"/>
  <c r="O56" i="176"/>
  <c r="K18" i="176"/>
  <c r="L18" i="176"/>
  <c r="M18" i="176"/>
  <c r="O18" i="176"/>
  <c r="K62" i="176"/>
  <c r="L62" i="176"/>
  <c r="M62" i="176"/>
  <c r="O62" i="176"/>
  <c r="K98" i="176"/>
  <c r="L98" i="176"/>
  <c r="M98" i="176"/>
  <c r="O98" i="176"/>
  <c r="K174" i="176"/>
  <c r="L174" i="176"/>
  <c r="M174" i="176"/>
  <c r="O174" i="176"/>
  <c r="K119" i="176"/>
  <c r="L119" i="176"/>
  <c r="M119" i="176"/>
  <c r="O119" i="176"/>
  <c r="K39" i="176"/>
  <c r="L39" i="176"/>
  <c r="M39" i="176"/>
  <c r="O39" i="176"/>
  <c r="K26" i="176"/>
  <c r="L26" i="176"/>
  <c r="M26" i="176"/>
  <c r="O26" i="176"/>
  <c r="K74" i="176"/>
  <c r="L74" i="176"/>
  <c r="M74" i="176"/>
  <c r="O74" i="176"/>
  <c r="K91" i="176"/>
  <c r="L91" i="176"/>
  <c r="M91" i="176"/>
  <c r="O91" i="176"/>
  <c r="K110" i="176"/>
  <c r="L110" i="176"/>
  <c r="M110" i="176"/>
  <c r="O110" i="176"/>
  <c r="K32" i="176"/>
  <c r="L32" i="176"/>
  <c r="M32" i="176"/>
  <c r="O32" i="176"/>
  <c r="K67" i="176"/>
  <c r="L67" i="176"/>
  <c r="M67" i="176"/>
  <c r="O67" i="176"/>
  <c r="K156" i="176"/>
  <c r="L156" i="176"/>
  <c r="M156" i="176"/>
  <c r="O156" i="176"/>
  <c r="K38" i="176"/>
  <c r="L38" i="176"/>
  <c r="M38" i="176"/>
  <c r="O38" i="176"/>
  <c r="K145" i="176"/>
  <c r="L145" i="176"/>
  <c r="M145" i="176"/>
  <c r="O145" i="176"/>
  <c r="K165" i="176"/>
  <c r="L165" i="176"/>
  <c r="M165" i="176"/>
  <c r="O165" i="176"/>
  <c r="K79" i="176"/>
  <c r="L79" i="176"/>
  <c r="M79" i="176"/>
  <c r="O79" i="176"/>
  <c r="K92" i="176"/>
  <c r="L92" i="176"/>
  <c r="M92" i="176"/>
  <c r="O92" i="176"/>
  <c r="K44" i="176"/>
  <c r="L44" i="176"/>
  <c r="M44" i="176"/>
  <c r="O44" i="176"/>
  <c r="K181" i="176"/>
  <c r="L181" i="176"/>
  <c r="M181" i="176"/>
  <c r="O181" i="176"/>
  <c r="K75" i="176"/>
  <c r="L75" i="176"/>
  <c r="M75" i="176"/>
  <c r="O75" i="176"/>
  <c r="K154" i="176"/>
  <c r="L154" i="176"/>
  <c r="M154" i="176"/>
  <c r="O154" i="176"/>
  <c r="K137" i="176"/>
  <c r="L137" i="176"/>
  <c r="M137" i="176"/>
  <c r="O137" i="176"/>
  <c r="K173" i="176"/>
  <c r="L173" i="176"/>
  <c r="M173" i="176"/>
  <c r="O173" i="176"/>
  <c r="K80" i="176"/>
  <c r="L80" i="176"/>
  <c r="M80" i="176"/>
  <c r="O80" i="176"/>
  <c r="K103" i="176"/>
  <c r="L103" i="176"/>
  <c r="M103" i="176"/>
  <c r="O103" i="176"/>
  <c r="K55" i="176"/>
  <c r="L55" i="176"/>
  <c r="M55" i="176"/>
  <c r="O55" i="176"/>
  <c r="K128" i="176"/>
  <c r="L128" i="176"/>
  <c r="M128" i="176"/>
  <c r="O128" i="176"/>
  <c r="E237" i="176"/>
  <c r="L237" i="176"/>
  <c r="K17" i="176"/>
  <c r="L17" i="176"/>
  <c r="M17" i="176"/>
  <c r="R94" i="160"/>
  <c r="Q19" i="160"/>
  <c r="R20" i="160"/>
  <c r="Q30" i="160"/>
  <c r="P31" i="160"/>
  <c r="Q31" i="160"/>
  <c r="Q39" i="160"/>
  <c r="R40" i="160"/>
  <c r="P40" i="160"/>
  <c r="Q40" i="160"/>
  <c r="Q49" i="160"/>
  <c r="R50" i="160"/>
  <c r="P50" i="160"/>
  <c r="Q50" i="160"/>
  <c r="Q59" i="160"/>
  <c r="P60" i="160"/>
  <c r="Q60" i="160"/>
  <c r="R60" i="160"/>
  <c r="Q89" i="160"/>
  <c r="P90" i="160"/>
  <c r="Q90" i="160"/>
  <c r="Q79" i="160"/>
  <c r="S80" i="160"/>
  <c r="S94" i="160"/>
  <c r="P80" i="160"/>
  <c r="Q80" i="160"/>
  <c r="R70" i="160"/>
  <c r="P70" i="160"/>
  <c r="Q70" i="160"/>
  <c r="E129" i="160"/>
  <c r="E130" i="160"/>
  <c r="E133" i="160"/>
  <c r="K32" i="160"/>
  <c r="L32" i="160"/>
  <c r="M32" i="160"/>
  <c r="O32" i="160"/>
  <c r="K48" i="160"/>
  <c r="L48" i="160"/>
  <c r="M48" i="160"/>
  <c r="O48" i="160"/>
  <c r="K42" i="160"/>
  <c r="L42" i="160"/>
  <c r="M42" i="160"/>
  <c r="O42" i="160"/>
  <c r="K68" i="160"/>
  <c r="L68" i="160"/>
  <c r="M68" i="160"/>
  <c r="O68" i="160"/>
  <c r="K44" i="160"/>
  <c r="L44" i="160"/>
  <c r="M44" i="160"/>
  <c r="O44" i="160"/>
  <c r="AB26" i="160"/>
  <c r="K25" i="160"/>
  <c r="L25" i="160"/>
  <c r="M25" i="160"/>
  <c r="O25" i="160"/>
  <c r="K28" i="160"/>
  <c r="L28" i="160"/>
  <c r="M28" i="160"/>
  <c r="O28" i="160"/>
  <c r="O82" i="160"/>
  <c r="K24" i="160"/>
  <c r="L24" i="160"/>
  <c r="M24" i="160"/>
  <c r="O24" i="160"/>
  <c r="J94" i="160"/>
  <c r="K17" i="160"/>
  <c r="L17" i="160"/>
  <c r="M17" i="160"/>
  <c r="H94" i="160"/>
  <c r="K22" i="160"/>
  <c r="L22" i="160"/>
  <c r="M22" i="160"/>
  <c r="O22" i="160"/>
  <c r="F94" i="160"/>
  <c r="G116" i="160"/>
  <c r="G117" i="160"/>
  <c r="I117" i="160"/>
  <c r="M106" i="160"/>
  <c r="O17" i="176"/>
  <c r="R31" i="160"/>
  <c r="K91" i="11"/>
  <c r="M95" i="160"/>
  <c r="O17" i="160"/>
  <c r="O95" i="160"/>
  <c r="O106" i="160"/>
  <c r="M100" i="160"/>
  <c r="K85" i="11"/>
  <c r="M98" i="160"/>
  <c r="K83" i="11"/>
  <c r="M102" i="160"/>
  <c r="K87" i="11"/>
  <c r="L106" i="160"/>
  <c r="M108" i="160"/>
  <c r="M110" i="160"/>
  <c r="K93" i="11"/>
  <c r="O98" i="160"/>
  <c r="O102" i="160"/>
  <c r="O100" i="160"/>
  <c r="O108" i="160"/>
  <c r="M112" i="160"/>
  <c r="D70" i="11"/>
  <c r="O110" i="160"/>
  <c r="O112" i="160"/>
  <c r="N112" i="160"/>
  <c r="Q70" i="177"/>
  <c r="Q138" i="177"/>
  <c r="Q264" i="177"/>
  <c r="K350" i="177"/>
  <c r="L350" i="177"/>
  <c r="M350" i="177"/>
  <c r="O350" i="177"/>
  <c r="K262" i="177"/>
  <c r="L262" i="177"/>
  <c r="M262" i="177"/>
  <c r="O262" i="177"/>
  <c r="K289" i="177"/>
  <c r="L289" i="177"/>
  <c r="M289" i="177"/>
  <c r="K35" i="177"/>
  <c r="L35" i="177"/>
  <c r="M35" i="177"/>
  <c r="O35" i="177"/>
  <c r="K134" i="177"/>
  <c r="L134" i="177"/>
  <c r="M134" i="177"/>
  <c r="O134" i="177"/>
  <c r="K167" i="177"/>
  <c r="L167" i="177"/>
  <c r="M167" i="177"/>
  <c r="O167" i="177"/>
  <c r="K110" i="177"/>
  <c r="L110" i="177"/>
  <c r="M110" i="177"/>
  <c r="O110" i="177"/>
  <c r="K218" i="177"/>
  <c r="L218" i="177"/>
  <c r="M218" i="177"/>
  <c r="O218" i="177"/>
  <c r="K151" i="177"/>
  <c r="L151" i="177"/>
  <c r="M151" i="177"/>
  <c r="O151" i="177"/>
  <c r="K260" i="177"/>
  <c r="L260" i="177"/>
  <c r="M260" i="177"/>
  <c r="O260" i="177"/>
  <c r="K56" i="177"/>
  <c r="L56" i="177"/>
  <c r="M56" i="177"/>
  <c r="O56" i="177"/>
  <c r="K207" i="177"/>
  <c r="L207" i="177"/>
  <c r="K153" i="177"/>
  <c r="L153" i="177"/>
  <c r="M153" i="177"/>
  <c r="O153" i="177"/>
  <c r="K281" i="177"/>
  <c r="L281" i="177"/>
  <c r="M281" i="177"/>
  <c r="O281" i="177"/>
  <c r="K99" i="177"/>
  <c r="L99" i="177"/>
  <c r="M99" i="177"/>
  <c r="K253" i="177"/>
  <c r="L253" i="177"/>
  <c r="M253" i="177"/>
  <c r="O253" i="177"/>
  <c r="F48" i="177"/>
  <c r="H48" i="177"/>
  <c r="K48" i="177"/>
  <c r="L48" i="177"/>
  <c r="M48" i="177"/>
  <c r="O48" i="177"/>
  <c r="K107" i="177"/>
  <c r="L107" i="177"/>
  <c r="M107" i="177"/>
  <c r="O107" i="177"/>
  <c r="K135" i="177"/>
  <c r="L135" i="177"/>
  <c r="M135" i="177"/>
  <c r="O135" i="177"/>
  <c r="K249" i="177"/>
  <c r="L249" i="177"/>
  <c r="M249" i="177"/>
  <c r="O249" i="177"/>
  <c r="F303" i="177"/>
  <c r="H303" i="177"/>
  <c r="K53" i="177"/>
  <c r="L53" i="177"/>
  <c r="M53" i="177"/>
  <c r="O53" i="177"/>
  <c r="G259" i="177"/>
  <c r="M207" i="177"/>
  <c r="O207" i="177"/>
  <c r="K66" i="177"/>
  <c r="L66" i="177"/>
  <c r="M66" i="177"/>
  <c r="O66" i="177"/>
  <c r="E387" i="177"/>
  <c r="E388" i="177"/>
  <c r="E391" i="177"/>
  <c r="K150" i="177"/>
  <c r="L150" i="177"/>
  <c r="M150" i="177"/>
  <c r="O150" i="177"/>
  <c r="K205" i="177"/>
  <c r="L205" i="177"/>
  <c r="M205" i="177"/>
  <c r="O205" i="177"/>
  <c r="K247" i="177"/>
  <c r="L247" i="177"/>
  <c r="M247" i="177"/>
  <c r="K111" i="177"/>
  <c r="L111" i="177"/>
  <c r="M111" i="177"/>
  <c r="O111" i="177"/>
  <c r="K225" i="177"/>
  <c r="L225" i="177"/>
  <c r="M225" i="177"/>
  <c r="O225" i="177"/>
  <c r="J250" i="177"/>
  <c r="K55" i="177"/>
  <c r="L55" i="177"/>
  <c r="M55" i="177"/>
  <c r="O55" i="177"/>
  <c r="K118" i="177"/>
  <c r="L118" i="177"/>
  <c r="M118" i="177"/>
  <c r="O118" i="177"/>
  <c r="F133" i="177"/>
  <c r="H133" i="177"/>
  <c r="K133" i="177"/>
  <c r="L133" i="177"/>
  <c r="M133" i="177"/>
  <c r="O133" i="177"/>
  <c r="K109" i="177"/>
  <c r="L109" i="177"/>
  <c r="M109" i="177"/>
  <c r="O109" i="177"/>
  <c r="K93" i="177"/>
  <c r="L93" i="177"/>
  <c r="M93" i="177"/>
  <c r="O93" i="177"/>
  <c r="K104" i="177"/>
  <c r="L104" i="177"/>
  <c r="M104" i="177"/>
  <c r="O104" i="177"/>
  <c r="K341" i="177"/>
  <c r="L341" i="177"/>
  <c r="M341" i="177"/>
  <c r="O341" i="177"/>
  <c r="K250" i="177"/>
  <c r="L250" i="177"/>
  <c r="M250" i="177"/>
  <c r="O250" i="177"/>
  <c r="G215" i="177"/>
  <c r="K294" i="177"/>
  <c r="L294" i="177"/>
  <c r="M294" i="177"/>
  <c r="O294" i="177"/>
  <c r="K127" i="177"/>
  <c r="L127" i="177"/>
  <c r="M127" i="177"/>
  <c r="O127" i="177"/>
  <c r="K102" i="177"/>
  <c r="L102" i="177"/>
  <c r="M102" i="177"/>
  <c r="O102" i="177"/>
  <c r="K183" i="177"/>
  <c r="L183" i="177"/>
  <c r="M183" i="177"/>
  <c r="O183" i="177"/>
  <c r="K252" i="177"/>
  <c r="L252" i="177"/>
  <c r="M252" i="177"/>
  <c r="O252" i="177"/>
  <c r="J261" i="177"/>
  <c r="K261" i="177"/>
  <c r="L261" i="177"/>
  <c r="M261" i="177"/>
  <c r="O261" i="177"/>
  <c r="K278" i="177"/>
  <c r="L278" i="177"/>
  <c r="M278" i="177"/>
  <c r="O278" i="177"/>
  <c r="K305" i="177"/>
  <c r="L305" i="177"/>
  <c r="M305" i="177"/>
  <c r="O305" i="177"/>
  <c r="F116" i="177"/>
  <c r="H116" i="177"/>
  <c r="K116" i="177"/>
  <c r="L116" i="177"/>
  <c r="M116" i="177"/>
  <c r="O116" i="177"/>
  <c r="K115" i="177"/>
  <c r="L115" i="177"/>
  <c r="M115" i="177"/>
  <c r="O115" i="177"/>
  <c r="K50" i="177"/>
  <c r="L50" i="177"/>
  <c r="M50" i="177"/>
  <c r="O50" i="177"/>
  <c r="F251" i="177"/>
  <c r="H251" i="177"/>
  <c r="K251" i="177"/>
  <c r="L251" i="177"/>
  <c r="M251" i="177"/>
  <c r="O251" i="177"/>
  <c r="J128" i="177"/>
  <c r="K128" i="177"/>
  <c r="L128" i="177"/>
  <c r="M128" i="177"/>
  <c r="O128" i="177"/>
  <c r="K277" i="177"/>
  <c r="L277" i="177"/>
  <c r="M277" i="177"/>
  <c r="O277" i="177"/>
  <c r="K137" i="177"/>
  <c r="L137" i="177"/>
  <c r="M137" i="177"/>
  <c r="O137" i="177"/>
  <c r="K279" i="177"/>
  <c r="L279" i="177"/>
  <c r="M279" i="177"/>
  <c r="O279" i="177"/>
  <c r="K152" i="177"/>
  <c r="L152" i="177"/>
  <c r="M152" i="177"/>
  <c r="O152" i="177"/>
  <c r="K80" i="177"/>
  <c r="L80" i="177"/>
  <c r="M80" i="177"/>
  <c r="O80" i="177"/>
  <c r="K215" i="177"/>
  <c r="L215" i="177"/>
  <c r="M215" i="177"/>
  <c r="O215" i="177"/>
  <c r="O189" i="177"/>
  <c r="T354" i="177"/>
  <c r="M324" i="177"/>
  <c r="O324" i="177"/>
  <c r="O149" i="177"/>
  <c r="F54" i="177"/>
  <c r="H54" i="177"/>
  <c r="K54" i="177"/>
  <c r="L54" i="177"/>
  <c r="M54" i="177"/>
  <c r="O54" i="177"/>
  <c r="K190" i="177"/>
  <c r="L190" i="177"/>
  <c r="M190" i="177"/>
  <c r="O190" i="177"/>
  <c r="K112" i="177"/>
  <c r="L112" i="177"/>
  <c r="M112" i="177"/>
  <c r="K288" i="177"/>
  <c r="L288" i="177"/>
  <c r="M288" i="177"/>
  <c r="J175" i="177"/>
  <c r="K17" i="177"/>
  <c r="L17" i="177"/>
  <c r="M17" i="177"/>
  <c r="K340" i="177"/>
  <c r="L340" i="177"/>
  <c r="M340" i="177"/>
  <c r="O340" i="177"/>
  <c r="G301" i="177"/>
  <c r="F301" i="177"/>
  <c r="H301" i="177"/>
  <c r="K301" i="177"/>
  <c r="L301" i="177"/>
  <c r="M301" i="177"/>
  <c r="O301" i="177"/>
  <c r="K58" i="177"/>
  <c r="L58" i="177"/>
  <c r="M58" i="177"/>
  <c r="O58" i="177"/>
  <c r="K303" i="177"/>
  <c r="L303" i="177"/>
  <c r="M303" i="177"/>
  <c r="O303" i="177"/>
  <c r="K219" i="177"/>
  <c r="L219" i="177"/>
  <c r="M219" i="177"/>
  <c r="O219" i="177"/>
  <c r="K103" i="177"/>
  <c r="L103" i="177"/>
  <c r="M103" i="177"/>
  <c r="O103" i="177"/>
  <c r="M87" i="177"/>
  <c r="U90" i="177"/>
  <c r="G126" i="177"/>
  <c r="F126" i="177"/>
  <c r="H126" i="177"/>
  <c r="K126" i="177"/>
  <c r="L126" i="177"/>
  <c r="M126" i="177"/>
  <c r="O126" i="177"/>
  <c r="J164" i="177"/>
  <c r="K164" i="177"/>
  <c r="L164" i="177"/>
  <c r="M164" i="177"/>
  <c r="O164" i="177"/>
  <c r="F175" i="177"/>
  <c r="H175" i="177"/>
  <c r="J293" i="177"/>
  <c r="K293" i="177"/>
  <c r="L293" i="177"/>
  <c r="M293" i="177"/>
  <c r="O293" i="177"/>
  <c r="K233" i="177"/>
  <c r="L233" i="177"/>
  <c r="M233" i="177"/>
  <c r="K177" i="177"/>
  <c r="L177" i="177"/>
  <c r="M177" i="177"/>
  <c r="O177" i="177"/>
  <c r="F165" i="177"/>
  <c r="H165" i="177"/>
  <c r="J165" i="177"/>
  <c r="M108" i="177"/>
  <c r="O108" i="177"/>
  <c r="K59" i="177"/>
  <c r="L59" i="177"/>
  <c r="M59" i="177"/>
  <c r="O59" i="177"/>
  <c r="J292" i="177"/>
  <c r="K292" i="177"/>
  <c r="L292" i="177"/>
  <c r="M292" i="177"/>
  <c r="O292" i="177"/>
  <c r="K322" i="177"/>
  <c r="L322" i="177"/>
  <c r="M322" i="177"/>
  <c r="O322" i="177"/>
  <c r="F217" i="177"/>
  <c r="H217" i="177"/>
  <c r="K217" i="177"/>
  <c r="L217" i="177"/>
  <c r="M217" i="177"/>
  <c r="O217" i="177"/>
  <c r="F206" i="177"/>
  <c r="H206" i="177"/>
  <c r="K466" i="175"/>
  <c r="L466" i="175"/>
  <c r="M466" i="175"/>
  <c r="O466" i="175"/>
  <c r="K306" i="175"/>
  <c r="L306" i="175"/>
  <c r="M306" i="175"/>
  <c r="O306" i="175"/>
  <c r="K457" i="175"/>
  <c r="L457" i="175"/>
  <c r="M457" i="175"/>
  <c r="O457" i="175"/>
  <c r="K529" i="175"/>
  <c r="L529" i="175"/>
  <c r="M529" i="175"/>
  <c r="O529" i="175"/>
  <c r="K534" i="175"/>
  <c r="L534" i="175"/>
  <c r="M534" i="175"/>
  <c r="O534" i="175"/>
  <c r="K150" i="175"/>
  <c r="L150" i="175"/>
  <c r="M150" i="175"/>
  <c r="O150" i="175"/>
  <c r="K431" i="175"/>
  <c r="L431" i="175"/>
  <c r="M431" i="175"/>
  <c r="O431" i="175"/>
  <c r="K401" i="175"/>
  <c r="L401" i="175"/>
  <c r="M401" i="175"/>
  <c r="O401" i="175"/>
  <c r="K556" i="175"/>
  <c r="L556" i="175"/>
  <c r="M556" i="175"/>
  <c r="O556" i="175"/>
  <c r="K33" i="175"/>
  <c r="L33" i="175"/>
  <c r="M33" i="175"/>
  <c r="O33" i="175"/>
  <c r="K75" i="175"/>
  <c r="L75" i="175"/>
  <c r="M75" i="175"/>
  <c r="O75" i="175"/>
  <c r="K544" i="175"/>
  <c r="L544" i="175"/>
  <c r="M544" i="175"/>
  <c r="O544" i="175"/>
  <c r="E616" i="175"/>
  <c r="E617" i="175"/>
  <c r="E620" i="175"/>
  <c r="K174" i="175"/>
  <c r="L174" i="175"/>
  <c r="M174" i="175"/>
  <c r="O174" i="175"/>
  <c r="K539" i="175"/>
  <c r="L539" i="175"/>
  <c r="M539" i="175"/>
  <c r="O539" i="175"/>
  <c r="K417" i="175"/>
  <c r="L417" i="175"/>
  <c r="M417" i="175"/>
  <c r="O417" i="175"/>
  <c r="K231" i="175"/>
  <c r="L231" i="175"/>
  <c r="M231" i="175"/>
  <c r="O231" i="175"/>
  <c r="K347" i="175"/>
  <c r="L347" i="175"/>
  <c r="M347" i="175"/>
  <c r="O347" i="175"/>
  <c r="K461" i="175"/>
  <c r="L461" i="175"/>
  <c r="M461" i="175"/>
  <c r="O461" i="175"/>
  <c r="K560" i="175"/>
  <c r="L560" i="175"/>
  <c r="M560" i="175"/>
  <c r="O560" i="175"/>
  <c r="K399" i="175"/>
  <c r="L399" i="175"/>
  <c r="M399" i="175"/>
  <c r="O399" i="175"/>
  <c r="K484" i="175"/>
  <c r="L484" i="175"/>
  <c r="M484" i="175"/>
  <c r="O484" i="175"/>
  <c r="K152" i="175"/>
  <c r="L152" i="175"/>
  <c r="M152" i="175"/>
  <c r="O152" i="175"/>
  <c r="K371" i="175"/>
  <c r="L371" i="175"/>
  <c r="M371" i="175"/>
  <c r="O371" i="175"/>
  <c r="K388" i="175"/>
  <c r="L388" i="175"/>
  <c r="M388" i="175"/>
  <c r="O388" i="175"/>
  <c r="K223" i="175"/>
  <c r="L223" i="175"/>
  <c r="M223" i="175"/>
  <c r="O223" i="175"/>
  <c r="K558" i="175"/>
  <c r="L558" i="175"/>
  <c r="M558" i="175"/>
  <c r="O558" i="175"/>
  <c r="M507" i="175"/>
  <c r="K20" i="175"/>
  <c r="L20" i="175"/>
  <c r="M20" i="175"/>
  <c r="O20" i="175"/>
  <c r="K235" i="175"/>
  <c r="L235" i="175"/>
  <c r="M235" i="175"/>
  <c r="O235" i="175"/>
  <c r="K265" i="175"/>
  <c r="L265" i="175"/>
  <c r="M265" i="175"/>
  <c r="O265" i="175"/>
  <c r="K153" i="175"/>
  <c r="L153" i="175"/>
  <c r="M153" i="175"/>
  <c r="O153" i="175"/>
  <c r="K216" i="175"/>
  <c r="L216" i="175"/>
  <c r="M216" i="175"/>
  <c r="O216" i="175"/>
  <c r="K207" i="175"/>
  <c r="L207" i="175"/>
  <c r="M207" i="175"/>
  <c r="K290" i="175"/>
  <c r="L290" i="175"/>
  <c r="M290" i="175"/>
  <c r="O290" i="175"/>
  <c r="K342" i="175"/>
  <c r="L342" i="175"/>
  <c r="M342" i="175"/>
  <c r="O342" i="175"/>
  <c r="K57" i="175"/>
  <c r="L57" i="175"/>
  <c r="M57" i="175"/>
  <c r="O57" i="175"/>
  <c r="K494" i="175"/>
  <c r="L494" i="175"/>
  <c r="M494" i="175"/>
  <c r="O494" i="175"/>
  <c r="K165" i="175"/>
  <c r="L165" i="175"/>
  <c r="M165" i="175"/>
  <c r="K331" i="175"/>
  <c r="L331" i="175"/>
  <c r="M331" i="175"/>
  <c r="O331" i="175"/>
  <c r="K101" i="175"/>
  <c r="L101" i="175"/>
  <c r="M101" i="175"/>
  <c r="O101" i="175"/>
  <c r="K240" i="175"/>
  <c r="L240" i="175"/>
  <c r="M240" i="175"/>
  <c r="O240" i="175"/>
  <c r="K413" i="175"/>
  <c r="L413" i="175"/>
  <c r="M413" i="175"/>
  <c r="O413" i="175"/>
  <c r="K140" i="175"/>
  <c r="L140" i="175"/>
  <c r="M140" i="175"/>
  <c r="K336" i="175"/>
  <c r="L336" i="175"/>
  <c r="M336" i="175"/>
  <c r="O336" i="175"/>
  <c r="K434" i="175"/>
  <c r="L434" i="175"/>
  <c r="M434" i="175"/>
  <c r="O434" i="175"/>
  <c r="K42" i="175"/>
  <c r="L42" i="175"/>
  <c r="M42" i="175"/>
  <c r="O42" i="175"/>
  <c r="K327" i="175"/>
  <c r="L327" i="175"/>
  <c r="M327" i="175"/>
  <c r="O327" i="175"/>
  <c r="K459" i="175"/>
  <c r="L459" i="175"/>
  <c r="M459" i="175"/>
  <c r="O459" i="175"/>
  <c r="K264" i="175"/>
  <c r="L264" i="175"/>
  <c r="M264" i="175"/>
  <c r="O264" i="175"/>
  <c r="K148" i="175"/>
  <c r="L148" i="175"/>
  <c r="M148" i="175"/>
  <c r="O148" i="175"/>
  <c r="K531" i="175"/>
  <c r="L531" i="175"/>
  <c r="M531" i="175"/>
  <c r="O531" i="175"/>
  <c r="K469" i="175"/>
  <c r="L469" i="175"/>
  <c r="M469" i="175"/>
  <c r="O469" i="175"/>
  <c r="K522" i="175"/>
  <c r="L522" i="175"/>
  <c r="M522" i="175"/>
  <c r="O522" i="175"/>
  <c r="K212" i="175"/>
  <c r="L212" i="175"/>
  <c r="M212" i="175"/>
  <c r="O212" i="175"/>
  <c r="K221" i="175"/>
  <c r="L221" i="175"/>
  <c r="M221" i="175"/>
  <c r="O221" i="175"/>
  <c r="K246" i="175"/>
  <c r="L246" i="175"/>
  <c r="M246" i="175"/>
  <c r="O246" i="175"/>
  <c r="K476" i="175"/>
  <c r="L476" i="175"/>
  <c r="M476" i="175"/>
  <c r="O476" i="175"/>
  <c r="K490" i="175"/>
  <c r="L490" i="175"/>
  <c r="M490" i="175"/>
  <c r="O490" i="175"/>
  <c r="K538" i="175"/>
  <c r="L538" i="175"/>
  <c r="M538" i="175"/>
  <c r="O538" i="175"/>
  <c r="K149" i="175"/>
  <c r="L149" i="175"/>
  <c r="M149" i="175"/>
  <c r="O149" i="175"/>
  <c r="K46" i="175"/>
  <c r="L46" i="175"/>
  <c r="M46" i="175"/>
  <c r="O46" i="175"/>
  <c r="K266" i="175"/>
  <c r="L266" i="175"/>
  <c r="M266" i="175"/>
  <c r="O266" i="175"/>
  <c r="K391" i="175"/>
  <c r="L391" i="175"/>
  <c r="M391" i="175"/>
  <c r="O391" i="175"/>
  <c r="K350" i="175"/>
  <c r="L350" i="175"/>
  <c r="M350" i="175"/>
  <c r="O350" i="175"/>
  <c r="K471" i="175"/>
  <c r="L471" i="175"/>
  <c r="M471" i="175"/>
  <c r="O471" i="175"/>
  <c r="K513" i="175"/>
  <c r="L513" i="175"/>
  <c r="M513" i="175"/>
  <c r="K436" i="175"/>
  <c r="L436" i="175"/>
  <c r="M436" i="175"/>
  <c r="O436" i="175"/>
  <c r="K489" i="175"/>
  <c r="L489" i="175"/>
  <c r="M489" i="175"/>
  <c r="O489" i="175"/>
  <c r="K93" i="175"/>
  <c r="L93" i="175"/>
  <c r="M93" i="175"/>
  <c r="O93" i="175"/>
  <c r="K119" i="175"/>
  <c r="L119" i="175"/>
  <c r="M119" i="175"/>
  <c r="O119" i="175"/>
  <c r="K308" i="175"/>
  <c r="L308" i="175"/>
  <c r="M308" i="175"/>
  <c r="O308" i="175"/>
  <c r="K416" i="175"/>
  <c r="L416" i="175"/>
  <c r="M416" i="175"/>
  <c r="O416" i="175"/>
  <c r="K182" i="175"/>
  <c r="L182" i="175"/>
  <c r="M182" i="175"/>
  <c r="O182" i="175"/>
  <c r="K465" i="175"/>
  <c r="L465" i="175"/>
  <c r="M465" i="175"/>
  <c r="O465" i="175"/>
  <c r="K224" i="175"/>
  <c r="L224" i="175"/>
  <c r="M224" i="175"/>
  <c r="O224" i="175"/>
  <c r="K166" i="175"/>
  <c r="L166" i="175"/>
  <c r="M166" i="175"/>
  <c r="O166" i="175"/>
  <c r="K237" i="175"/>
  <c r="L237" i="175"/>
  <c r="M237" i="175"/>
  <c r="O237" i="175"/>
  <c r="K338" i="175"/>
  <c r="L338" i="175"/>
  <c r="M338" i="175"/>
  <c r="O338" i="175"/>
  <c r="K479" i="175"/>
  <c r="L479" i="175"/>
  <c r="M479" i="175"/>
  <c r="O479" i="175"/>
  <c r="K315" i="175"/>
  <c r="L315" i="175"/>
  <c r="M315" i="175"/>
  <c r="O315" i="175"/>
  <c r="K39" i="175"/>
  <c r="L39" i="175"/>
  <c r="M39" i="175"/>
  <c r="O39" i="175"/>
  <c r="K155" i="175"/>
  <c r="L155" i="175"/>
  <c r="M155" i="175"/>
  <c r="O155" i="175"/>
  <c r="K260" i="175"/>
  <c r="L260" i="175"/>
  <c r="M260" i="175"/>
  <c r="O260" i="175"/>
  <c r="K269" i="175"/>
  <c r="L269" i="175"/>
  <c r="M269" i="175"/>
  <c r="O269" i="175"/>
  <c r="K453" i="175"/>
  <c r="L453" i="175"/>
  <c r="M453" i="175"/>
  <c r="O453" i="175"/>
  <c r="K353" i="175"/>
  <c r="L353" i="175"/>
  <c r="M353" i="175"/>
  <c r="O353" i="175"/>
  <c r="K367" i="175"/>
  <c r="L367" i="175"/>
  <c r="M367" i="175"/>
  <c r="O367" i="175"/>
  <c r="K426" i="175"/>
  <c r="L426" i="175"/>
  <c r="M426" i="175"/>
  <c r="O426" i="175"/>
  <c r="K532" i="175"/>
  <c r="L532" i="175"/>
  <c r="M532" i="175"/>
  <c r="O532" i="175"/>
  <c r="K168" i="175"/>
  <c r="L168" i="175"/>
  <c r="M168" i="175"/>
  <c r="O168" i="175"/>
  <c r="K373" i="175"/>
  <c r="L373" i="175"/>
  <c r="M373" i="175"/>
  <c r="O373" i="175"/>
  <c r="K390" i="175"/>
  <c r="L390" i="175"/>
  <c r="M390" i="175"/>
  <c r="O390" i="175"/>
  <c r="K408" i="175"/>
  <c r="L408" i="175"/>
  <c r="M408" i="175"/>
  <c r="O408" i="175"/>
  <c r="K502" i="175"/>
  <c r="L502" i="175"/>
  <c r="M502" i="175"/>
  <c r="O502" i="175"/>
  <c r="K133" i="175"/>
  <c r="L133" i="175"/>
  <c r="M133" i="175"/>
  <c r="O133" i="175"/>
  <c r="K178" i="175"/>
  <c r="L178" i="175"/>
  <c r="M178" i="175"/>
  <c r="O178" i="175"/>
  <c r="K244" i="175"/>
  <c r="L244" i="175"/>
  <c r="M244" i="175"/>
  <c r="O244" i="175"/>
  <c r="K392" i="175"/>
  <c r="L392" i="175"/>
  <c r="M392" i="175"/>
  <c r="O392" i="175"/>
  <c r="K505" i="175"/>
  <c r="L505" i="175"/>
  <c r="M505" i="175"/>
  <c r="O505" i="175"/>
  <c r="K464" i="175"/>
  <c r="L464" i="175"/>
  <c r="M464" i="175"/>
  <c r="O464" i="175"/>
  <c r="K324" i="175"/>
  <c r="L324" i="175"/>
  <c r="M324" i="175"/>
  <c r="K222" i="175"/>
  <c r="L222" i="175"/>
  <c r="M222" i="175"/>
  <c r="O222" i="175"/>
  <c r="K380" i="175"/>
  <c r="L380" i="175"/>
  <c r="M380" i="175"/>
  <c r="O380" i="175"/>
  <c r="K427" i="175"/>
  <c r="L427" i="175"/>
  <c r="M427" i="175"/>
  <c r="O427" i="175"/>
  <c r="K365" i="175"/>
  <c r="L365" i="175"/>
  <c r="M365" i="175"/>
  <c r="O365" i="175"/>
  <c r="K272" i="175"/>
  <c r="L272" i="175"/>
  <c r="M272" i="175"/>
  <c r="O272" i="175"/>
  <c r="K451" i="175"/>
  <c r="L451" i="175"/>
  <c r="M451" i="175"/>
  <c r="O451" i="175"/>
  <c r="K526" i="175"/>
  <c r="L526" i="175"/>
  <c r="M526" i="175"/>
  <c r="O526" i="175"/>
  <c r="K527" i="175"/>
  <c r="L527" i="175"/>
  <c r="M527" i="175"/>
  <c r="O527" i="175"/>
  <c r="C579" i="175"/>
  <c r="J581" i="175"/>
  <c r="K169" i="175"/>
  <c r="L169" i="175"/>
  <c r="M169" i="175"/>
  <c r="O169" i="175"/>
  <c r="K190" i="175"/>
  <c r="L190" i="175"/>
  <c r="M190" i="175"/>
  <c r="O190" i="175"/>
  <c r="K301" i="175"/>
  <c r="L301" i="175"/>
  <c r="M301" i="175"/>
  <c r="O301" i="175"/>
  <c r="K428" i="175"/>
  <c r="L428" i="175"/>
  <c r="M428" i="175"/>
  <c r="O428" i="175"/>
  <c r="K171" i="175"/>
  <c r="L171" i="175"/>
  <c r="M171" i="175"/>
  <c r="O171" i="175"/>
  <c r="K88" i="175"/>
  <c r="L88" i="175"/>
  <c r="M88" i="175"/>
  <c r="O88" i="175"/>
  <c r="K441" i="175"/>
  <c r="L441" i="175"/>
  <c r="M441" i="175"/>
  <c r="O441" i="175"/>
  <c r="K156" i="175"/>
  <c r="L156" i="175"/>
  <c r="M156" i="175"/>
  <c r="O156" i="175"/>
  <c r="K358" i="175"/>
  <c r="L358" i="175"/>
  <c r="M358" i="175"/>
  <c r="O358" i="175"/>
  <c r="K278" i="175"/>
  <c r="L278" i="175"/>
  <c r="M278" i="175"/>
  <c r="O278" i="175"/>
  <c r="K329" i="175"/>
  <c r="L329" i="175"/>
  <c r="M329" i="175"/>
  <c r="O329" i="175"/>
  <c r="K497" i="175"/>
  <c r="L497" i="175"/>
  <c r="M497" i="175"/>
  <c r="O497" i="175"/>
  <c r="K227" i="175"/>
  <c r="L227" i="175"/>
  <c r="M227" i="175"/>
  <c r="O227" i="175"/>
  <c r="K432" i="175"/>
  <c r="L432" i="175"/>
  <c r="M432" i="175"/>
  <c r="O432" i="175"/>
  <c r="K44" i="175"/>
  <c r="L44" i="175"/>
  <c r="M44" i="175"/>
  <c r="O44" i="175"/>
  <c r="K62" i="175"/>
  <c r="L62" i="175"/>
  <c r="M62" i="175"/>
  <c r="O62" i="175"/>
  <c r="K218" i="175"/>
  <c r="L218" i="175"/>
  <c r="M218" i="175"/>
  <c r="O218" i="175"/>
  <c r="K286" i="175"/>
  <c r="L286" i="175"/>
  <c r="M286" i="175"/>
  <c r="O286" i="175"/>
  <c r="K409" i="175"/>
  <c r="L409" i="175"/>
  <c r="M409" i="175"/>
  <c r="O409" i="175"/>
  <c r="K420" i="175"/>
  <c r="L420" i="175"/>
  <c r="M420" i="175"/>
  <c r="O420" i="175"/>
  <c r="K514" i="175"/>
  <c r="L514" i="175"/>
  <c r="M514" i="175"/>
  <c r="O514" i="175"/>
  <c r="K530" i="175"/>
  <c r="L530" i="175"/>
  <c r="M530" i="175"/>
  <c r="O530" i="175"/>
  <c r="K554" i="175"/>
  <c r="L554" i="175"/>
  <c r="M554" i="175"/>
  <c r="O554" i="175"/>
  <c r="K288" i="175"/>
  <c r="L288" i="175"/>
  <c r="M288" i="175"/>
  <c r="O288" i="175"/>
  <c r="K543" i="175"/>
  <c r="L543" i="175"/>
  <c r="M543" i="175"/>
  <c r="O543" i="175"/>
  <c r="K220" i="175"/>
  <c r="L220" i="175"/>
  <c r="M220" i="175"/>
  <c r="O220" i="175"/>
  <c r="K271" i="175"/>
  <c r="L271" i="175"/>
  <c r="M271" i="175"/>
  <c r="O271" i="175"/>
  <c r="K77" i="175"/>
  <c r="L77" i="175"/>
  <c r="M77" i="175"/>
  <c r="O77" i="175"/>
  <c r="K214" i="175"/>
  <c r="L214" i="175"/>
  <c r="M214" i="175"/>
  <c r="O214" i="175"/>
  <c r="K280" i="175"/>
  <c r="L280" i="175"/>
  <c r="M280" i="175"/>
  <c r="O280" i="175"/>
  <c r="K349" i="175"/>
  <c r="L349" i="175"/>
  <c r="M349" i="175"/>
  <c r="O349" i="175"/>
  <c r="K404" i="175"/>
  <c r="L404" i="175"/>
  <c r="M404" i="175"/>
  <c r="O404" i="175"/>
  <c r="K463" i="175"/>
  <c r="L463" i="175"/>
  <c r="M463" i="175"/>
  <c r="O463" i="175"/>
  <c r="K504" i="175"/>
  <c r="L504" i="175"/>
  <c r="M504" i="175"/>
  <c r="O504" i="175"/>
  <c r="K56" i="175"/>
  <c r="L56" i="175"/>
  <c r="M56" i="175"/>
  <c r="O56" i="175"/>
  <c r="K128" i="175"/>
  <c r="L128" i="175"/>
  <c r="M128" i="175"/>
  <c r="O128" i="175"/>
  <c r="K175" i="175"/>
  <c r="L175" i="175"/>
  <c r="M175" i="175"/>
  <c r="O175" i="175"/>
  <c r="K561" i="175"/>
  <c r="L561" i="175"/>
  <c r="M561" i="175"/>
  <c r="O561" i="175"/>
  <c r="K357" i="175"/>
  <c r="L357" i="175"/>
  <c r="M357" i="175"/>
  <c r="O357" i="175"/>
  <c r="K279" i="175"/>
  <c r="L279" i="175"/>
  <c r="M279" i="175"/>
  <c r="O279" i="175"/>
  <c r="K363" i="175"/>
  <c r="L363" i="175"/>
  <c r="M363" i="175"/>
  <c r="O363" i="175"/>
  <c r="K48" i="175"/>
  <c r="L48" i="175"/>
  <c r="M48" i="175"/>
  <c r="O48" i="175"/>
  <c r="K100" i="175"/>
  <c r="L100" i="175"/>
  <c r="M100" i="175"/>
  <c r="P108" i="175"/>
  <c r="K195" i="175"/>
  <c r="L195" i="175"/>
  <c r="M195" i="175"/>
  <c r="O195" i="175"/>
  <c r="K276" i="175"/>
  <c r="L276" i="175"/>
  <c r="M276" i="175"/>
  <c r="O276" i="175"/>
  <c r="K300" i="175"/>
  <c r="L300" i="175"/>
  <c r="M300" i="175"/>
  <c r="O300" i="175"/>
  <c r="K354" i="175"/>
  <c r="L354" i="175"/>
  <c r="M354" i="175"/>
  <c r="O354" i="175"/>
  <c r="K378" i="175"/>
  <c r="L378" i="175"/>
  <c r="M378" i="175"/>
  <c r="O378" i="175"/>
  <c r="K154" i="175"/>
  <c r="L154" i="175"/>
  <c r="M154" i="175"/>
  <c r="O154" i="175"/>
  <c r="K211" i="175"/>
  <c r="L211" i="175"/>
  <c r="M211" i="175"/>
  <c r="O211" i="175"/>
  <c r="K311" i="175"/>
  <c r="L311" i="175"/>
  <c r="M311" i="175"/>
  <c r="O311" i="175"/>
  <c r="K326" i="175"/>
  <c r="L326" i="175"/>
  <c r="M326" i="175"/>
  <c r="O326" i="175"/>
  <c r="K393" i="175"/>
  <c r="L393" i="175"/>
  <c r="M393" i="175"/>
  <c r="O393" i="175"/>
  <c r="K262" i="175"/>
  <c r="L262" i="175"/>
  <c r="M262" i="175"/>
  <c r="O262" i="175"/>
  <c r="K34" i="175"/>
  <c r="L34" i="175"/>
  <c r="M34" i="175"/>
  <c r="O34" i="175"/>
  <c r="K268" i="175"/>
  <c r="L268" i="175"/>
  <c r="M268" i="175"/>
  <c r="O268" i="175"/>
  <c r="K379" i="175"/>
  <c r="L379" i="175"/>
  <c r="M379" i="175"/>
  <c r="O379" i="175"/>
  <c r="K495" i="175"/>
  <c r="L495" i="175"/>
  <c r="M495" i="175"/>
  <c r="O495" i="175"/>
  <c r="K506" i="175"/>
  <c r="L506" i="175"/>
  <c r="M506" i="175"/>
  <c r="O506" i="175"/>
  <c r="K332" i="175"/>
  <c r="L332" i="175"/>
  <c r="M332" i="175"/>
  <c r="O332" i="175"/>
  <c r="J153" i="176"/>
  <c r="K153" i="176"/>
  <c r="L153" i="176"/>
  <c r="M153" i="176"/>
  <c r="O153" i="176"/>
  <c r="K217" i="175"/>
  <c r="L217" i="175"/>
  <c r="M217" i="175"/>
  <c r="O217" i="175"/>
  <c r="K333" i="175"/>
  <c r="L333" i="175"/>
  <c r="M333" i="175"/>
  <c r="O333" i="175"/>
  <c r="K395" i="175"/>
  <c r="L395" i="175"/>
  <c r="M395" i="175"/>
  <c r="O395" i="175"/>
  <c r="K209" i="175"/>
  <c r="L209" i="175"/>
  <c r="M209" i="175"/>
  <c r="O209" i="175"/>
  <c r="K341" i="175"/>
  <c r="L341" i="175"/>
  <c r="M341" i="175"/>
  <c r="O341" i="175"/>
  <c r="K480" i="175"/>
  <c r="L480" i="175"/>
  <c r="M480" i="175"/>
  <c r="O480" i="175"/>
  <c r="K312" i="175"/>
  <c r="L312" i="175"/>
  <c r="M312" i="175"/>
  <c r="O312" i="175"/>
  <c r="K351" i="175"/>
  <c r="L351" i="175"/>
  <c r="M351" i="175"/>
  <c r="O351" i="175"/>
  <c r="K442" i="175"/>
  <c r="L442" i="175"/>
  <c r="M442" i="175"/>
  <c r="O442" i="175"/>
  <c r="K540" i="175"/>
  <c r="L540" i="175"/>
  <c r="M540" i="175"/>
  <c r="O540" i="175"/>
  <c r="K249" i="175"/>
  <c r="L249" i="175"/>
  <c r="M249" i="175"/>
  <c r="O249" i="175"/>
  <c r="K573" i="175"/>
  <c r="L573" i="175"/>
  <c r="M573" i="175"/>
  <c r="O573" i="175"/>
  <c r="K414" i="175"/>
  <c r="L414" i="175"/>
  <c r="M414" i="175"/>
  <c r="O414" i="175"/>
  <c r="K520" i="175"/>
  <c r="L520" i="175"/>
  <c r="M520" i="175"/>
  <c r="O520" i="175"/>
  <c r="K213" i="175"/>
  <c r="L213" i="175"/>
  <c r="M213" i="175"/>
  <c r="O213" i="175"/>
  <c r="K230" i="175"/>
  <c r="L230" i="175"/>
  <c r="M230" i="175"/>
  <c r="O230" i="175"/>
  <c r="K242" i="175"/>
  <c r="L242" i="175"/>
  <c r="M242" i="175"/>
  <c r="O242" i="175"/>
  <c r="K275" i="175"/>
  <c r="L275" i="175"/>
  <c r="M275" i="175"/>
  <c r="O275" i="175"/>
  <c r="K297" i="175"/>
  <c r="L297" i="175"/>
  <c r="M297" i="175"/>
  <c r="O297" i="175"/>
  <c r="K330" i="175"/>
  <c r="L330" i="175"/>
  <c r="M330" i="175"/>
  <c r="O330" i="175"/>
  <c r="K337" i="175"/>
  <c r="L337" i="175"/>
  <c r="M337" i="175"/>
  <c r="O337" i="175"/>
  <c r="K368" i="175"/>
  <c r="L368" i="175"/>
  <c r="M368" i="175"/>
  <c r="O368" i="175"/>
  <c r="K475" i="175"/>
  <c r="L475" i="175"/>
  <c r="M475" i="175"/>
  <c r="O475" i="175"/>
  <c r="K17" i="175"/>
  <c r="L17" i="175"/>
  <c r="M17" i="175"/>
  <c r="K185" i="175"/>
  <c r="L185" i="175"/>
  <c r="M185" i="175"/>
  <c r="O185" i="175"/>
  <c r="L616" i="175"/>
  <c r="L617" i="175"/>
  <c r="L620" i="175"/>
  <c r="K80" i="175"/>
  <c r="L80" i="175"/>
  <c r="M80" i="175"/>
  <c r="O80" i="175"/>
  <c r="K103" i="175"/>
  <c r="L103" i="175"/>
  <c r="M103" i="175"/>
  <c r="O103" i="175"/>
  <c r="K167" i="175"/>
  <c r="L167" i="175"/>
  <c r="M167" i="175"/>
  <c r="O167" i="175"/>
  <c r="K183" i="175"/>
  <c r="L183" i="175"/>
  <c r="M183" i="175"/>
  <c r="O183" i="175"/>
  <c r="K270" i="175"/>
  <c r="L270" i="175"/>
  <c r="M270" i="175"/>
  <c r="O270" i="175"/>
  <c r="K355" i="175"/>
  <c r="L355" i="175"/>
  <c r="M355" i="175"/>
  <c r="O355" i="175"/>
  <c r="K389" i="175"/>
  <c r="L389" i="175"/>
  <c r="M389" i="175"/>
  <c r="O389" i="175"/>
  <c r="K430" i="175"/>
  <c r="L430" i="175"/>
  <c r="M430" i="175"/>
  <c r="O430" i="175"/>
  <c r="K565" i="175"/>
  <c r="L565" i="175"/>
  <c r="M565" i="175"/>
  <c r="O565" i="175"/>
  <c r="K248" i="175"/>
  <c r="L248" i="175"/>
  <c r="M248" i="175"/>
  <c r="O248" i="175"/>
  <c r="K287" i="175"/>
  <c r="L287" i="175"/>
  <c r="M287" i="175"/>
  <c r="O287" i="175"/>
  <c r="K346" i="175"/>
  <c r="L346" i="175"/>
  <c r="M346" i="175"/>
  <c r="O346" i="175"/>
  <c r="K397" i="175"/>
  <c r="L397" i="175"/>
  <c r="M397" i="175"/>
  <c r="O397" i="175"/>
  <c r="K410" i="175"/>
  <c r="L410" i="175"/>
  <c r="M410" i="175"/>
  <c r="O410" i="175"/>
  <c r="K521" i="175"/>
  <c r="L521" i="175"/>
  <c r="M521" i="175"/>
  <c r="O521" i="175"/>
  <c r="K59" i="175"/>
  <c r="L59" i="175"/>
  <c r="M59" i="175"/>
  <c r="O59" i="175"/>
  <c r="K198" i="175"/>
  <c r="L198" i="175"/>
  <c r="M198" i="175"/>
  <c r="O198" i="175"/>
  <c r="K226" i="175"/>
  <c r="L226" i="175"/>
  <c r="M226" i="175"/>
  <c r="O226" i="175"/>
  <c r="K219" i="175"/>
  <c r="L219" i="175"/>
  <c r="M219" i="175"/>
  <c r="O219" i="175"/>
  <c r="K481" i="175"/>
  <c r="L481" i="175"/>
  <c r="M481" i="175"/>
  <c r="O481" i="175"/>
  <c r="K499" i="175"/>
  <c r="L499" i="175"/>
  <c r="M499" i="175"/>
  <c r="O499" i="175"/>
  <c r="K572" i="175"/>
  <c r="L572" i="175"/>
  <c r="M572" i="175"/>
  <c r="K180" i="175"/>
  <c r="L180" i="175"/>
  <c r="M180" i="175"/>
  <c r="O180" i="175"/>
  <c r="K339" i="175"/>
  <c r="L339" i="175"/>
  <c r="M339" i="175"/>
  <c r="O339" i="175"/>
  <c r="K493" i="175"/>
  <c r="L493" i="175"/>
  <c r="M493" i="175"/>
  <c r="O493" i="175"/>
  <c r="K557" i="175"/>
  <c r="L557" i="175"/>
  <c r="M557" i="175"/>
  <c r="O557" i="175"/>
  <c r="K462" i="175"/>
  <c r="L462" i="175"/>
  <c r="M462" i="175"/>
  <c r="O462" i="175"/>
  <c r="K87" i="175"/>
  <c r="L87" i="175"/>
  <c r="M87" i="175"/>
  <c r="K483" i="175"/>
  <c r="L483" i="175"/>
  <c r="M483" i="175"/>
  <c r="O483" i="175"/>
  <c r="K113" i="175"/>
  <c r="L113" i="175"/>
  <c r="M113" i="175"/>
  <c r="K291" i="175"/>
  <c r="L291" i="175"/>
  <c r="M291" i="175"/>
  <c r="O291" i="175"/>
  <c r="K421" i="175"/>
  <c r="L421" i="175"/>
  <c r="M421" i="175"/>
  <c r="O421" i="175"/>
  <c r="K547" i="175"/>
  <c r="L547" i="175"/>
  <c r="M547" i="175"/>
  <c r="O547" i="175"/>
  <c r="K263" i="175"/>
  <c r="L263" i="175"/>
  <c r="M263" i="175"/>
  <c r="O263" i="175"/>
  <c r="J189" i="176"/>
  <c r="K189" i="176"/>
  <c r="L189" i="176"/>
  <c r="M189" i="176"/>
  <c r="K525" i="175"/>
  <c r="L525" i="175"/>
  <c r="M525" i="175"/>
  <c r="O525" i="175"/>
  <c r="K90" i="175"/>
  <c r="L90" i="175"/>
  <c r="M90" i="175"/>
  <c r="O90" i="175"/>
  <c r="K179" i="175"/>
  <c r="L179" i="175"/>
  <c r="M179" i="175"/>
  <c r="O179" i="175"/>
  <c r="K282" i="175"/>
  <c r="L282" i="175"/>
  <c r="M282" i="175"/>
  <c r="O282" i="175"/>
  <c r="K305" i="175"/>
  <c r="L305" i="175"/>
  <c r="M305" i="175"/>
  <c r="O305" i="175"/>
  <c r="K328" i="175"/>
  <c r="L328" i="175"/>
  <c r="M328" i="175"/>
  <c r="O328" i="175"/>
  <c r="K516" i="175"/>
  <c r="L516" i="175"/>
  <c r="M516" i="175"/>
  <c r="O516" i="175"/>
  <c r="K574" i="175"/>
  <c r="L574" i="175"/>
  <c r="M574" i="175"/>
  <c r="O574" i="175"/>
  <c r="K456" i="175"/>
  <c r="L456" i="175"/>
  <c r="M456" i="175"/>
  <c r="O456" i="175"/>
  <c r="K173" i="175"/>
  <c r="L173" i="175"/>
  <c r="M173" i="175"/>
  <c r="O173" i="175"/>
  <c r="K450" i="175"/>
  <c r="L450" i="175"/>
  <c r="M450" i="175"/>
  <c r="K258" i="175"/>
  <c r="L258" i="175"/>
  <c r="M258" i="175"/>
  <c r="O258" i="175"/>
  <c r="K405" i="175"/>
  <c r="L405" i="175"/>
  <c r="M405" i="175"/>
  <c r="O405" i="175"/>
  <c r="K524" i="175"/>
  <c r="L524" i="175"/>
  <c r="M524" i="175"/>
  <c r="O524" i="175"/>
  <c r="K549" i="175"/>
  <c r="L549" i="175"/>
  <c r="M549" i="175"/>
  <c r="O549" i="175"/>
  <c r="J126" i="176"/>
  <c r="F126" i="176"/>
  <c r="H126" i="176"/>
  <c r="K199" i="175"/>
  <c r="L199" i="175"/>
  <c r="M199" i="175"/>
  <c r="O199" i="175"/>
  <c r="K345" i="175"/>
  <c r="L345" i="175"/>
  <c r="M345" i="175"/>
  <c r="O345" i="175"/>
  <c r="K74" i="175"/>
  <c r="L74" i="175"/>
  <c r="M74" i="175"/>
  <c r="K187" i="175"/>
  <c r="L187" i="175"/>
  <c r="M187" i="175"/>
  <c r="O187" i="175"/>
  <c r="K438" i="175"/>
  <c r="L438" i="175"/>
  <c r="M438" i="175"/>
  <c r="O438" i="175"/>
  <c r="K501" i="175"/>
  <c r="L501" i="175"/>
  <c r="M501" i="175"/>
  <c r="O501" i="175"/>
  <c r="K172" i="175"/>
  <c r="L172" i="175"/>
  <c r="M172" i="175"/>
  <c r="O172" i="175"/>
  <c r="K188" i="175"/>
  <c r="L188" i="175"/>
  <c r="M188" i="175"/>
  <c r="O188" i="175"/>
  <c r="K200" i="175"/>
  <c r="L200" i="175"/>
  <c r="M200" i="175"/>
  <c r="O200" i="175"/>
  <c r="K298" i="175"/>
  <c r="L298" i="175"/>
  <c r="M298" i="175"/>
  <c r="O298" i="175"/>
  <c r="K452" i="175"/>
  <c r="L452" i="175"/>
  <c r="M452" i="175"/>
  <c r="O452" i="175"/>
  <c r="K30" i="175"/>
  <c r="L30" i="175"/>
  <c r="M30" i="175"/>
  <c r="K55" i="175"/>
  <c r="L55" i="175"/>
  <c r="M55" i="175"/>
  <c r="K317" i="175"/>
  <c r="L317" i="175"/>
  <c r="M317" i="175"/>
  <c r="O317" i="175"/>
  <c r="K364" i="175"/>
  <c r="L364" i="175"/>
  <c r="M364" i="175"/>
  <c r="O364" i="175"/>
  <c r="K372" i="175"/>
  <c r="L372" i="175"/>
  <c r="M372" i="175"/>
  <c r="O372" i="175"/>
  <c r="K458" i="175"/>
  <c r="L458" i="175"/>
  <c r="M458" i="175"/>
  <c r="O458" i="175"/>
  <c r="K477" i="175"/>
  <c r="L477" i="175"/>
  <c r="M477" i="175"/>
  <c r="O477" i="175"/>
  <c r="K398" i="175"/>
  <c r="L398" i="175"/>
  <c r="M398" i="175"/>
  <c r="O398" i="175"/>
  <c r="K486" i="175"/>
  <c r="L486" i="175"/>
  <c r="M486" i="175"/>
  <c r="O486" i="175"/>
  <c r="K257" i="175"/>
  <c r="L257" i="175"/>
  <c r="M257" i="175"/>
  <c r="K31" i="175"/>
  <c r="L31" i="175"/>
  <c r="M31" i="175"/>
  <c r="O31" i="175"/>
  <c r="K126" i="175"/>
  <c r="L126" i="175"/>
  <c r="M126" i="175"/>
  <c r="O126" i="175"/>
  <c r="K335" i="175"/>
  <c r="L335" i="175"/>
  <c r="M335" i="175"/>
  <c r="O335" i="175"/>
  <c r="K515" i="175"/>
  <c r="L515" i="175"/>
  <c r="M515" i="175"/>
  <c r="O515" i="175"/>
  <c r="K394" i="175"/>
  <c r="L394" i="175"/>
  <c r="M394" i="175"/>
  <c r="O394" i="175"/>
  <c r="K523" i="175"/>
  <c r="L523" i="175"/>
  <c r="M523" i="175"/>
  <c r="O523" i="175"/>
  <c r="K194" i="175"/>
  <c r="L194" i="175"/>
  <c r="M194" i="175"/>
  <c r="O194" i="175"/>
  <c r="K460" i="175"/>
  <c r="L460" i="175"/>
  <c r="M460" i="175"/>
  <c r="O460" i="175"/>
  <c r="K542" i="175"/>
  <c r="L542" i="175"/>
  <c r="M542" i="175"/>
  <c r="O542" i="175"/>
  <c r="K208" i="175"/>
  <c r="L208" i="175"/>
  <c r="M208" i="175"/>
  <c r="O208" i="175"/>
  <c r="K61" i="175"/>
  <c r="L61" i="175"/>
  <c r="M61" i="175"/>
  <c r="O61" i="175"/>
  <c r="K114" i="175"/>
  <c r="L114" i="175"/>
  <c r="M114" i="175"/>
  <c r="O114" i="175"/>
  <c r="K130" i="175"/>
  <c r="L130" i="175"/>
  <c r="M130" i="175"/>
  <c r="O130" i="175"/>
  <c r="K273" i="175"/>
  <c r="L273" i="175"/>
  <c r="M273" i="175"/>
  <c r="O273" i="175"/>
  <c r="K302" i="175"/>
  <c r="L302" i="175"/>
  <c r="M302" i="175"/>
  <c r="O302" i="175"/>
  <c r="K234" i="175"/>
  <c r="L234" i="175"/>
  <c r="M234" i="175"/>
  <c r="O234" i="175"/>
  <c r="K245" i="175"/>
  <c r="L245" i="175"/>
  <c r="M245" i="175"/>
  <c r="O245" i="175"/>
  <c r="K274" i="175"/>
  <c r="L274" i="175"/>
  <c r="M274" i="175"/>
  <c r="O274" i="175"/>
  <c r="K325" i="175"/>
  <c r="L325" i="175"/>
  <c r="M325" i="175"/>
  <c r="O325" i="175"/>
  <c r="K396" i="175"/>
  <c r="L396" i="175"/>
  <c r="M396" i="175"/>
  <c r="O396" i="175"/>
  <c r="K454" i="175"/>
  <c r="L454" i="175"/>
  <c r="M454" i="175"/>
  <c r="O454" i="175"/>
  <c r="K498" i="175"/>
  <c r="L498" i="175"/>
  <c r="M498" i="175"/>
  <c r="O498" i="175"/>
  <c r="K37" i="175"/>
  <c r="L37" i="175"/>
  <c r="M37" i="175"/>
  <c r="O37" i="175"/>
  <c r="K176" i="175"/>
  <c r="L176" i="175"/>
  <c r="M176" i="175"/>
  <c r="O176" i="175"/>
  <c r="K151" i="175"/>
  <c r="L151" i="175"/>
  <c r="M151" i="175"/>
  <c r="O151" i="175"/>
  <c r="K177" i="175"/>
  <c r="L177" i="175"/>
  <c r="M177" i="175"/>
  <c r="O177" i="175"/>
  <c r="K196" i="175"/>
  <c r="L196" i="175"/>
  <c r="M196" i="175"/>
  <c r="O196" i="175"/>
  <c r="K293" i="175"/>
  <c r="L293" i="175"/>
  <c r="M293" i="175"/>
  <c r="O293" i="175"/>
  <c r="K455" i="175"/>
  <c r="L455" i="175"/>
  <c r="M455" i="175"/>
  <c r="O455" i="175"/>
  <c r="K553" i="175"/>
  <c r="L553" i="175"/>
  <c r="M553" i="175"/>
  <c r="O553" i="175"/>
  <c r="K241" i="175"/>
  <c r="L241" i="175"/>
  <c r="M241" i="175"/>
  <c r="O241" i="175"/>
  <c r="K170" i="175"/>
  <c r="L170" i="175"/>
  <c r="M170" i="175"/>
  <c r="O170" i="175"/>
  <c r="K304" i="175"/>
  <c r="L304" i="175"/>
  <c r="M304" i="175"/>
  <c r="O304" i="175"/>
  <c r="K418" i="175"/>
  <c r="L418" i="175"/>
  <c r="M418" i="175"/>
  <c r="O418" i="175"/>
  <c r="K467" i="175"/>
  <c r="L467" i="175"/>
  <c r="M467" i="175"/>
  <c r="O467" i="175"/>
  <c r="K116" i="175"/>
  <c r="L116" i="175"/>
  <c r="M116" i="175"/>
  <c r="O116" i="175"/>
  <c r="K267" i="175"/>
  <c r="L267" i="175"/>
  <c r="M267" i="175"/>
  <c r="O267" i="175"/>
  <c r="K360" i="175"/>
  <c r="L360" i="175"/>
  <c r="M360" i="175"/>
  <c r="O360" i="175"/>
  <c r="K402" i="175"/>
  <c r="L402" i="175"/>
  <c r="M402" i="175"/>
  <c r="O402" i="175"/>
  <c r="K491" i="175"/>
  <c r="L491" i="175"/>
  <c r="M491" i="175"/>
  <c r="O491" i="175"/>
  <c r="K562" i="175"/>
  <c r="L562" i="175"/>
  <c r="M562" i="175"/>
  <c r="O562" i="175"/>
  <c r="K296" i="175"/>
  <c r="L296" i="175"/>
  <c r="M296" i="175"/>
  <c r="O296" i="175"/>
  <c r="K369" i="175"/>
  <c r="L369" i="175"/>
  <c r="M369" i="175"/>
  <c r="O369" i="175"/>
  <c r="K403" i="175"/>
  <c r="L403" i="175"/>
  <c r="M403" i="175"/>
  <c r="O403" i="175"/>
  <c r="K443" i="175"/>
  <c r="L443" i="175"/>
  <c r="M443" i="175"/>
  <c r="O443" i="175"/>
  <c r="K519" i="175"/>
  <c r="L519" i="175"/>
  <c r="M519" i="175"/>
  <c r="O519" i="175"/>
  <c r="K181" i="175"/>
  <c r="L181" i="175"/>
  <c r="M181" i="175"/>
  <c r="O181" i="175"/>
  <c r="K387" i="175"/>
  <c r="L387" i="175"/>
  <c r="M387" i="175"/>
  <c r="K261" i="175"/>
  <c r="L261" i="175"/>
  <c r="M261" i="175"/>
  <c r="O261" i="175"/>
  <c r="K284" i="175"/>
  <c r="L284" i="175"/>
  <c r="M284" i="175"/>
  <c r="O284" i="175"/>
  <c r="K468" i="175"/>
  <c r="L468" i="175"/>
  <c r="M468" i="175"/>
  <c r="O468" i="175"/>
  <c r="K412" i="175"/>
  <c r="L412" i="175"/>
  <c r="M412" i="175"/>
  <c r="O412" i="175"/>
  <c r="K158" i="175"/>
  <c r="L158" i="175"/>
  <c r="M158" i="175"/>
  <c r="O158" i="175"/>
  <c r="K215" i="175"/>
  <c r="L215" i="175"/>
  <c r="M215" i="175"/>
  <c r="O215" i="175"/>
  <c r="K228" i="175"/>
  <c r="L228" i="175"/>
  <c r="M228" i="175"/>
  <c r="O228" i="175"/>
  <c r="K564" i="175"/>
  <c r="L564" i="175"/>
  <c r="M564" i="175"/>
  <c r="O564" i="175"/>
  <c r="J171" i="176"/>
  <c r="F171" i="176"/>
  <c r="H171" i="176"/>
  <c r="K259" i="175"/>
  <c r="L259" i="175"/>
  <c r="M259" i="175"/>
  <c r="O259" i="175"/>
  <c r="K147" i="175"/>
  <c r="L147" i="175"/>
  <c r="M147" i="175"/>
  <c r="K210" i="175"/>
  <c r="L210" i="175"/>
  <c r="M210" i="175"/>
  <c r="O210" i="175"/>
  <c r="K334" i="175"/>
  <c r="L334" i="175"/>
  <c r="M334" i="175"/>
  <c r="O334" i="175"/>
  <c r="J180" i="176"/>
  <c r="F180" i="176"/>
  <c r="H180" i="176"/>
  <c r="F135" i="176"/>
  <c r="H135" i="176"/>
  <c r="J135" i="176"/>
  <c r="H117" i="176"/>
  <c r="K157" i="175"/>
  <c r="L157" i="175"/>
  <c r="M157" i="175"/>
  <c r="O157" i="175"/>
  <c r="K67" i="175"/>
  <c r="L67" i="175"/>
  <c r="M67" i="175"/>
  <c r="O67" i="175"/>
  <c r="K517" i="175"/>
  <c r="L517" i="175"/>
  <c r="M517" i="175"/>
  <c r="O517" i="175"/>
  <c r="J144" i="176"/>
  <c r="K144" i="176"/>
  <c r="L144" i="176"/>
  <c r="M144" i="176"/>
  <c r="J162" i="176"/>
  <c r="F162" i="176"/>
  <c r="H162" i="176"/>
  <c r="K283" i="175"/>
  <c r="L283" i="175"/>
  <c r="M283" i="175"/>
  <c r="O283" i="175"/>
  <c r="K435" i="175"/>
  <c r="L435" i="175"/>
  <c r="M435" i="175"/>
  <c r="O435" i="175"/>
  <c r="K518" i="175"/>
  <c r="L518" i="175"/>
  <c r="M518" i="175"/>
  <c r="O518" i="175"/>
  <c r="K528" i="175"/>
  <c r="L528" i="175"/>
  <c r="M528" i="175"/>
  <c r="O528" i="175"/>
  <c r="J117" i="176"/>
  <c r="K376" i="175"/>
  <c r="L376" i="175"/>
  <c r="M376" i="175"/>
  <c r="O376" i="175"/>
  <c r="K18" i="175"/>
  <c r="L18" i="175"/>
  <c r="M18" i="175"/>
  <c r="O18" i="175"/>
  <c r="K439" i="175"/>
  <c r="L439" i="175"/>
  <c r="M439" i="175"/>
  <c r="O439" i="175"/>
  <c r="K552" i="175"/>
  <c r="L552" i="175"/>
  <c r="M552" i="175"/>
  <c r="O552" i="175"/>
  <c r="K309" i="175"/>
  <c r="L309" i="175"/>
  <c r="M309" i="175"/>
  <c r="O309" i="175"/>
  <c r="K343" i="175"/>
  <c r="L343" i="175"/>
  <c r="M343" i="175"/>
  <c r="O343" i="175"/>
  <c r="K313" i="175"/>
  <c r="L313" i="175"/>
  <c r="M313" i="175"/>
  <c r="O313" i="175"/>
  <c r="K546" i="175"/>
  <c r="L546" i="175"/>
  <c r="M546" i="175"/>
  <c r="O546" i="175"/>
  <c r="K36" i="175"/>
  <c r="L36" i="175"/>
  <c r="M36" i="175"/>
  <c r="O36" i="175"/>
  <c r="K125" i="175"/>
  <c r="L125" i="175"/>
  <c r="M125" i="175"/>
  <c r="K340" i="175"/>
  <c r="L340" i="175"/>
  <c r="M340" i="175"/>
  <c r="O340" i="175"/>
  <c r="K406" i="175"/>
  <c r="L406" i="175"/>
  <c r="M406" i="175"/>
  <c r="O406" i="175"/>
  <c r="K536" i="175"/>
  <c r="L536" i="175"/>
  <c r="M536" i="175"/>
  <c r="O536" i="175"/>
  <c r="K232" i="175"/>
  <c r="L232" i="175"/>
  <c r="M232" i="175"/>
  <c r="O232" i="175"/>
  <c r="X384" i="177"/>
  <c r="J353" i="177"/>
  <c r="X388" i="177"/>
  <c r="O17" i="177"/>
  <c r="K165" i="177"/>
  <c r="L165" i="177"/>
  <c r="M165" i="177"/>
  <c r="O165" i="177"/>
  <c r="O87" i="177"/>
  <c r="X383" i="177"/>
  <c r="K175" i="177"/>
  <c r="L175" i="177"/>
  <c r="M175" i="177"/>
  <c r="O175" i="177"/>
  <c r="X385" i="177"/>
  <c r="X386" i="177"/>
  <c r="O233" i="177"/>
  <c r="T357" i="177"/>
  <c r="T361" i="177"/>
  <c r="T359" i="177"/>
  <c r="T367" i="177"/>
  <c r="P50" i="175"/>
  <c r="K171" i="176"/>
  <c r="L171" i="176"/>
  <c r="M171" i="176"/>
  <c r="P69" i="175"/>
  <c r="P82" i="175"/>
  <c r="Q82" i="175"/>
  <c r="P95" i="175"/>
  <c r="Q95" i="175"/>
  <c r="P121" i="175"/>
  <c r="P135" i="175"/>
  <c r="O140" i="175"/>
  <c r="P142" i="175"/>
  <c r="Q142" i="175"/>
  <c r="O513" i="175"/>
  <c r="P567" i="175"/>
  <c r="P160" i="175"/>
  <c r="O165" i="175"/>
  <c r="P202" i="175"/>
  <c r="O207" i="175"/>
  <c r="P251" i="175"/>
  <c r="P319" i="175"/>
  <c r="O324" i="175"/>
  <c r="P382" i="175"/>
  <c r="P445" i="175"/>
  <c r="P508" i="175"/>
  <c r="O55" i="175"/>
  <c r="Q69" i="175"/>
  <c r="O30" i="175"/>
  <c r="Q50" i="175"/>
  <c r="O100" i="175"/>
  <c r="Q108" i="175"/>
  <c r="O87" i="175"/>
  <c r="O74" i="175"/>
  <c r="O17" i="175"/>
  <c r="Q25" i="175"/>
  <c r="O113" i="175"/>
  <c r="O450" i="175"/>
  <c r="O147" i="175"/>
  <c r="O387" i="175"/>
  <c r="K126" i="176"/>
  <c r="L126" i="176"/>
  <c r="M126" i="176"/>
  <c r="P130" i="176"/>
  <c r="O125" i="175"/>
  <c r="O257" i="175"/>
  <c r="P157" i="176"/>
  <c r="Q157" i="176"/>
  <c r="K162" i="176"/>
  <c r="L162" i="176"/>
  <c r="M162" i="176"/>
  <c r="P166" i="176"/>
  <c r="O572" i="175"/>
  <c r="P575" i="175"/>
  <c r="K135" i="176"/>
  <c r="L135" i="176"/>
  <c r="M135" i="176"/>
  <c r="F198" i="176"/>
  <c r="G220" i="176"/>
  <c r="G221" i="176"/>
  <c r="I221" i="176"/>
  <c r="M210" i="176"/>
  <c r="I91" i="11"/>
  <c r="O144" i="176"/>
  <c r="P148" i="176"/>
  <c r="P139" i="176"/>
  <c r="O135" i="176"/>
  <c r="P175" i="176"/>
  <c r="O171" i="176"/>
  <c r="H198" i="176"/>
  <c r="K117" i="176"/>
  <c r="L117" i="176"/>
  <c r="M117" i="176"/>
  <c r="O189" i="176"/>
  <c r="P193" i="176"/>
  <c r="K180" i="176"/>
  <c r="L180" i="176"/>
  <c r="M180" i="176"/>
  <c r="J198" i="176"/>
  <c r="T369" i="177"/>
  <c r="T371" i="177"/>
  <c r="O126" i="176"/>
  <c r="Q251" i="175"/>
  <c r="Q160" i="175"/>
  <c r="Q382" i="175"/>
  <c r="Q445" i="175"/>
  <c r="Q508" i="175"/>
  <c r="Q121" i="175"/>
  <c r="Q319" i="175"/>
  <c r="Q135" i="175"/>
  <c r="Q567" i="175"/>
  <c r="O162" i="176"/>
  <c r="Q202" i="175"/>
  <c r="Q575" i="175"/>
  <c r="F581" i="175"/>
  <c r="G603" i="175"/>
  <c r="G604" i="175"/>
  <c r="I604" i="175"/>
  <c r="M593" i="175"/>
  <c r="H91" i="11"/>
  <c r="Q193" i="176"/>
  <c r="Q130" i="176"/>
  <c r="P185" i="176"/>
  <c r="O180" i="176"/>
  <c r="P120" i="176"/>
  <c r="O117" i="176"/>
  <c r="M199" i="176"/>
  <c r="P131" i="176"/>
  <c r="Q131" i="176"/>
  <c r="Q175" i="176"/>
  <c r="Q139" i="176"/>
  <c r="Q148" i="176"/>
  <c r="Q166" i="176"/>
  <c r="P140" i="176"/>
  <c r="Q140" i="176"/>
  <c r="R140" i="176"/>
  <c r="S140" i="176"/>
  <c r="R131" i="176"/>
  <c r="S131" i="176"/>
  <c r="O199" i="176"/>
  <c r="P176" i="176"/>
  <c r="Q176" i="176"/>
  <c r="R176" i="176"/>
  <c r="S176" i="176"/>
  <c r="H581" i="175"/>
  <c r="Q185" i="176"/>
  <c r="P186" i="176"/>
  <c r="Q186" i="176"/>
  <c r="O210" i="176"/>
  <c r="M202" i="176"/>
  <c r="I83" i="11"/>
  <c r="P82" i="176"/>
  <c r="Q82" i="176"/>
  <c r="R82" i="176"/>
  <c r="S82" i="176"/>
  <c r="P42" i="176"/>
  <c r="Q42" i="176"/>
  <c r="R42" i="176"/>
  <c r="S42" i="176"/>
  <c r="P46" i="176"/>
  <c r="Q46" i="176"/>
  <c r="R46" i="176"/>
  <c r="S46" i="176"/>
  <c r="M204" i="176"/>
  <c r="I85" i="11"/>
  <c r="P20" i="176"/>
  <c r="Q20" i="176"/>
  <c r="R20" i="176"/>
  <c r="P66" i="176"/>
  <c r="Q66" i="176"/>
  <c r="R66" i="176"/>
  <c r="S66" i="176"/>
  <c r="P113" i="176"/>
  <c r="Q113" i="176"/>
  <c r="R113" i="176"/>
  <c r="S113" i="176"/>
  <c r="M206" i="176"/>
  <c r="I87" i="11"/>
  <c r="P70" i="176"/>
  <c r="Q70" i="176"/>
  <c r="R70" i="176"/>
  <c r="S70" i="176"/>
  <c r="P58" i="176"/>
  <c r="Q58" i="176"/>
  <c r="R58" i="176"/>
  <c r="S58" i="176"/>
  <c r="P94" i="176"/>
  <c r="Q94" i="176"/>
  <c r="R94" i="176"/>
  <c r="S94" i="176"/>
  <c r="P54" i="176"/>
  <c r="Q54" i="176"/>
  <c r="R54" i="176"/>
  <c r="S54" i="176"/>
  <c r="P106" i="176"/>
  <c r="Q106" i="176"/>
  <c r="R106" i="176"/>
  <c r="S106" i="176"/>
  <c r="P102" i="176"/>
  <c r="Q102" i="176"/>
  <c r="R102" i="176"/>
  <c r="S102" i="176"/>
  <c r="P78" i="176"/>
  <c r="Q78" i="176"/>
  <c r="R78" i="176"/>
  <c r="S78" i="176"/>
  <c r="P90" i="176"/>
  <c r="Q90" i="176"/>
  <c r="R90" i="176"/>
  <c r="S90" i="176"/>
  <c r="P34" i="176"/>
  <c r="Q34" i="176"/>
  <c r="R34" i="176"/>
  <c r="S34" i="176"/>
  <c r="P30" i="176"/>
  <c r="Q30" i="176"/>
  <c r="R30" i="176"/>
  <c r="S30" i="176"/>
  <c r="P158" i="176"/>
  <c r="Q158" i="176"/>
  <c r="R158" i="176"/>
  <c r="S158" i="176"/>
  <c r="L210" i="176"/>
  <c r="P121" i="176"/>
  <c r="Q121" i="176"/>
  <c r="Q120" i="176"/>
  <c r="P194" i="176"/>
  <c r="Q194" i="176"/>
  <c r="R194" i="176"/>
  <c r="S194" i="176"/>
  <c r="P167" i="176"/>
  <c r="Q167" i="176"/>
  <c r="R167" i="176"/>
  <c r="S167" i="176"/>
  <c r="P149" i="176"/>
  <c r="Q149" i="176"/>
  <c r="R149" i="176"/>
  <c r="S149" i="176"/>
  <c r="R186" i="176"/>
  <c r="S186" i="176"/>
  <c r="O579" i="175"/>
  <c r="O582" i="175"/>
  <c r="M582" i="175"/>
  <c r="R121" i="176"/>
  <c r="S121" i="176"/>
  <c r="R198" i="176"/>
  <c r="S20" i="176"/>
  <c r="S198" i="176"/>
  <c r="O206" i="176"/>
  <c r="O204" i="176"/>
  <c r="O202" i="176"/>
  <c r="M212" i="176"/>
  <c r="O212" i="176"/>
  <c r="P26" i="175"/>
  <c r="Q26" i="175"/>
  <c r="R26" i="175"/>
  <c r="P51" i="175"/>
  <c r="Q51" i="175"/>
  <c r="R51" i="175"/>
  <c r="S51" i="175"/>
  <c r="P70" i="175"/>
  <c r="Q70" i="175"/>
  <c r="R70" i="175"/>
  <c r="S70" i="175"/>
  <c r="P83" i="175"/>
  <c r="Q83" i="175"/>
  <c r="R83" i="175"/>
  <c r="S83" i="175"/>
  <c r="P96" i="175"/>
  <c r="Q96" i="175"/>
  <c r="R96" i="175"/>
  <c r="S96" i="175"/>
  <c r="P109" i="175"/>
  <c r="Q109" i="175"/>
  <c r="R109" i="175"/>
  <c r="S109" i="175"/>
  <c r="P576" i="175"/>
  <c r="Q576" i="175"/>
  <c r="R576" i="175"/>
  <c r="P143" i="175"/>
  <c r="Q143" i="175"/>
  <c r="R143" i="175"/>
  <c r="S143" i="175"/>
  <c r="P252" i="175"/>
  <c r="Q252" i="175"/>
  <c r="R252" i="175"/>
  <c r="S252" i="175"/>
  <c r="P161" i="175"/>
  <c r="Q161" i="175"/>
  <c r="R161" i="175"/>
  <c r="S161" i="175"/>
  <c r="P383" i="175"/>
  <c r="Q383" i="175"/>
  <c r="R383" i="175"/>
  <c r="S383" i="175"/>
  <c r="P509" i="175"/>
  <c r="Q509" i="175"/>
  <c r="R509" i="175"/>
  <c r="S509" i="175"/>
  <c r="P320" i="175"/>
  <c r="Q320" i="175"/>
  <c r="R320" i="175"/>
  <c r="S320" i="175"/>
  <c r="P136" i="175"/>
  <c r="Q136" i="175"/>
  <c r="R136" i="175"/>
  <c r="S136" i="175"/>
  <c r="P568" i="175"/>
  <c r="Q568" i="175"/>
  <c r="R568" i="175"/>
  <c r="S568" i="175"/>
  <c r="P446" i="175"/>
  <c r="Q446" i="175"/>
  <c r="R446" i="175"/>
  <c r="S446" i="175"/>
  <c r="P122" i="175"/>
  <c r="Q122" i="175"/>
  <c r="R122" i="175"/>
  <c r="S122" i="175"/>
  <c r="P203" i="175"/>
  <c r="Q203" i="175"/>
  <c r="R203" i="175"/>
  <c r="S203" i="175"/>
  <c r="M587" i="175"/>
  <c r="H85" i="11"/>
  <c r="M589" i="175"/>
  <c r="H87" i="11"/>
  <c r="M585" i="175"/>
  <c r="H83" i="11"/>
  <c r="L593" i="175"/>
  <c r="O593" i="175"/>
  <c r="M214" i="176"/>
  <c r="I93" i="11"/>
  <c r="O585" i="175"/>
  <c r="O587" i="175"/>
  <c r="M595" i="175"/>
  <c r="M597" i="175"/>
  <c r="H93" i="11"/>
  <c r="O589" i="175"/>
  <c r="S26" i="175"/>
  <c r="R581" i="175"/>
  <c r="S576" i="175"/>
  <c r="O214" i="176"/>
  <c r="O216" i="176"/>
  <c r="M216" i="176"/>
  <c r="D66" i="11"/>
  <c r="O595" i="175"/>
  <c r="O597" i="175"/>
  <c r="O599" i="175"/>
  <c r="S581" i="175"/>
  <c r="M599" i="175"/>
  <c r="D64" i="11"/>
  <c r="N216" i="176"/>
  <c r="N599" i="175"/>
  <c r="E68" i="146"/>
  <c r="F68" i="146"/>
  <c r="E70" i="146"/>
  <c r="F70" i="146"/>
  <c r="P90" i="146"/>
  <c r="R91" i="146"/>
  <c r="P95" i="146"/>
  <c r="C95" i="146"/>
  <c r="P21" i="169"/>
  <c r="Q21" i="169"/>
  <c r="R21" i="169"/>
  <c r="S21" i="169"/>
  <c r="R27" i="169"/>
  <c r="S27" i="169"/>
  <c r="Q39" i="169"/>
  <c r="R40" i="169"/>
  <c r="S40" i="169"/>
  <c r="P40" i="169"/>
  <c r="Q40" i="169"/>
  <c r="Q51" i="169"/>
  <c r="R52" i="169"/>
  <c r="S52" i="169"/>
  <c r="P52" i="169"/>
  <c r="Q52" i="169"/>
  <c r="Q64" i="169"/>
  <c r="R65" i="169"/>
  <c r="S65" i="169"/>
  <c r="P65" i="169"/>
  <c r="Q65" i="169"/>
  <c r="Q77" i="169"/>
  <c r="R78" i="169"/>
  <c r="S78" i="169"/>
  <c r="P78" i="169"/>
  <c r="Q78" i="169"/>
  <c r="Q90" i="169"/>
  <c r="R91" i="169"/>
  <c r="S91" i="169"/>
  <c r="P91" i="169"/>
  <c r="Q91" i="169"/>
  <c r="Q103" i="169"/>
  <c r="R104" i="169"/>
  <c r="R110" i="169"/>
  <c r="S110" i="169"/>
  <c r="F86" i="169"/>
  <c r="H86" i="169"/>
  <c r="K38" i="169"/>
  <c r="L38" i="169"/>
  <c r="M38" i="169"/>
  <c r="O38" i="169"/>
  <c r="K62" i="169"/>
  <c r="L62" i="169"/>
  <c r="M62" i="169"/>
  <c r="O62" i="169"/>
  <c r="K96" i="169"/>
  <c r="L96" i="169"/>
  <c r="M96" i="169"/>
  <c r="O96" i="169"/>
  <c r="K23" i="169"/>
  <c r="L23" i="169"/>
  <c r="M23" i="169"/>
  <c r="O23" i="169"/>
  <c r="K71" i="169"/>
  <c r="L71" i="169"/>
  <c r="M71" i="169"/>
  <c r="O71" i="169"/>
  <c r="K49" i="169"/>
  <c r="L49" i="169"/>
  <c r="M49" i="169"/>
  <c r="O49" i="169"/>
  <c r="K101" i="169"/>
  <c r="L101" i="169"/>
  <c r="M101" i="169"/>
  <c r="G35" i="169"/>
  <c r="G22" i="169"/>
  <c r="G73" i="169"/>
  <c r="L149" i="169"/>
  <c r="L150" i="169"/>
  <c r="K63" i="169"/>
  <c r="L63" i="169"/>
  <c r="M63" i="169"/>
  <c r="O63" i="169"/>
  <c r="K45" i="169"/>
  <c r="L45" i="169"/>
  <c r="M45" i="169"/>
  <c r="O45" i="169"/>
  <c r="K70" i="169"/>
  <c r="L70" i="169"/>
  <c r="M70" i="169"/>
  <c r="O70" i="169"/>
  <c r="K50" i="169"/>
  <c r="L50" i="169"/>
  <c r="M50" i="169"/>
  <c r="O50" i="169"/>
  <c r="F29" i="169"/>
  <c r="K75" i="169"/>
  <c r="L75" i="169"/>
  <c r="M75" i="169"/>
  <c r="O75" i="169"/>
  <c r="F16" i="169"/>
  <c r="H16" i="169"/>
  <c r="K76" i="169"/>
  <c r="L76" i="169"/>
  <c r="M76" i="169"/>
  <c r="O76" i="169"/>
  <c r="V47" i="169"/>
  <c r="V48" i="169"/>
  <c r="H47" i="169"/>
  <c r="K47" i="169"/>
  <c r="L47" i="169"/>
  <c r="M47" i="169"/>
  <c r="O47" i="169"/>
  <c r="H55" i="169"/>
  <c r="K55" i="169"/>
  <c r="L55" i="169"/>
  <c r="M55" i="169"/>
  <c r="O55" i="169"/>
  <c r="V55" i="169"/>
  <c r="V56" i="169"/>
  <c r="V60" i="169"/>
  <c r="V61" i="169"/>
  <c r="H60" i="169"/>
  <c r="K60" i="169"/>
  <c r="L60" i="169"/>
  <c r="M60" i="169"/>
  <c r="O60" i="169"/>
  <c r="P63" i="169"/>
  <c r="V73" i="169"/>
  <c r="V74" i="169"/>
  <c r="H73" i="169"/>
  <c r="K73" i="169"/>
  <c r="L73" i="169"/>
  <c r="M73" i="169"/>
  <c r="O73" i="169"/>
  <c r="V81" i="169"/>
  <c r="V82" i="169"/>
  <c r="H81" i="169"/>
  <c r="K81" i="169"/>
  <c r="L81" i="169"/>
  <c r="M81" i="169"/>
  <c r="O81" i="169"/>
  <c r="K44" i="169"/>
  <c r="L44" i="169"/>
  <c r="M44" i="169"/>
  <c r="O44" i="169"/>
  <c r="K108" i="169"/>
  <c r="L108" i="169"/>
  <c r="M108" i="169"/>
  <c r="O108" i="169"/>
  <c r="G60" i="169"/>
  <c r="K30" i="169"/>
  <c r="L30" i="169"/>
  <c r="M30" i="169"/>
  <c r="O30" i="169"/>
  <c r="F68" i="169"/>
  <c r="H68" i="169"/>
  <c r="K68" i="169"/>
  <c r="L68" i="169"/>
  <c r="M68" i="169"/>
  <c r="O68" i="169"/>
  <c r="G81" i="169"/>
  <c r="E149" i="169"/>
  <c r="E150" i="169"/>
  <c r="E153" i="169"/>
  <c r="G55" i="169"/>
  <c r="V86" i="169"/>
  <c r="V87" i="169"/>
  <c r="K82" i="169"/>
  <c r="L82" i="169"/>
  <c r="M82" i="169"/>
  <c r="O82" i="169"/>
  <c r="G47" i="169"/>
  <c r="F42" i="169"/>
  <c r="K102" i="169"/>
  <c r="L102" i="169"/>
  <c r="M102" i="169"/>
  <c r="O102" i="169"/>
  <c r="K61" i="169"/>
  <c r="L61" i="169"/>
  <c r="M61" i="169"/>
  <c r="O61" i="169"/>
  <c r="O101" i="169"/>
  <c r="L153" i="169"/>
  <c r="G94" i="169"/>
  <c r="F94" i="169"/>
  <c r="F99" i="169"/>
  <c r="G99" i="169"/>
  <c r="J111" i="169"/>
  <c r="K16" i="169"/>
  <c r="L16" i="169"/>
  <c r="M16" i="169"/>
  <c r="F107" i="169"/>
  <c r="H22" i="169"/>
  <c r="K22" i="169"/>
  <c r="L22" i="169"/>
  <c r="M22" i="169"/>
  <c r="O22" i="169"/>
  <c r="V22" i="169"/>
  <c r="V23" i="169"/>
  <c r="K86" i="169"/>
  <c r="L86" i="169"/>
  <c r="M86" i="169"/>
  <c r="O86" i="169"/>
  <c r="V35" i="169"/>
  <c r="V36" i="169"/>
  <c r="H35" i="169"/>
  <c r="K35" i="169"/>
  <c r="L35" i="169"/>
  <c r="M35" i="169"/>
  <c r="O35" i="169"/>
  <c r="K87" i="169"/>
  <c r="L87" i="169"/>
  <c r="M87" i="169"/>
  <c r="O87" i="169"/>
  <c r="H69" i="169"/>
  <c r="K69" i="169"/>
  <c r="L69" i="169"/>
  <c r="M69" i="169"/>
  <c r="O69" i="169"/>
  <c r="R95" i="146"/>
  <c r="S95" i="146"/>
  <c r="P96" i="146"/>
  <c r="C96" i="146"/>
  <c r="E95" i="146"/>
  <c r="F95" i="146"/>
  <c r="S104" i="169"/>
  <c r="S111" i="169"/>
  <c r="R111" i="169"/>
  <c r="V18" i="169"/>
  <c r="V19" i="169"/>
  <c r="H29" i="169"/>
  <c r="K29" i="169"/>
  <c r="L29" i="169"/>
  <c r="M29" i="169"/>
  <c r="O29" i="169"/>
  <c r="V29" i="169"/>
  <c r="V30" i="169"/>
  <c r="F111" i="169"/>
  <c r="G133" i="169"/>
  <c r="G134" i="169"/>
  <c r="I134" i="169"/>
  <c r="M123" i="169"/>
  <c r="V117" i="169"/>
  <c r="H42" i="169"/>
  <c r="K42" i="169"/>
  <c r="L42" i="169"/>
  <c r="M42" i="169"/>
  <c r="O42" i="169"/>
  <c r="V42" i="169"/>
  <c r="V43" i="169"/>
  <c r="V68" i="169"/>
  <c r="V69" i="169"/>
  <c r="F91" i="11"/>
  <c r="H99" i="169"/>
  <c r="K99" i="169"/>
  <c r="L99" i="169"/>
  <c r="M99" i="169"/>
  <c r="O99" i="169"/>
  <c r="V99" i="169"/>
  <c r="V100" i="169"/>
  <c r="H107" i="169"/>
  <c r="K107" i="169"/>
  <c r="L107" i="169"/>
  <c r="M107" i="169"/>
  <c r="O107" i="169"/>
  <c r="V107" i="169"/>
  <c r="V108" i="169"/>
  <c r="O16" i="169"/>
  <c r="H94" i="169"/>
  <c r="K94" i="169"/>
  <c r="L94" i="169"/>
  <c r="M94" i="169"/>
  <c r="O94" i="169"/>
  <c r="V94" i="169"/>
  <c r="V95" i="169"/>
  <c r="H111" i="169"/>
  <c r="M112" i="169"/>
  <c r="M119" i="169"/>
  <c r="F87" i="11"/>
  <c r="M117" i="169"/>
  <c r="F85" i="11"/>
  <c r="M115" i="169"/>
  <c r="F83" i="11"/>
  <c r="M125" i="169"/>
  <c r="L123" i="169"/>
  <c r="M127" i="169"/>
  <c r="F93" i="11"/>
  <c r="M129" i="169"/>
  <c r="D60" i="11"/>
  <c r="D378" i="177"/>
  <c r="F73" i="146"/>
  <c r="C74" i="146"/>
  <c r="C77" i="146"/>
  <c r="C78" i="146"/>
  <c r="C79" i="146"/>
  <c r="C90" i="146"/>
  <c r="C94" i="146"/>
  <c r="E91" i="146"/>
  <c r="I90" i="146"/>
  <c r="J90" i="146"/>
  <c r="H90" i="180"/>
  <c r="F84" i="180"/>
  <c r="K84" i="180"/>
  <c r="G96" i="180"/>
  <c r="F85" i="180"/>
  <c r="I84" i="180"/>
  <c r="J84" i="180"/>
  <c r="H95" i="180"/>
  <c r="F87" i="180"/>
  <c r="E93" i="180"/>
  <c r="F93" i="180"/>
  <c r="F89" i="180"/>
  <c r="F86" i="180"/>
  <c r="Q306" i="177"/>
  <c r="D91" i="11"/>
  <c r="N91" i="11"/>
  <c r="O276" i="177"/>
  <c r="X387" i="177"/>
  <c r="X390" i="177"/>
  <c r="X391" i="177"/>
  <c r="F90" i="180"/>
  <c r="E99" i="180"/>
  <c r="C94" i="180"/>
  <c r="C95" i="180"/>
  <c r="F95" i="180"/>
  <c r="H91" i="180"/>
  <c r="I91" i="180"/>
  <c r="J91" i="180"/>
  <c r="E102" i="180"/>
  <c r="J95" i="180"/>
  <c r="E103" i="180"/>
  <c r="F91" i="180"/>
  <c r="C90" i="180"/>
  <c r="C91" i="180"/>
  <c r="C97" i="180"/>
  <c r="C77" i="180"/>
  <c r="C78" i="180"/>
  <c r="C79" i="180"/>
  <c r="E100" i="180"/>
  <c r="E105" i="180"/>
  <c r="E110" i="180"/>
  <c r="C100" i="180"/>
  <c r="H100" i="180"/>
  <c r="H106" i="180"/>
  <c r="H107" i="180"/>
  <c r="H108" i="180"/>
  <c r="C103" i="180"/>
  <c r="E108" i="180"/>
  <c r="E109" i="180"/>
  <c r="E111" i="180"/>
  <c r="Q215" i="177"/>
  <c r="O206" i="177"/>
  <c r="M354" i="177"/>
  <c r="P220" i="177"/>
  <c r="Q209" i="177"/>
  <c r="R215" i="177"/>
  <c r="P221" i="177"/>
  <c r="Q221" i="177"/>
  <c r="Q220" i="177"/>
  <c r="R221" i="177"/>
  <c r="S221" i="177"/>
  <c r="P179" i="177"/>
  <c r="Q179" i="177"/>
  <c r="R179" i="177"/>
  <c r="S179" i="177"/>
  <c r="M361" i="177"/>
  <c r="D87" i="11"/>
  <c r="N87" i="11"/>
  <c r="M357" i="177"/>
  <c r="D83" i="11"/>
  <c r="N83" i="11"/>
  <c r="L365" i="177"/>
  <c r="P307" i="177"/>
  <c r="Q307" i="177"/>
  <c r="R307" i="177"/>
  <c r="S307" i="177"/>
  <c r="P344" i="177"/>
  <c r="Q344" i="177"/>
  <c r="R344" i="177"/>
  <c r="S344" i="177"/>
  <c r="M359" i="177"/>
  <c r="D85" i="11"/>
  <c r="N85" i="11"/>
  <c r="P31" i="177"/>
  <c r="Q31" i="177"/>
  <c r="R31" i="177"/>
  <c r="P265" i="177"/>
  <c r="Q265" i="177"/>
  <c r="R265" i="177"/>
  <c r="S265" i="177"/>
  <c r="P71" i="177"/>
  <c r="Q71" i="177"/>
  <c r="R71" i="177"/>
  <c r="S71" i="177"/>
  <c r="P139" i="177"/>
  <c r="Q139" i="177"/>
  <c r="R139" i="177"/>
  <c r="S139" i="177"/>
  <c r="S31" i="177"/>
  <c r="S353" i="177"/>
  <c r="P85" i="11"/>
  <c r="M367" i="177"/>
  <c r="M369" i="177"/>
  <c r="M371" i="177"/>
  <c r="D56" i="11"/>
  <c r="E77" i="11"/>
  <c r="J77" i="11"/>
  <c r="D93" i="11"/>
  <c r="N93" i="11"/>
  <c r="AA236" i="146"/>
  <c r="Z237" i="146"/>
  <c r="Z244" i="146"/>
  <c r="AB210" i="146"/>
  <c r="AD210" i="146"/>
  <c r="AE210" i="146"/>
  <c r="Z215" i="146"/>
  <c r="N114" i="146"/>
  <c r="M114" i="146"/>
  <c r="M108" i="146"/>
  <c r="N108" i="146"/>
  <c r="M113" i="146"/>
  <c r="N113" i="146"/>
  <c r="O107" i="146"/>
  <c r="P107" i="146"/>
  <c r="N106" i="146"/>
  <c r="M107" i="146"/>
  <c r="Z216" i="146"/>
  <c r="Z217" i="146"/>
  <c r="Z245" i="146"/>
  <c r="Z246" i="146"/>
  <c r="P106" i="146"/>
  <c r="O106" i="146"/>
  <c r="O113" i="146"/>
  <c r="P113" i="146"/>
  <c r="O108" i="146"/>
  <c r="P108" i="146"/>
  <c r="P114" i="146"/>
  <c r="O114" i="146"/>
  <c r="AC246" i="146"/>
  <c r="Z252" i="146"/>
  <c r="AA253" i="146"/>
  <c r="Z223" i="146"/>
  <c r="AA224" i="146"/>
  <c r="AC245" i="146"/>
  <c r="AC247" i="146"/>
  <c r="AC248" i="146"/>
  <c r="AB246" i="146"/>
  <c r="AA254" i="146"/>
  <c r="AB245" i="146"/>
  <c r="AB247" i="146"/>
  <c r="AB248" i="146"/>
  <c r="AD247" i="146"/>
  <c r="AA256" i="146"/>
  <c r="AA255" i="146"/>
  <c r="AD248" i="146"/>
  <c r="AB249" i="146"/>
  <c r="O354" i="177"/>
  <c r="O357" i="177"/>
  <c r="Q105" i="177"/>
  <c r="R133" i="177"/>
  <c r="R353" i="177"/>
  <c r="O365" i="177"/>
  <c r="O359" i="177"/>
  <c r="O361" i="177"/>
  <c r="O367" i="177"/>
  <c r="O369" i="177"/>
  <c r="O371" i="177"/>
  <c r="N371" i="177"/>
  <c r="P50" i="169"/>
  <c r="O112" i="169"/>
  <c r="O117" i="169"/>
  <c r="O119" i="169"/>
  <c r="O123" i="169"/>
  <c r="O115" i="169"/>
  <c r="O125" i="169"/>
  <c r="O127" i="169"/>
  <c r="O129" i="169"/>
  <c r="N129" i="16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Damo</author>
  </authors>
  <commentList>
    <comment ref="C137" authorId="0" shapeId="0" xr:uid="{FBB796E3-06CC-4106-B64C-D7EC2A99E668}">
      <text>
        <r>
          <rPr>
            <b/>
            <sz val="9"/>
            <color indexed="81"/>
            <rFont val="Tahoma"/>
            <family val="2"/>
          </rPr>
          <t>Damo:Will change depending on height of wall</t>
        </r>
      </text>
    </comment>
    <comment ref="O137" authorId="0" shapeId="0" xr:uid="{25723727-C356-437B-8497-9BBA97767165}">
      <text>
        <r>
          <rPr>
            <b/>
            <sz val="9"/>
            <color indexed="81"/>
            <rFont val="Tahoma"/>
            <family val="2"/>
          </rPr>
          <t>Damo:Will change depending on height of wall</t>
        </r>
      </text>
    </comment>
    <comment ref="Y137" authorId="0" shapeId="0" xr:uid="{6B3CFD7B-033D-4F3A-B7A6-AC7BC6EDDDE8}">
      <text>
        <r>
          <rPr>
            <b/>
            <sz val="9"/>
            <color indexed="81"/>
            <rFont val="Tahoma"/>
            <family val="2"/>
          </rPr>
          <t>Damo:Will change depending on height of wall</t>
        </r>
      </text>
    </comment>
    <comment ref="AI137" authorId="0" shapeId="0" xr:uid="{25916717-6331-4622-A10F-DCAA926B4217}">
      <text>
        <r>
          <rPr>
            <b/>
            <sz val="9"/>
            <color indexed="81"/>
            <rFont val="Tahoma"/>
            <family val="2"/>
          </rPr>
          <t>Damo:Will change depending on height of wall</t>
        </r>
      </text>
    </comment>
    <comment ref="C166" authorId="0" shapeId="0" xr:uid="{56EE1E96-DB23-47B1-A9B0-4E1EDCE4A883}">
      <text>
        <r>
          <rPr>
            <b/>
            <sz val="9"/>
            <color indexed="81"/>
            <rFont val="Tahoma"/>
            <family val="2"/>
          </rPr>
          <t>Damo:Will change depending on height of wall</t>
        </r>
      </text>
    </comment>
    <comment ref="O166" authorId="0" shapeId="0" xr:uid="{816F03DC-0BF0-4188-92BA-D85FAB7B2275}">
      <text>
        <r>
          <rPr>
            <b/>
            <sz val="9"/>
            <color indexed="81"/>
            <rFont val="Tahoma"/>
            <family val="2"/>
          </rPr>
          <t>Damo:Will change depending on height of wall</t>
        </r>
      </text>
    </comment>
    <comment ref="Y166" authorId="0" shapeId="0" xr:uid="{0BFDE158-2EE5-4ECF-860B-CCC3D6723D47}">
      <text>
        <r>
          <rPr>
            <b/>
            <sz val="9"/>
            <color indexed="81"/>
            <rFont val="Tahoma"/>
            <family val="2"/>
          </rPr>
          <t>Damo:Will change depending on height of wall</t>
        </r>
      </text>
    </comment>
    <comment ref="AI166" authorId="0" shapeId="0" xr:uid="{6C9DFC84-A916-4DD8-98C1-2F632BEC6A46}">
      <text>
        <r>
          <rPr>
            <b/>
            <sz val="9"/>
            <color indexed="81"/>
            <rFont val="Tahoma"/>
            <family val="2"/>
          </rPr>
          <t>Damo:Will change depending on height of wall</t>
        </r>
      </text>
    </comment>
    <comment ref="Y220" authorId="0" shapeId="0" xr:uid="{1BDB4D1D-F7EB-42EE-98D2-549C9A2C64CA}">
      <text>
        <r>
          <rPr>
            <b/>
            <sz val="9"/>
            <color indexed="81"/>
            <rFont val="Tahoma"/>
            <family val="2"/>
          </rPr>
          <t>Damo:Will change depending on height of wall</t>
        </r>
      </text>
    </comment>
    <comment ref="Y249" authorId="0" shapeId="0" xr:uid="{6D6258B7-16CA-4E0E-96F4-5B58DE3A0E7B}">
      <text>
        <r>
          <rPr>
            <b/>
            <sz val="9"/>
            <color indexed="81"/>
            <rFont val="Tahoma"/>
            <family val="2"/>
          </rPr>
          <t>Damo:Will change depending on height of wall</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Damo</author>
  </authors>
  <commentList>
    <comment ref="D29" authorId="0" shapeId="0" xr:uid="{DA7D04D0-8B44-4E32-8B6C-CA7184687F47}">
      <text>
        <r>
          <rPr>
            <b/>
            <sz val="9"/>
            <color indexed="81"/>
            <rFont val="Tahoma"/>
            <family val="2"/>
          </rPr>
          <t>Damo:Will change depending on height of wall</t>
        </r>
      </text>
    </comment>
    <comment ref="Q29" authorId="0" shapeId="0" xr:uid="{9A04E851-A317-49AA-8480-E36974B96C1A}">
      <text>
        <r>
          <rPr>
            <b/>
            <sz val="9"/>
            <color indexed="81"/>
            <rFont val="Tahoma"/>
            <family val="2"/>
          </rPr>
          <t>Damo:Will change depending on height of wall</t>
        </r>
      </text>
    </comment>
    <comment ref="B94" authorId="0" shapeId="0" xr:uid="{6A207A0E-6102-43F4-83EC-54F9656AFE22}">
      <text>
        <r>
          <rPr>
            <b/>
            <sz val="9"/>
            <color indexed="81"/>
            <rFont val="Tahoma"/>
            <family val="2"/>
          </rPr>
          <t>Damo:Will change depending on height of wall</t>
        </r>
      </text>
    </comment>
    <comment ref="Q94" authorId="0" shapeId="0" xr:uid="{EA0E8D2C-A931-467E-96B8-E2BB5CC397B3}">
      <text>
        <r>
          <rPr>
            <b/>
            <sz val="9"/>
            <color indexed="81"/>
            <rFont val="Tahoma"/>
            <family val="2"/>
          </rPr>
          <t>Damo:Will change depending on height of wall</t>
        </r>
      </text>
    </comment>
  </commentList>
</comments>
</file>

<file path=xl/sharedStrings.xml><?xml version="1.0" encoding="utf-8"?>
<sst xmlns="http://schemas.openxmlformats.org/spreadsheetml/2006/main" count="3378" uniqueCount="535">
  <si>
    <t>Item</t>
  </si>
  <si>
    <t>Description</t>
  </si>
  <si>
    <t>Qty</t>
  </si>
  <si>
    <t>Unit</t>
  </si>
  <si>
    <t>Total</t>
  </si>
  <si>
    <t>Sum</t>
  </si>
  <si>
    <t>Ceilings Unlimited</t>
  </si>
  <si>
    <t>Clarifications:</t>
  </si>
  <si>
    <t>P&amp;G - Admin / Supervision</t>
  </si>
  <si>
    <t>P&amp;G - Site Establishment</t>
  </si>
  <si>
    <t xml:space="preserve">P&amp;G - Access Equip </t>
  </si>
  <si>
    <t>Margin</t>
  </si>
  <si>
    <t>Miscellaneous</t>
  </si>
  <si>
    <t>Summary</t>
  </si>
  <si>
    <t>Total of all items priced</t>
  </si>
  <si>
    <t>* No allowance for GST</t>
  </si>
  <si>
    <t>Total of above</t>
  </si>
  <si>
    <t xml:space="preserve">Sub total </t>
  </si>
  <si>
    <t>Constant</t>
  </si>
  <si>
    <t>Total Materials</t>
  </si>
  <si>
    <t>Total Labour</t>
  </si>
  <si>
    <t>Total Labour &amp; Materials</t>
  </si>
  <si>
    <t>Total Labour &amp; Materials Per Unit</t>
  </si>
  <si>
    <t>Claim</t>
  </si>
  <si>
    <t>% Complete</t>
  </si>
  <si>
    <t>Constant X Unit = Total HRS</t>
  </si>
  <si>
    <t>Materials per Unit</t>
  </si>
  <si>
    <t xml:space="preserve">$ Lab per Unit </t>
  </si>
  <si>
    <t xml:space="preserve"> </t>
  </si>
  <si>
    <t>Rate build for travel by car</t>
  </si>
  <si>
    <t>Travel there and back based on 1</t>
  </si>
  <si>
    <t xml:space="preserve">hrs travel per person </t>
  </si>
  <si>
    <t>Rate /Km</t>
  </si>
  <si>
    <t xml:space="preserve">Total </t>
  </si>
  <si>
    <t>Number of people</t>
  </si>
  <si>
    <t xml:space="preserve">km </t>
  </si>
  <si>
    <t>There and back</t>
  </si>
  <si>
    <t>Amount of trips needed</t>
  </si>
  <si>
    <t>Accom/per day</t>
  </si>
  <si>
    <t xml:space="preserve">days </t>
  </si>
  <si>
    <t>Times amount of people</t>
  </si>
  <si>
    <t>P&amp;G - Parking</t>
  </si>
  <si>
    <t>Travel there and back based on 4</t>
  </si>
  <si>
    <t>* Pricing validity strictly as per cover letter.  No allowance for cost escalations.</t>
  </si>
  <si>
    <t>TOTAL OF SUSPENDED CEILINGS</t>
  </si>
  <si>
    <t>m2</t>
  </si>
  <si>
    <t>m</t>
  </si>
  <si>
    <t>Perimeter to Above</t>
  </si>
  <si>
    <t>* This trade pricing is based on the acceptance as a  package and if individual trades were selected we would need to be contacted to discuss before acceptance.</t>
  </si>
  <si>
    <t>* No allowance for detailed drawings/shop drawings, resource and consent fees etc.  By Others if Required.</t>
  </si>
  <si>
    <t>Gib Wall and Ceiling Linings</t>
  </si>
  <si>
    <t>Gib Stopping</t>
  </si>
  <si>
    <t>TOTAL OF GIB WALL AND CEILING LININGS</t>
  </si>
  <si>
    <t>TOTAL OF GIB STOPPING</t>
  </si>
  <si>
    <t>2 Devonport Road</t>
  </si>
  <si>
    <t>Tauranga</t>
  </si>
  <si>
    <t>Concealed Grid:</t>
  </si>
  <si>
    <t>Bulkheads:</t>
  </si>
  <si>
    <t>Two Grid &amp; Tile:</t>
  </si>
  <si>
    <t>item</t>
  </si>
  <si>
    <t>no</t>
  </si>
  <si>
    <t>Construction Monitoring for PS4 to Above</t>
  </si>
  <si>
    <t>Level 6:</t>
  </si>
  <si>
    <t>Ceiling Linings:</t>
  </si>
  <si>
    <t>Ground:</t>
  </si>
  <si>
    <t>Beam Linings:</t>
  </si>
  <si>
    <t>Basement:</t>
  </si>
  <si>
    <t>Level 1:</t>
  </si>
  <si>
    <t>Level 2:</t>
  </si>
  <si>
    <t>Level 3:</t>
  </si>
  <si>
    <t>Level 4:</t>
  </si>
  <si>
    <t>Level 5:</t>
  </si>
  <si>
    <t>Wall Linings:</t>
  </si>
  <si>
    <t>Stopping Ceiling Linings:</t>
  </si>
  <si>
    <t>Stopping Wall Linings:</t>
  </si>
  <si>
    <t>Perimeter Custom Made Pelmet:</t>
  </si>
  <si>
    <t>(CS01) Concealed Grid @ 600 crs</t>
  </si>
  <si>
    <t>(CS52)</t>
  </si>
  <si>
    <t>Soffit, By Others</t>
  </si>
  <si>
    <t>(CS12) Fire Rated Ceiling</t>
  </si>
  <si>
    <t>(CS12) Fire Rated Bulkhead (1500)</t>
  </si>
  <si>
    <t>(WA24) Fire Rated Ceiling</t>
  </si>
  <si>
    <t>Korok, By Others</t>
  </si>
  <si>
    <t>(WA24)</t>
  </si>
  <si>
    <t>(CS10)</t>
  </si>
  <si>
    <t>Timber Structure, By Others</t>
  </si>
  <si>
    <t xml:space="preserve">(CS11) </t>
  </si>
  <si>
    <t>(CL50)</t>
  </si>
  <si>
    <t>Bulkhead (1200)</t>
  </si>
  <si>
    <t>Nil</t>
  </si>
  <si>
    <t>Bridging for Services</t>
  </si>
  <si>
    <t>(CS04) Recessed Bulkhead</t>
  </si>
  <si>
    <t>Custom Reveal Ceiling to Façade (Outside of Grid A 5 - 7)</t>
  </si>
  <si>
    <t>Supporting Structure to Above</t>
  </si>
  <si>
    <t>Packs</t>
  </si>
  <si>
    <t>(CS51)</t>
  </si>
  <si>
    <t>Spare Ceiling Tiles:</t>
  </si>
  <si>
    <t>Plant Room:</t>
  </si>
  <si>
    <t>EV to Round Columns</t>
  </si>
  <si>
    <t>(CS01) 13mm Gib Standard</t>
  </si>
  <si>
    <t>(CS01) 13mm Gib Aqualine</t>
  </si>
  <si>
    <t>Bulkhead Linings:</t>
  </si>
  <si>
    <t>(CS12)</t>
  </si>
  <si>
    <t>(WA24) 13mm Gib Standard</t>
  </si>
  <si>
    <t>(CS10) 16mm Gib Fyreline + 10mm Gib Fyreline</t>
  </si>
  <si>
    <t>Caulking to Above</t>
  </si>
  <si>
    <t>(CS11) 2/13mm Gib Fyreline</t>
  </si>
  <si>
    <t>(CL50) 13mm Gib Standard (Raking to Stair)</t>
  </si>
  <si>
    <t>Bulkhead - 13mm Gib Standard (900)</t>
  </si>
  <si>
    <t>Bulkhead - 13mm Gib Standard (1100)</t>
  </si>
  <si>
    <t>Bulkhead - 13mmm Gib Standard (1200)</t>
  </si>
  <si>
    <t>Bulkhead -  13mm Gib Stanard (1900)</t>
  </si>
  <si>
    <t>EV High Level</t>
  </si>
  <si>
    <t>13mm Gib Fyreline Top and Bottom Stair 1 Bottom of Riser</t>
  </si>
  <si>
    <t>(WA21) 13mm Gib Aqualine</t>
  </si>
  <si>
    <t>(WA20) 13mm Gib Standard</t>
  </si>
  <si>
    <t>(WA26) 13mm Gib Fyreline</t>
  </si>
  <si>
    <t>(WA27) 13mm Gib Aqualine</t>
  </si>
  <si>
    <t>(WA30) 13mm Gib Standard</t>
  </si>
  <si>
    <t>(WA30) 13mm Gib Aqualine</t>
  </si>
  <si>
    <t>(WA31) 13mm Gib Aqualine</t>
  </si>
  <si>
    <t>(WA52) 13mm Gib Aqualine + 10mm Gib Noiseline</t>
  </si>
  <si>
    <t>(WA52) 13mm Gib Noiseline</t>
  </si>
  <si>
    <t>13mm Gib Noiseline Returns to Lift Openings</t>
  </si>
  <si>
    <t>13mm Gib Fyreline - Sill Detail</t>
  </si>
  <si>
    <t>13mm Gib Fyreline - Select Columns</t>
  </si>
  <si>
    <t>2/13mm Gib Fyreline - Column</t>
  </si>
  <si>
    <t>EV to Above less then 300mm</t>
  </si>
  <si>
    <t>EV to Above less them 300mm</t>
  </si>
  <si>
    <t>EV 13mm Gib Aqualine in lieu of 13mm Gib Standard</t>
  </si>
  <si>
    <t>EV 13mm Gib Aqualine in lieu of 13mm Gib Noiseline</t>
  </si>
  <si>
    <t>EV 13mm Gib Aqualine in lieu of 13mm Gib Noisline</t>
  </si>
  <si>
    <t>EV 13mm Gib Aqualine in lieu of 13mm Gib Fyreline</t>
  </si>
  <si>
    <t>(WA06) 13mm Gib Noiseline</t>
  </si>
  <si>
    <t>(WA21) 13mm Gib Standard</t>
  </si>
  <si>
    <t>(WA10) 13mm Gib Fyreline</t>
  </si>
  <si>
    <t>(WA25) 13mm Gib Fyreline</t>
  </si>
  <si>
    <t>(WA13) 13mm Gib Weatherline</t>
  </si>
  <si>
    <t>2/13mm Gib Fyreline 600 x 250 x 600</t>
  </si>
  <si>
    <t xml:space="preserve">EV less then 300m </t>
  </si>
  <si>
    <t>2/13mm Gib Fyreline 450 x 200 x 250</t>
  </si>
  <si>
    <t>2/13mm Gib Fyreline 500 x 200</t>
  </si>
  <si>
    <t>2/13mm Gib Fyreline 500 x 200 x 500 x 200</t>
  </si>
  <si>
    <t>Steel Stud Partitions</t>
  </si>
  <si>
    <t>TOTAL OF STEEL STUD PARTITIONS</t>
  </si>
  <si>
    <t>Nil, By Others</t>
  </si>
  <si>
    <t>(WA52) 13mm Gib Noiseline + 10mm Gib Noiseline</t>
  </si>
  <si>
    <t>(WA52) 13mm Gib Noisline + 10mm Gib Noiseline</t>
  </si>
  <si>
    <t>(WA11) 13mm Gib Aqualine</t>
  </si>
  <si>
    <t>PS1 Design Certificate</t>
  </si>
  <si>
    <t>PS4 Design Certificate</t>
  </si>
  <si>
    <t>P&amp;G Contingency</t>
  </si>
  <si>
    <t>Steel Stud Partition Design</t>
  </si>
  <si>
    <t>Suspended Ceiling Design</t>
  </si>
  <si>
    <t>Job Name</t>
  </si>
  <si>
    <t>total sqm</t>
  </si>
  <si>
    <t>Standard grid</t>
  </si>
  <si>
    <t>Cost Plus Margin</t>
  </si>
  <si>
    <t xml:space="preserve">Nett cost </t>
  </si>
  <si>
    <t xml:space="preserve">10% waste </t>
  </si>
  <si>
    <t>admin</t>
  </si>
  <si>
    <t>Wall angle</t>
  </si>
  <si>
    <t>hourly rate</t>
  </si>
  <si>
    <t>Mains</t>
  </si>
  <si>
    <t xml:space="preserve">wall trim </t>
  </si>
  <si>
    <t>tile type</t>
  </si>
  <si>
    <t>tile price</t>
  </si>
  <si>
    <t>per tile</t>
  </si>
  <si>
    <t>Module</t>
  </si>
  <si>
    <t>Total Cost</t>
  </si>
  <si>
    <t>Total Revenue</t>
  </si>
  <si>
    <t>Price</t>
  </si>
  <si>
    <t>Profit</t>
  </si>
  <si>
    <t>Waste 10% on product include in cost</t>
  </si>
  <si>
    <t>Adminstration</t>
  </si>
  <si>
    <t>COST</t>
  </si>
  <si>
    <t>HOURS</t>
  </si>
  <si>
    <t xml:space="preserve">COST </t>
  </si>
  <si>
    <t>Wire</t>
  </si>
  <si>
    <t>ea</t>
  </si>
  <si>
    <t>Fixings</t>
  </si>
  <si>
    <t>Grid Only</t>
  </si>
  <si>
    <t>M2</t>
  </si>
  <si>
    <t xml:space="preserve">mat </t>
  </si>
  <si>
    <t>lab</t>
  </si>
  <si>
    <t>Ceiling Tiles</t>
  </si>
  <si>
    <t>Tiles Only</t>
  </si>
  <si>
    <t xml:space="preserve">tot hours </t>
  </si>
  <si>
    <t>Cost</t>
  </si>
  <si>
    <t xml:space="preserve">Actual cost of ceiling </t>
  </si>
  <si>
    <t xml:space="preserve">lab </t>
  </si>
  <si>
    <t>Contract rate</t>
  </si>
  <si>
    <t xml:space="preserve">Actual cost </t>
  </si>
  <si>
    <t xml:space="preserve">Contract cost </t>
  </si>
  <si>
    <t>difference</t>
  </si>
  <si>
    <t>gain from contract rate</t>
  </si>
  <si>
    <t>Area</t>
  </si>
  <si>
    <t>Perimeter</t>
  </si>
  <si>
    <t>5% Freight</t>
  </si>
  <si>
    <t xml:space="preserve">1200 Nogs </t>
  </si>
  <si>
    <t>**WHITE GRID</t>
  </si>
  <si>
    <t>1200 x 600</t>
  </si>
  <si>
    <t>USG</t>
  </si>
  <si>
    <t xml:space="preserve">MT45 3600 </t>
  </si>
  <si>
    <t>DX3600</t>
  </si>
  <si>
    <t>DX1200</t>
  </si>
  <si>
    <t>Comfortech</t>
  </si>
  <si>
    <t>Tonga Eurocoustic</t>
  </si>
  <si>
    <t xml:space="preserve"> tiles plus 15%</t>
  </si>
  <si>
    <t xml:space="preserve">Wires </t>
  </si>
  <si>
    <t>Suspended system</t>
  </si>
  <si>
    <t>Dis between TCR</t>
  </si>
  <si>
    <t xml:space="preserve">Across TCR wire </t>
  </si>
  <si>
    <t>28mm furring channel @</t>
  </si>
  <si>
    <t xml:space="preserve">TCR spacing </t>
  </si>
  <si>
    <t>40 x 40</t>
  </si>
  <si>
    <t>Total furring LM</t>
  </si>
  <si>
    <t>Total Perim LM</t>
  </si>
  <si>
    <t>M2 of ceiling</t>
  </si>
  <si>
    <t>Material</t>
  </si>
  <si>
    <t>$/m</t>
  </si>
  <si>
    <t>1st March 5%</t>
  </si>
  <si>
    <t>M/No</t>
  </si>
  <si>
    <t xml:space="preserve">Waste </t>
  </si>
  <si>
    <t>28mm furring channel</t>
  </si>
  <si>
    <t>Change on spacings</t>
  </si>
  <si>
    <t>Joiner KL 138</t>
  </si>
  <si>
    <t>Locking clip KL 139</t>
  </si>
  <si>
    <t>TCR</t>
  </si>
  <si>
    <t>Hanging wire</t>
  </si>
  <si>
    <t>Fixings (to substrate)</t>
  </si>
  <si>
    <t>Plus Fixings</t>
  </si>
  <si>
    <t>141 Channel/40 x 40 x 1.15 Angle</t>
  </si>
  <si>
    <t>Material cost per m2</t>
  </si>
  <si>
    <t>Fixings (screws)</t>
  </si>
  <si>
    <t>Unload</t>
  </si>
  <si>
    <t>waste 5%</t>
  </si>
  <si>
    <t xml:space="preserve">lab rate </t>
  </si>
  <si>
    <t>Labour per m as per rates</t>
  </si>
  <si>
    <t xml:space="preserve">m/hr </t>
  </si>
  <si>
    <t>Furring channel</t>
  </si>
  <si>
    <t xml:space="preserve">40 x 40 </t>
  </si>
  <si>
    <t>Labour cost per m2</t>
  </si>
  <si>
    <t xml:space="preserve"> Total cost per m2</t>
  </si>
  <si>
    <t xml:space="preserve">Total cost of ceiling job is </t>
  </si>
  <si>
    <t>Cost per m2</t>
  </si>
  <si>
    <t>Labour</t>
  </si>
  <si>
    <t>hrs</t>
  </si>
  <si>
    <t>Area - Grid &amp; Tile</t>
  </si>
  <si>
    <t>Area - Concealed</t>
  </si>
  <si>
    <t>P&amp;G</t>
  </si>
  <si>
    <t>P&amp;G Parking</t>
  </si>
  <si>
    <t>`</t>
  </si>
  <si>
    <t>Level 4</t>
  </si>
  <si>
    <t>Square Stopping</t>
  </si>
  <si>
    <t>Stopping Bulkhead Linings:</t>
  </si>
  <si>
    <t>External Corner</t>
  </si>
  <si>
    <t>External Corners</t>
  </si>
  <si>
    <t>Control Joints</t>
  </si>
  <si>
    <t>L Trim/Negative</t>
  </si>
  <si>
    <t>2/13mm Gib Fyreline 200 x 200</t>
  </si>
  <si>
    <t>2/13mm Gib Fyreline 450 x 1120 (Fire Break to Perimeter)</t>
  </si>
  <si>
    <t>19mm Gib Fyreline (Gib Breaks/Extensions)</t>
  </si>
  <si>
    <t>(WA29) 13mm Gib Standard</t>
  </si>
  <si>
    <t>(WA28) 13mm Gib Standard</t>
  </si>
  <si>
    <t>(WA22) 2/10mm Gib Fyreline</t>
  </si>
  <si>
    <t>(WA34) 13mm Gib Standard</t>
  </si>
  <si>
    <t>(CS13) 13mm Gib Standard</t>
  </si>
  <si>
    <t>EV Negative to US of Stairs</t>
  </si>
  <si>
    <t>13mm Gib Aqualine</t>
  </si>
  <si>
    <t>(WA06) 13mm Gib Aqualine</t>
  </si>
  <si>
    <t>EV Stud to Corners/Wall Ends</t>
  </si>
  <si>
    <t>(WA06) 64mm x 0.55 Steel Stud (4.2m)</t>
  </si>
  <si>
    <t>(WA06) 64mm x 0.55 Steel Stud (3.3m)</t>
  </si>
  <si>
    <t>29/lm</t>
  </si>
  <si>
    <t>23/lm</t>
  </si>
  <si>
    <t>44/lm</t>
  </si>
  <si>
    <t>15/lm</t>
  </si>
  <si>
    <t>12/lm</t>
  </si>
  <si>
    <t>55/lm</t>
  </si>
  <si>
    <t>52/lm</t>
  </si>
  <si>
    <t>92mm QS steel studs @</t>
  </si>
  <si>
    <t>Stud spacing</t>
  </si>
  <si>
    <t>Length of wall</t>
  </si>
  <si>
    <t>Height of wall</t>
  </si>
  <si>
    <t>Total stud LM</t>
  </si>
  <si>
    <t>Total track LM</t>
  </si>
  <si>
    <t>M2 of wall</t>
  </si>
  <si>
    <t>Stud</t>
  </si>
  <si>
    <t>92 QS .55 bmt</t>
  </si>
  <si>
    <t xml:space="preserve">Nog </t>
  </si>
  <si>
    <t xml:space="preserve">Number of nogs </t>
  </si>
  <si>
    <t>say 4 each stud</t>
  </si>
  <si>
    <t>L of wl ÷ spacings = ttl studs</t>
  </si>
  <si>
    <t xml:space="preserve">add 1 for end of wall </t>
  </si>
  <si>
    <t xml:space="preserve">total studs in wall </t>
  </si>
  <si>
    <t>Studs x 4 screws per stud = ttl screws</t>
  </si>
  <si>
    <t>total screws</t>
  </si>
  <si>
    <t>Screws @ $15.00/1000 = .015</t>
  </si>
  <si>
    <t>Cost of fixings per LM</t>
  </si>
  <si>
    <t xml:space="preserve">Stud </t>
  </si>
  <si>
    <t>Lab rate</t>
  </si>
  <si>
    <t>m/hr</t>
  </si>
  <si>
    <t>Plant</t>
  </si>
  <si>
    <t>Material cost per m</t>
  </si>
  <si>
    <t xml:space="preserve"> per m</t>
  </si>
  <si>
    <t xml:space="preserve">Total cost of stud job is </t>
  </si>
  <si>
    <t>Track</t>
  </si>
  <si>
    <t xml:space="preserve">Top </t>
  </si>
  <si>
    <t xml:space="preserve">Bot </t>
  </si>
  <si>
    <t xml:space="preserve">Avge </t>
  </si>
  <si>
    <t xml:space="preserve">Fixings for track </t>
  </si>
  <si>
    <t>add extra for ends</t>
  </si>
  <si>
    <t>total fixings</t>
  </si>
  <si>
    <t xml:space="preserve">Total cost of track is </t>
  </si>
  <si>
    <t xml:space="preserve">Total cost of Job is </t>
  </si>
  <si>
    <t>per m</t>
  </si>
  <si>
    <t xml:space="preserve">hrs allowed </t>
  </si>
  <si>
    <t>Materials</t>
  </si>
  <si>
    <t xml:space="preserve">studs </t>
  </si>
  <si>
    <t>track</t>
  </si>
  <si>
    <t>Total cost</t>
  </si>
  <si>
    <t>Total m2 a day</t>
  </si>
  <si>
    <t>With DH</t>
  </si>
  <si>
    <t>To get the medium of the two</t>
  </si>
  <si>
    <t>92 .75 bmt x 1 , DH x 1</t>
  </si>
  <si>
    <t>DPC</t>
  </si>
  <si>
    <t>Spaced @ 0.6 1.7 @ 2.50 each</t>
  </si>
  <si>
    <t>Labour cost per m</t>
  </si>
  <si>
    <t>per m2</t>
  </si>
  <si>
    <t>Labour/m2</t>
  </si>
  <si>
    <t>Material/m2</t>
  </si>
  <si>
    <t>64mm steel studs @</t>
  </si>
  <si>
    <t>64 .55 bmt</t>
  </si>
  <si>
    <t>Screws @ $20.00/1000 = .015</t>
  </si>
  <si>
    <t xml:space="preserve">64 .75 bmt </t>
  </si>
  <si>
    <t>WA52</t>
  </si>
  <si>
    <t>WA06</t>
  </si>
  <si>
    <t>Man</t>
  </si>
  <si>
    <t>Parking</t>
  </si>
  <si>
    <t>* No allownce for samples of products.</t>
  </si>
  <si>
    <t xml:space="preserve">* Pricing is based on all materials being lifted/removed via crane or hiab to respective Levels to an access point/loadin platform then through facade. Removal/reinstatement of facade as well as Crane/Hiab, Access point/loadin
platform to be provided by main contractor along with any associated Traffic Management costs that may be required.  </t>
  </si>
  <si>
    <t>* Allowed for works within normal works hours Monday to Friday 7.30am - 5pm.</t>
  </si>
  <si>
    <t>* Rubbish disposal and system to be provided by main contractor on each Level.</t>
  </si>
  <si>
    <t>* Interface to intumescent paint not allowed if we have to connect to Intumescent painted Steel. This needs to be clarified by fire
engineer and if required treated as a variation.</t>
  </si>
  <si>
    <t>* No allowance for any door hardware.</t>
  </si>
  <si>
    <t>Hatch</t>
  </si>
  <si>
    <t>Freight</t>
  </si>
  <si>
    <t>Labour frame out and Install Hatch</t>
  </si>
  <si>
    <t>Stopping Material</t>
  </si>
  <si>
    <t>Stopping Labour</t>
  </si>
  <si>
    <t>300 x 300 - Set Bead</t>
  </si>
  <si>
    <t>450 x 450 - Set Bead</t>
  </si>
  <si>
    <t>530 x 530 - Set Bead</t>
  </si>
  <si>
    <t>* Backing panels for in ceilings services and any seismic service teethering to be carried out by others/respective service contractor.</t>
  </si>
  <si>
    <t>* Level 4 Stopping allowed.</t>
  </si>
  <si>
    <t>* No allowance for any Soffit Framing or Linings.</t>
  </si>
  <si>
    <t>* No allowance for any Gib Weatherline to Exterior of Building or any cladding linings.</t>
  </si>
  <si>
    <t>Gib Cover Strips to each Side at Head</t>
  </si>
  <si>
    <t>Infill to Comflor take head track</t>
  </si>
  <si>
    <t>Gib Packing to Head</t>
  </si>
  <si>
    <t>Steel Angle to Internal Corners - Tiled Walls</t>
  </si>
  <si>
    <t>* No allowance for any timber framing (including timber framed bulkheads), strapping and nogging. By Others.</t>
  </si>
  <si>
    <t>* We have allowed for a bulkhead in Steel Stud to take perimeter pelmet to ceilings.  No allowance for any other bulkheads as we understand these are timber.</t>
  </si>
  <si>
    <t>Back Bracing Seismic Components</t>
  </si>
  <si>
    <t>Refer Provisional Sum</t>
  </si>
  <si>
    <t>92mm steel studs @</t>
  </si>
  <si>
    <t>Cartage</t>
  </si>
  <si>
    <t>Spaced @ 0.6 2 of ea</t>
  </si>
  <si>
    <t>64 .75 bmt</t>
  </si>
  <si>
    <t>Screws @ $25.00/1000 = .015</t>
  </si>
  <si>
    <t>Lateral Brace to Above</t>
  </si>
  <si>
    <t>Longitudinal Brace</t>
  </si>
  <si>
    <t>(CS12) Fire Rated Bulkhead</t>
  </si>
  <si>
    <t>EV Core Holes Through Kooltherm for Wires</t>
  </si>
  <si>
    <t>Level 3 to Nosieline Below Roof</t>
  </si>
  <si>
    <t>13mm Gib Noiseline underside of Roof Grid 1.5 - 3</t>
  </si>
  <si>
    <t>Rondo Batten on Acoustic Clip to Level 6 Grid 1.5 - 3</t>
  </si>
  <si>
    <t>Direct fix ST-001</t>
  </si>
  <si>
    <t xml:space="preserve">28mm furring channel @ </t>
  </si>
  <si>
    <t xml:space="preserve">Clips along batten </t>
  </si>
  <si>
    <t>crs of battens</t>
  </si>
  <si>
    <t>ST-001</t>
  </si>
  <si>
    <t xml:space="preserve">Hr/Rate </t>
  </si>
  <si>
    <t xml:space="preserve"> Total Rate per m2</t>
  </si>
  <si>
    <t>$19.63 per tile</t>
  </si>
  <si>
    <t>711 boxes @ $236</t>
  </si>
  <si>
    <t>* Acoustic Ceiling Batten to underside of part section of roof on level 6 based on sufficient structure being present to direct fix acoustic brackets to (no greater then 900 crs).  Structure provided by others if required..</t>
  </si>
  <si>
    <t>* We note we have allowed to core drill through Kool therm to pick up structure to hang ceiling wires.  No allowance to tape around wires to kooltherm if required or sealing of holes through 13mm Gib Nosieline present to the underside of the roof on Level 6.</t>
  </si>
  <si>
    <t>* We have allowed for Ceiling pelmet to be custom made as what is drawn is not work as proprietary system due to the offset height difference too glazing.</t>
  </si>
  <si>
    <t>* No allowance for any Korok or Gib to associated head detail, by others.</t>
  </si>
  <si>
    <t>(WA52) 92mm x 0.55 Whisper Wall Stud (3.4m)</t>
  </si>
  <si>
    <t>(WA52) 92mm x 0.55 Whisper Wall Stud (4.2m)</t>
  </si>
  <si>
    <t>*  Allowed 64mm x 0.55 and 92mm x 0.55 Gauge Steel Stud.</t>
  </si>
  <si>
    <t>13mm Gib Standard</t>
  </si>
  <si>
    <t>Stopping</t>
  </si>
  <si>
    <t>Secondary Wall Behind Feature Linings:</t>
  </si>
  <si>
    <t>SK2 Type</t>
  </si>
  <si>
    <t>Nil, Tile by Others</t>
  </si>
  <si>
    <t>SK5 Type - 25mm Flat</t>
  </si>
  <si>
    <t>SK4 Type - 100mm Flat</t>
  </si>
  <si>
    <t>SK1 Type - 90 x 10 Timber Flat</t>
  </si>
  <si>
    <t>SK3 Type - 100mm Flat</t>
  </si>
  <si>
    <t>Glue</t>
  </si>
  <si>
    <t>Loadin</t>
  </si>
  <si>
    <t>Tape/Pins</t>
  </si>
  <si>
    <t>TOTAL OF SKIRTING</t>
  </si>
  <si>
    <t>Skirting</t>
  </si>
  <si>
    <t>SK4 - Plastered Column</t>
  </si>
  <si>
    <t>SK5 - Other Columns</t>
  </si>
  <si>
    <t xml:space="preserve">Armstrong </t>
  </si>
  <si>
    <t xml:space="preserve">1500 Nogs </t>
  </si>
  <si>
    <t xml:space="preserve">Eurocoustic Tonga white </t>
  </si>
  <si>
    <t xml:space="preserve">Berc Clips </t>
  </si>
  <si>
    <t>1500 x 600</t>
  </si>
  <si>
    <t>Peakform</t>
  </si>
  <si>
    <t>BPT1932H</t>
  </si>
  <si>
    <t>BP734042P</t>
  </si>
  <si>
    <t>BP313052P</t>
  </si>
  <si>
    <t xml:space="preserve">ACM7 Clips </t>
  </si>
  <si>
    <t xml:space="preserve">ea </t>
  </si>
  <si>
    <t xml:space="preserve">P&amp;G </t>
  </si>
  <si>
    <t xml:space="preserve">Loading </t>
  </si>
  <si>
    <t>$26.02 per tile</t>
  </si>
  <si>
    <t>720 boxes @ $261</t>
  </si>
  <si>
    <t>(CS02) Armstrong 1500 x 600 x 24mm faced Grid - White</t>
  </si>
  <si>
    <t>(CS02) 1500 x 600 x 22mm Eurocoustic Tonga A22, Square Edge Tiles</t>
  </si>
  <si>
    <t>***POST APRIL***</t>
  </si>
  <si>
    <t>$28.28 per tile</t>
  </si>
  <si>
    <t>720 boxes @ $283</t>
  </si>
  <si>
    <t>(WA31) 13mm Gib Standard</t>
  </si>
  <si>
    <t xml:space="preserve"> tiles plus 10% wastage</t>
  </si>
  <si>
    <t>$28.28 per tile plus 5% Freight $29.69</t>
  </si>
  <si>
    <t>653 boxes</t>
  </si>
  <si>
    <t>653 boxes @ $296.90</t>
  </si>
  <si>
    <t>1500 x 600 x 22mm Eurocoustic Tonga A22, Square Edge Tiles (10 Per Pack)</t>
  </si>
  <si>
    <t>1500 Nogs - Lighting</t>
  </si>
  <si>
    <t>Head Track and Gib Packing to Timber Walls (Timber Partitions by Others)</t>
  </si>
  <si>
    <t>TTL</t>
  </si>
  <si>
    <t>7 months for bulk except 4/5/6 tenanant ceilings</t>
  </si>
  <si>
    <t>92mm .75 bmt x 2</t>
  </si>
  <si>
    <t>* Lead time on Grid 3 - 4 Months.  Lead time on Tiles 5 - 6 months.</t>
  </si>
  <si>
    <t>* No allowance for any insulation inclusive of Kooltherm, Stratocell and Rockwool. By Others.</t>
  </si>
  <si>
    <t xml:space="preserve">Featurecraft Interior Lining </t>
  </si>
  <si>
    <t>Nil at this Stage as Discussed with Kenny</t>
  </si>
  <si>
    <t>Aluminium and Timber Skirting</t>
  </si>
  <si>
    <t>Perimeter Bulkhead and Pelmet</t>
  </si>
  <si>
    <t>Remove $1 off loadin</t>
  </si>
  <si>
    <t>credit 7 packs</t>
  </si>
  <si>
    <t>92 .75 bmt</t>
  </si>
  <si>
    <t>92mm x 0.75</t>
  </si>
  <si>
    <t>92mm x 1.15</t>
  </si>
  <si>
    <t>Lat</t>
  </si>
  <si>
    <t>Long</t>
  </si>
  <si>
    <t>In Plane</t>
  </si>
  <si>
    <t>Control Joint</t>
  </si>
  <si>
    <t>Type 3 Bulkhead</t>
  </si>
  <si>
    <t>Longitudinal</t>
  </si>
  <si>
    <t>Lateral</t>
  </si>
  <si>
    <t>Type 2 Bulkhead @ 0.9m</t>
  </si>
  <si>
    <t>Type 2 Bulkhead @ 1.2m</t>
  </si>
  <si>
    <t>Type 2 Bulkhead - High Level @ 1.2m</t>
  </si>
  <si>
    <t>Type 2 Bulkhead @ 1.2</t>
  </si>
  <si>
    <t>Type 3 Bulkhead @ 1.0m</t>
  </si>
  <si>
    <t>Bracket</t>
  </si>
  <si>
    <t>Spaced @ 1.8 2 of ea</t>
  </si>
  <si>
    <t>Bracket to Grid</t>
  </si>
  <si>
    <t>MT</t>
  </si>
  <si>
    <t>CT</t>
  </si>
  <si>
    <t>$20.42 per tile</t>
  </si>
  <si>
    <t>548 boxes @ $245.04</t>
  </si>
  <si>
    <t>By CBC</t>
  </si>
  <si>
    <t>Suspended Ceiling (1500 x 600)</t>
  </si>
  <si>
    <t>Timber Partitions &amp; Strapping/Nogging</t>
  </si>
  <si>
    <t>Nil, By Others (CBC)</t>
  </si>
  <si>
    <t>Removed</t>
  </si>
  <si>
    <t>PROVISIONAL SUM: PS1 Design &amp; PS4 Certificate for Interior Steel Stud Partition</t>
  </si>
  <si>
    <t>PROVISIONAL SUM: Ceiling Seismic Components</t>
  </si>
  <si>
    <t>As per Provided PS1</t>
  </si>
  <si>
    <t>TBA</t>
  </si>
  <si>
    <t>Less Fitout Ceiling Area:</t>
  </si>
  <si>
    <t>Level 1</t>
  </si>
  <si>
    <t>Level 2</t>
  </si>
  <si>
    <t>Level 3</t>
  </si>
  <si>
    <t>Level 5</t>
  </si>
  <si>
    <t>Level 6</t>
  </si>
  <si>
    <t>490 boxes</t>
  </si>
  <si>
    <t>490 boxes @ $296.90</t>
  </si>
  <si>
    <t>Adjusted Above</t>
  </si>
  <si>
    <t>Seismic In Ceiling Bulkhead &amp; Control Joint:</t>
  </si>
  <si>
    <t>TYPE 3</t>
  </si>
  <si>
    <t>Comfortech List Price:</t>
  </si>
  <si>
    <t>92mm x 0.75 Stud</t>
  </si>
  <si>
    <t>92mm x 0.55 Track??</t>
  </si>
  <si>
    <t>92mm x 1.15 Track</t>
  </si>
  <si>
    <t>Lateral Brace:</t>
  </si>
  <si>
    <t>Longitudinal Brace (In Plane)</t>
  </si>
  <si>
    <t>Material Cost</t>
  </si>
  <si>
    <t>Plus Load/Waste</t>
  </si>
  <si>
    <t>Quakclip Soffit Bracket</t>
  </si>
  <si>
    <t>M8 x 70 Hilti</t>
  </si>
  <si>
    <t>Screws</t>
  </si>
  <si>
    <t>incl 5% freight</t>
  </si>
  <si>
    <t>92mm 1.15 bmt x 2</t>
  </si>
  <si>
    <t>Bracket to Soffit</t>
  </si>
  <si>
    <t>* We have included for Standard Ceiling Hatches Only.  No allowance for Riser Hatches is required.</t>
  </si>
  <si>
    <t>* Offsite payment claims will required for Ceiling Tile Materials at the least to secure product.</t>
  </si>
  <si>
    <t>* No allowance for Gib Linings and Stopping behind Featurecraft Linings.</t>
  </si>
  <si>
    <t>* No allowance for any timber trims except Skirting as per attached schedule.</t>
  </si>
  <si>
    <t>* No allowance for any windows or doors including internal glazing/partitioning.</t>
  </si>
  <si>
    <t>* We have allowed Concealed Grid and Steel Stud from SRP/Studco</t>
  </si>
  <si>
    <t>Nogging Track</t>
  </si>
  <si>
    <t>TYPE 2</t>
  </si>
  <si>
    <t>EV to take linings</t>
  </si>
  <si>
    <t>Type 2 Bulkhead @ 1.4m</t>
  </si>
  <si>
    <t>Type 2 Bulkhead @ 1.9m</t>
  </si>
  <si>
    <t>* CBC to provide - Mezz double height scaffold and stairs.  All other access allowed.</t>
  </si>
  <si>
    <t>Pre load Floors where possible by end of January 2026</t>
  </si>
  <si>
    <t>* We have included Provisional Sum for PS1 Steel Stud Partition Design (Excluded Design of Timber Partitions) a s well as Monitoring and PS4 Sign Off.</t>
  </si>
  <si>
    <t>PS1 Ceiling Design to be updated between CBC and Comfortech</t>
  </si>
  <si>
    <t xml:space="preserve">PS1 Ceiling Design and Seel Stud Partition Design to Serve as Shop Drawing </t>
  </si>
  <si>
    <t>* No allowance to Fire Rate any steel work outside of what is incapsulated with walls beneath it.  Understand balance of Steel work will be Intumescent Painted by others.</t>
  </si>
  <si>
    <t>* No allowance for Passive Fire to all service penetrations to wall and ceiling penetrations.  To be carried out by associated service contractor of specific Passive Fire Contractor.</t>
  </si>
  <si>
    <t>* Spare ceiling tile allowance as per attached schedule 5%.</t>
  </si>
  <si>
    <t>SRP List</t>
  </si>
  <si>
    <t>SRP Spec</t>
  </si>
  <si>
    <t>Furring</t>
  </si>
  <si>
    <t>Comfortech List</t>
  </si>
  <si>
    <t>Quack FC joiner</t>
  </si>
  <si>
    <t>Locking Key</t>
  </si>
  <si>
    <t>Quack Perimeter</t>
  </si>
  <si>
    <t>Comfortech Spec</t>
  </si>
  <si>
    <t>Perimeter Quak</t>
  </si>
  <si>
    <t>Perimeter Std</t>
  </si>
  <si>
    <t>92mm 1.15 bmt x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</si>
</sst>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8" formatCode="&quot;$&quot;#,##0.00;[Red]\-&quot;$&quot;#,##0.00"/>
    <numFmt numFmtId="44" formatCode="_-&quot;$&quot;* #,##0.00_-;\-&quot;$&quot;* #,##0.00_-;_-&quot;$&quot;* &quot;-&quot;??_-;_-@_-"/>
    <numFmt numFmtId="43" formatCode="_-* #,##0.00_-;\-* #,##0.00_-;_-* &quot;-&quot;??_-;_-@_-"/>
    <numFmt numFmtId="166" formatCode="_(&quot;$&quot;* #,##0.00_);_(&quot;$&quot;* \(#,##0.00\);_(&quot;$&quot;* &quot;-&quot;??_);_(@_)"/>
    <numFmt numFmtId="167" formatCode="_(* #,##0.00_);_(* \(#,##0.00\);_(* &quot;-&quot;??_);_(@_)"/>
    <numFmt numFmtId="168" formatCode="0.00_)"/>
    <numFmt numFmtId="169" formatCode="0.0"/>
    <numFmt numFmtId="170" formatCode="&quot;$&quot;#,##0.00"/>
    <numFmt numFmtId="171" formatCode="_(* #,##0_);_(* \(#,##0\);_(* &quot;-&quot;??_);_(@_)"/>
    <numFmt numFmtId="172" formatCode="_(&quot;$&quot;* #,##0_);_(&quot;$&quot;* \(#,##0\);_(&quot;$&quot;* &quot;-&quot;??_);_(@_)"/>
    <numFmt numFmtId="173" formatCode="0.0%"/>
    <numFmt numFmtId="175" formatCode="#,##0.00_ ;\-#,##0.00\ "/>
    <numFmt numFmtId="176" formatCode="_-&quot;$&quot;* #,##0_-;\-&quot;$&quot;* #,##0_-;_-&quot;$&quot;* &quot;-&quot;??_-;_-@_-"/>
    <numFmt numFmtId="177" formatCode="_-* #,##0_-;\-* #,##0_-;_-* &quot;-&quot;??_-;_-@_-"/>
    <numFmt numFmtId="178" formatCode="&quot;$&quot;#,##0.000"/>
    <numFmt numFmtId="179" formatCode="&quot;$&quot;#,##0.000;[Red]\-&quot;$&quot;#,##0.000"/>
  </numFmts>
  <fonts count="45" x14ac:knownFonts="1">
    <font>
      <sz val="10"/>
      <name val="Arial"/>
    </font>
    <font>
      <sz val="10"/>
      <name val="Arial"/>
    </font>
    <font>
      <sz val="10"/>
      <name val="Arial"/>
      <family val="2"/>
    </font>
    <font>
      <b/>
      <sz val="12"/>
      <name val="Arial"/>
      <family val="2"/>
    </font>
    <font>
      <b/>
      <sz val="10"/>
      <name val="Arial"/>
      <family val="2"/>
    </font>
    <font>
      <sz val="8"/>
      <name val="Arial"/>
      <family val="2"/>
    </font>
    <font>
      <sz val="10"/>
      <name val="Arial"/>
      <family val="2"/>
    </font>
    <font>
      <u/>
      <sz val="11"/>
      <color indexed="12"/>
      <name val="Calibri"/>
      <family val="2"/>
    </font>
    <font>
      <sz val="10"/>
      <name val="Arial"/>
      <family val="2"/>
    </font>
    <font>
      <b/>
      <sz val="12"/>
      <name val="Arial"/>
      <family val="2"/>
    </font>
    <font>
      <sz val="10"/>
      <name val="Arial"/>
      <family val="2"/>
    </font>
    <font>
      <b/>
      <sz val="10"/>
      <name val="Arial"/>
      <family val="2"/>
    </font>
    <font>
      <sz val="12"/>
      <name val="Arial"/>
      <family val="2"/>
    </font>
    <font>
      <sz val="10"/>
      <name val="Arial"/>
      <family val="2"/>
    </font>
    <font>
      <sz val="10"/>
      <name val="Arial"/>
      <family val="2"/>
    </font>
    <font>
      <b/>
      <sz val="10"/>
      <name val="Arial"/>
      <family val="2"/>
    </font>
    <font>
      <sz val="24"/>
      <name val="Arial"/>
      <family val="2"/>
    </font>
    <font>
      <sz val="11"/>
      <name val="Arial"/>
      <family val="2"/>
    </font>
    <font>
      <b/>
      <sz val="11"/>
      <name val="Arial"/>
      <family val="2"/>
    </font>
    <font>
      <sz val="10"/>
      <name val="Arial"/>
      <family val="2"/>
    </font>
    <font>
      <sz val="10"/>
      <name val="Arial"/>
      <family val="2"/>
    </font>
    <font>
      <b/>
      <u/>
      <sz val="10"/>
      <name val="Arial"/>
      <family val="2"/>
    </font>
    <font>
      <u/>
      <sz val="10"/>
      <name val="Arial"/>
      <family val="2"/>
    </font>
    <font>
      <strike/>
      <sz val="10"/>
      <name val="Arial"/>
      <family val="2"/>
    </font>
    <font>
      <sz val="10"/>
      <color indexed="10"/>
      <name val="Arial"/>
      <family val="2"/>
    </font>
    <font>
      <sz val="14"/>
      <name val="Arial"/>
      <family val="2"/>
    </font>
    <font>
      <b/>
      <sz val="9"/>
      <color indexed="81"/>
      <name val="Tahoma"/>
      <family val="2"/>
    </font>
    <font>
      <i/>
      <sz val="10"/>
      <name val="Arial"/>
      <family val="2"/>
    </font>
    <font>
      <sz val="11"/>
      <color theme="1"/>
      <name val="Calibri"/>
      <family val="2"/>
      <scheme val="minor"/>
    </font>
    <font>
      <b/>
      <sz val="11"/>
      <color theme="1"/>
      <name val="Calibri"/>
      <family val="2"/>
      <scheme val="minor"/>
    </font>
    <font>
      <sz val="11"/>
      <color rgb="FFFF0000"/>
      <name val="Calibri"/>
      <family val="2"/>
      <scheme val="minor"/>
    </font>
    <font>
      <sz val="10"/>
      <color rgb="FFFF0000"/>
      <name val="Arial"/>
      <family val="2"/>
    </font>
    <font>
      <sz val="10"/>
      <color rgb="FF0070C0"/>
      <name val="Arial"/>
      <family val="2"/>
    </font>
    <font>
      <b/>
      <sz val="10"/>
      <color rgb="FF0070C0"/>
      <name val="Arial"/>
      <family val="2"/>
    </font>
    <font>
      <sz val="10"/>
      <color rgb="FF002060"/>
      <name val="Arial"/>
      <family val="2"/>
    </font>
    <font>
      <b/>
      <u/>
      <sz val="12"/>
      <color rgb="FFFF0000"/>
      <name val="Arial"/>
      <family val="2"/>
    </font>
    <font>
      <b/>
      <sz val="12"/>
      <color rgb="FFFF0000"/>
      <name val="Arial"/>
      <family val="2"/>
    </font>
    <font>
      <b/>
      <u/>
      <sz val="11"/>
      <color theme="1"/>
      <name val="Calibri"/>
      <family val="2"/>
      <scheme val="minor"/>
    </font>
    <font>
      <sz val="11"/>
      <name val="Calibri"/>
      <family val="2"/>
      <scheme val="minor"/>
    </font>
    <font>
      <b/>
      <u/>
      <sz val="10"/>
      <color rgb="FF00B050"/>
      <name val="Arial"/>
      <family val="2"/>
    </font>
    <font>
      <b/>
      <sz val="10"/>
      <color rgb="FFFF0000"/>
      <name val="Arial"/>
      <family val="2"/>
    </font>
    <font>
      <b/>
      <u/>
      <sz val="10"/>
      <color rgb="FFFF0000"/>
      <name val="Arial"/>
      <family val="2"/>
    </font>
    <font>
      <strike/>
      <sz val="10"/>
      <color rgb="FF0070C0"/>
      <name val="Arial"/>
      <family val="2"/>
    </font>
    <font>
      <strike/>
      <sz val="10"/>
      <color rgb="FF002060"/>
      <name val="Arial"/>
      <family val="2"/>
    </font>
    <font>
      <sz val="10"/>
      <color rgb="FFED0000"/>
      <name val="Arial"/>
      <family val="2"/>
    </font>
  </fonts>
  <fills count="18">
    <fill>
      <patternFill patternType="none"/>
    </fill>
    <fill>
      <patternFill patternType="gray125"/>
    </fill>
    <fill>
      <patternFill patternType="solid">
        <fgColor indexed="13"/>
        <bgColor indexed="64"/>
      </patternFill>
    </fill>
    <fill>
      <patternFill patternType="solid">
        <fgColor indexed="53"/>
        <bgColor indexed="64"/>
      </patternFill>
    </fill>
    <fill>
      <patternFill patternType="solid">
        <fgColor indexed="40"/>
        <bgColor indexed="64"/>
      </patternFill>
    </fill>
    <fill>
      <patternFill patternType="solid">
        <fgColor rgb="FFFFFF00"/>
        <bgColor indexed="64"/>
      </patternFill>
    </fill>
    <fill>
      <patternFill patternType="solid">
        <fgColor rgb="FF92D050"/>
        <bgColor indexed="64"/>
      </patternFill>
    </fill>
    <fill>
      <patternFill patternType="solid">
        <fgColor theme="3" tint="0.39997558519241921"/>
        <bgColor indexed="64"/>
      </patternFill>
    </fill>
    <fill>
      <patternFill patternType="solid">
        <fgColor theme="0" tint="-0.499984740745262"/>
        <bgColor indexed="64"/>
      </patternFill>
    </fill>
    <fill>
      <patternFill patternType="solid">
        <fgColor rgb="FF00B0F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0" tint="-0.34998626667073579"/>
        <bgColor indexed="64"/>
      </patternFill>
    </fill>
    <fill>
      <patternFill patternType="solid">
        <fgColor rgb="FFA3DBFF"/>
        <bgColor indexed="64"/>
      </patternFill>
    </fill>
    <fill>
      <patternFill patternType="solid">
        <fgColor theme="6"/>
        <bgColor indexed="64"/>
      </patternFill>
    </fill>
    <fill>
      <patternFill patternType="solid">
        <fgColor rgb="FFFFCC00"/>
        <bgColor indexed="64"/>
      </patternFill>
    </fill>
    <fill>
      <patternFill patternType="solid">
        <fgColor theme="3" tint="0.79998168889431442"/>
        <bgColor indexed="64"/>
      </patternFill>
    </fill>
    <fill>
      <patternFill patternType="solid">
        <fgColor theme="9" tint="0.59999389629810485"/>
        <bgColor indexed="64"/>
      </patternFill>
    </fill>
  </fills>
  <borders count="38">
    <border>
      <left/>
      <right/>
      <top/>
      <bottom/>
      <diagonal/>
    </border>
    <border>
      <left/>
      <right/>
      <top/>
      <bottom style="medium">
        <color indexed="64"/>
      </bottom>
      <diagonal/>
    </border>
    <border>
      <left/>
      <right/>
      <top/>
      <bottom style="thin">
        <color indexed="64"/>
      </bottom>
      <diagonal/>
    </border>
    <border>
      <left style="thin">
        <color indexed="8"/>
      </left>
      <right/>
      <top/>
      <bottom/>
      <diagonal/>
    </border>
    <border>
      <left/>
      <right/>
      <top style="thin">
        <color indexed="64"/>
      </top>
      <bottom/>
      <diagonal/>
    </border>
    <border>
      <left style="thin">
        <color indexed="8"/>
      </left>
      <right/>
      <top style="thin">
        <color indexed="64"/>
      </top>
      <bottom/>
      <diagonal/>
    </border>
    <border>
      <left style="thin">
        <color indexed="8"/>
      </left>
      <right/>
      <top/>
      <bottom style="thin">
        <color indexed="64"/>
      </bottom>
      <diagonal/>
    </border>
    <border>
      <left style="thin">
        <color indexed="8"/>
      </left>
      <right/>
      <top/>
      <bottom style="thin">
        <color indexed="8"/>
      </bottom>
      <diagonal/>
    </border>
    <border>
      <left/>
      <right/>
      <top/>
      <bottom style="thin">
        <color indexed="8"/>
      </bottom>
      <diagonal/>
    </border>
    <border>
      <left style="thin">
        <color indexed="64"/>
      </left>
      <right style="thin">
        <color indexed="64"/>
      </right>
      <top/>
      <bottom/>
      <diagonal/>
    </border>
    <border>
      <left style="thin">
        <color indexed="64"/>
      </left>
      <right/>
      <top style="thin">
        <color indexed="64"/>
      </top>
      <bottom/>
      <diagonal/>
    </border>
    <border>
      <left style="thin">
        <color indexed="8"/>
      </left>
      <right/>
      <top style="thin">
        <color indexed="64"/>
      </top>
      <bottom style="thin">
        <color indexed="64"/>
      </bottom>
      <diagonal/>
    </border>
    <border>
      <left style="thin">
        <color indexed="64"/>
      </left>
      <right/>
      <top/>
      <bottom/>
      <diagonal/>
    </border>
    <border>
      <left style="thin">
        <color indexed="8"/>
      </left>
      <right style="thin">
        <color indexed="8"/>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diagonal/>
    </border>
    <border>
      <left/>
      <right style="medium">
        <color indexed="64"/>
      </right>
      <top/>
      <bottom/>
      <diagonal/>
    </border>
    <border>
      <left/>
      <right style="hair">
        <color indexed="64"/>
      </right>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style="medium">
        <color indexed="64"/>
      </right>
      <top/>
      <bottom style="thin">
        <color indexed="64"/>
      </bottom>
      <diagonal/>
    </border>
    <border>
      <left/>
      <right/>
      <top style="thin">
        <color indexed="64"/>
      </top>
      <bottom style="double">
        <color indexed="64"/>
      </bottom>
      <diagonal/>
    </border>
    <border>
      <left style="medium">
        <color indexed="64"/>
      </left>
      <right/>
      <top style="medium">
        <color indexed="64"/>
      </top>
      <bottom/>
      <diagonal/>
    </border>
    <border>
      <left style="medium">
        <color indexed="64"/>
      </left>
      <right/>
      <top/>
      <bottom style="thin">
        <color indexed="64"/>
      </bottom>
      <diagonal/>
    </border>
    <border>
      <left style="medium">
        <color indexed="64"/>
      </left>
      <right/>
      <top/>
      <bottom style="medium">
        <color indexed="64"/>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thin">
        <color indexed="64"/>
      </left>
      <right/>
      <top style="medium">
        <color indexed="64"/>
      </top>
      <bottom/>
      <diagonal/>
    </border>
    <border>
      <left style="thin">
        <color indexed="64"/>
      </left>
      <right/>
      <top/>
      <bottom style="medium">
        <color indexed="64"/>
      </bottom>
      <diagonal/>
    </border>
  </borders>
  <cellStyleXfs count="24">
    <xf numFmtId="0" fontId="0" fillId="0" borderId="0"/>
    <xf numFmtId="167" fontId="1"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19" fillId="0" borderId="0" applyFont="0" applyFill="0" applyBorder="0" applyAlignment="0" applyProtection="0"/>
    <xf numFmtId="166" fontId="1"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44" fontId="2" fillId="0" borderId="0" applyFont="0" applyFill="0" applyBorder="0" applyAlignment="0" applyProtection="0"/>
    <xf numFmtId="166" fontId="6"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44" fontId="2" fillId="0" borderId="0" applyFont="0" applyFill="0" applyBorder="0" applyAlignment="0" applyProtection="0"/>
    <xf numFmtId="0" fontId="7" fillId="0" borderId="0" applyNumberFormat="0" applyFill="0" applyBorder="0" applyAlignment="0" applyProtection="0">
      <alignment vertical="top"/>
      <protection locked="0"/>
    </xf>
    <xf numFmtId="0" fontId="2" fillId="0" borderId="0"/>
    <xf numFmtId="0" fontId="2" fillId="0" borderId="0"/>
    <xf numFmtId="0" fontId="2" fillId="0" borderId="0"/>
    <xf numFmtId="0" fontId="28" fillId="0" borderId="0"/>
    <xf numFmtId="0" fontId="2" fillId="0" borderId="0"/>
    <xf numFmtId="0" fontId="2" fillId="0" borderId="0"/>
    <xf numFmtId="9" fontId="1" fillId="0" borderId="0" applyFont="0" applyFill="0" applyBorder="0" applyAlignment="0" applyProtection="0"/>
    <xf numFmtId="9" fontId="2" fillId="0" borderId="0" applyFont="0" applyFill="0" applyBorder="0" applyAlignment="0" applyProtection="0"/>
    <xf numFmtId="9" fontId="20" fillId="0" borderId="0" applyFont="0" applyFill="0" applyBorder="0" applyAlignment="0" applyProtection="0"/>
  </cellStyleXfs>
  <cellXfs count="470">
    <xf numFmtId="0" fontId="0" fillId="0" borderId="0" xfId="0"/>
    <xf numFmtId="0" fontId="2" fillId="0" borderId="0" xfId="0" applyFont="1" applyAlignment="1">
      <alignment horizontal="left" vertical="top" wrapText="1"/>
    </xf>
    <xf numFmtId="0" fontId="9" fillId="0" borderId="0" xfId="0" applyFont="1" applyAlignment="1">
      <alignment horizontal="left" vertical="top"/>
    </xf>
    <xf numFmtId="37" fontId="8" fillId="0" borderId="0" xfId="0" applyNumberFormat="1" applyFont="1" applyAlignment="1">
      <alignment horizontal="center" vertical="top"/>
    </xf>
    <xf numFmtId="0" fontId="10" fillId="0" borderId="0" xfId="0" applyFont="1"/>
    <xf numFmtId="14" fontId="9" fillId="0" borderId="0" xfId="0" applyNumberFormat="1" applyFont="1" applyAlignment="1">
      <alignment horizontal="left" vertical="top"/>
    </xf>
    <xf numFmtId="0" fontId="11" fillId="0" borderId="0" xfId="0" applyFont="1" applyAlignment="1">
      <alignment horizontal="left" vertical="top" wrapText="1"/>
    </xf>
    <xf numFmtId="0" fontId="9" fillId="0" borderId="0" xfId="0" applyFont="1"/>
    <xf numFmtId="166" fontId="9" fillId="0" borderId="0" xfId="5" applyFont="1"/>
    <xf numFmtId="166" fontId="12" fillId="0" borderId="1" xfId="5" applyFont="1" applyBorder="1"/>
    <xf numFmtId="0" fontId="3" fillId="0" borderId="0" xfId="0" applyFont="1" applyAlignment="1">
      <alignment horizontal="left" vertical="top"/>
    </xf>
    <xf numFmtId="0" fontId="13" fillId="0" borderId="0" xfId="0" applyFont="1" applyAlignment="1">
      <alignment vertical="top"/>
    </xf>
    <xf numFmtId="0" fontId="13" fillId="0" borderId="0" xfId="0" applyFont="1"/>
    <xf numFmtId="0" fontId="14" fillId="0" borderId="0" xfId="0" applyFont="1" applyAlignment="1">
      <alignment horizontal="center" vertical="top"/>
    </xf>
    <xf numFmtId="37" fontId="14" fillId="0" borderId="0" xfId="0" applyNumberFormat="1" applyFont="1" applyAlignment="1">
      <alignment horizontal="center" vertical="top"/>
    </xf>
    <xf numFmtId="166" fontId="14" fillId="0" borderId="0" xfId="10" applyFont="1" applyAlignment="1">
      <alignment horizontal="right" vertical="top"/>
    </xf>
    <xf numFmtId="4" fontId="13" fillId="0" borderId="0" xfId="0" applyNumberFormat="1" applyFont="1"/>
    <xf numFmtId="2" fontId="13" fillId="0" borderId="0" xfId="0" applyNumberFormat="1" applyFont="1"/>
    <xf numFmtId="0" fontId="14" fillId="0" borderId="0" xfId="0" applyFont="1" applyAlignment="1">
      <alignment vertical="top"/>
    </xf>
    <xf numFmtId="49" fontId="14" fillId="0" borderId="0" xfId="0" applyNumberFormat="1" applyFont="1" applyAlignment="1">
      <alignment vertical="top"/>
    </xf>
    <xf numFmtId="0" fontId="15" fillId="0" borderId="2" xfId="0" applyFont="1" applyBorder="1" applyAlignment="1">
      <alignment vertical="top"/>
    </xf>
    <xf numFmtId="49" fontId="15" fillId="0" borderId="2" xfId="0" applyNumberFormat="1" applyFont="1" applyBorder="1" applyAlignment="1">
      <alignment vertical="top"/>
    </xf>
    <xf numFmtId="0" fontId="14" fillId="0" borderId="0" xfId="0" applyFont="1" applyAlignment="1">
      <alignment textRotation="90"/>
    </xf>
    <xf numFmtId="37" fontId="14" fillId="0" borderId="3" xfId="0" applyNumberFormat="1" applyFont="1" applyBorder="1" applyAlignment="1">
      <alignment horizontal="center" vertical="top"/>
    </xf>
    <xf numFmtId="39" fontId="14" fillId="0" borderId="3" xfId="0" applyNumberFormat="1" applyFont="1" applyBorder="1" applyAlignment="1">
      <alignment horizontal="center" vertical="top"/>
    </xf>
    <xf numFmtId="166" fontId="14" fillId="0" borderId="3" xfId="10" applyFont="1" applyBorder="1" applyAlignment="1">
      <alignment horizontal="right" vertical="top"/>
    </xf>
    <xf numFmtId="44" fontId="13" fillId="0" borderId="0" xfId="0" applyNumberFormat="1" applyFont="1"/>
    <xf numFmtId="0" fontId="14" fillId="0" borderId="0" xfId="0" applyFont="1" applyAlignment="1" applyProtection="1">
      <alignment vertical="top" wrapText="1"/>
      <protection locked="0"/>
    </xf>
    <xf numFmtId="0" fontId="31" fillId="0" borderId="0" xfId="0" applyFont="1" applyAlignment="1">
      <alignment horizontal="center" vertical="top"/>
    </xf>
    <xf numFmtId="0" fontId="14" fillId="5" borderId="0" xfId="0" applyFont="1" applyFill="1" applyAlignment="1">
      <alignment horizontal="center" vertical="top"/>
    </xf>
    <xf numFmtId="0" fontId="14" fillId="5" borderId="0" xfId="0" applyFont="1" applyFill="1" applyAlignment="1" applyProtection="1">
      <alignment vertical="top" wrapText="1"/>
      <protection locked="0"/>
    </xf>
    <xf numFmtId="37" fontId="14" fillId="5" borderId="3" xfId="0" applyNumberFormat="1" applyFont="1" applyFill="1" applyBorder="1" applyAlignment="1">
      <alignment horizontal="center" vertical="top"/>
    </xf>
    <xf numFmtId="39" fontId="14" fillId="5" borderId="3" xfId="0" applyNumberFormat="1" applyFont="1" applyFill="1" applyBorder="1" applyAlignment="1">
      <alignment horizontal="center" vertical="top"/>
    </xf>
    <xf numFmtId="166" fontId="14" fillId="0" borderId="3" xfId="6" applyFont="1" applyBorder="1" applyAlignment="1">
      <alignment horizontal="right" vertical="top"/>
    </xf>
    <xf numFmtId="0" fontId="15" fillId="0" borderId="0" xfId="0" applyFont="1" applyAlignment="1">
      <alignment vertical="top" wrapText="1"/>
    </xf>
    <xf numFmtId="0" fontId="14" fillId="0" borderId="3" xfId="0" applyFont="1" applyBorder="1" applyAlignment="1">
      <alignment horizontal="center" vertical="top"/>
    </xf>
    <xf numFmtId="0" fontId="14" fillId="0" borderId="0" xfId="0" applyFont="1" applyAlignment="1">
      <alignment vertical="top" wrapText="1"/>
    </xf>
    <xf numFmtId="0" fontId="13" fillId="0" borderId="0" xfId="0" applyFont="1" applyAlignment="1">
      <alignment horizontal="center" vertical="top"/>
    </xf>
    <xf numFmtId="0" fontId="14" fillId="0" borderId="0" xfId="15" applyFont="1" applyAlignment="1">
      <alignment vertical="top"/>
    </xf>
    <xf numFmtId="37" fontId="14" fillId="0" borderId="3" xfId="15" applyNumberFormat="1" applyFont="1" applyBorder="1" applyAlignment="1">
      <alignment horizontal="center" vertical="top"/>
    </xf>
    <xf numFmtId="0" fontId="14" fillId="0" borderId="3" xfId="15" applyFont="1" applyBorder="1" applyAlignment="1">
      <alignment horizontal="center" vertical="top"/>
    </xf>
    <xf numFmtId="0" fontId="14" fillId="0" borderId="0" xfId="15" applyFont="1"/>
    <xf numFmtId="0" fontId="14" fillId="0" borderId="4" xfId="0" applyFont="1" applyBorder="1" applyAlignment="1">
      <alignment horizontal="center" vertical="top"/>
    </xf>
    <xf numFmtId="0" fontId="14" fillId="0" borderId="4" xfId="0" applyFont="1" applyBorder="1" applyAlignment="1">
      <alignment vertical="top"/>
    </xf>
    <xf numFmtId="37" fontId="14" fillId="0" borderId="5" xfId="0" applyNumberFormat="1" applyFont="1" applyBorder="1" applyAlignment="1">
      <alignment horizontal="center" vertical="top"/>
    </xf>
    <xf numFmtId="0" fontId="14" fillId="0" borderId="5" xfId="0" applyFont="1" applyBorder="1" applyAlignment="1">
      <alignment horizontal="center" vertical="top"/>
    </xf>
    <xf numFmtId="168" fontId="13" fillId="0" borderId="2" xfId="0" applyNumberFormat="1" applyFont="1" applyBorder="1" applyAlignment="1">
      <alignment vertical="top"/>
    </xf>
    <xf numFmtId="0" fontId="14" fillId="0" borderId="2" xfId="0" applyFont="1" applyBorder="1" applyAlignment="1">
      <alignment horizontal="left" vertical="top"/>
    </xf>
    <xf numFmtId="0" fontId="14" fillId="0" borderId="6" xfId="0" applyFont="1" applyBorder="1" applyAlignment="1">
      <alignment horizontal="center" vertical="top"/>
    </xf>
    <xf numFmtId="0" fontId="16" fillId="0" borderId="2" xfId="0" applyFont="1" applyBorder="1" applyAlignment="1">
      <alignment horizontal="center" vertical="top"/>
    </xf>
    <xf numFmtId="37" fontId="14" fillId="0" borderId="7" xfId="0" applyNumberFormat="1" applyFont="1" applyBorder="1" applyAlignment="1">
      <alignment horizontal="center" vertical="top"/>
    </xf>
    <xf numFmtId="0" fontId="14" fillId="0" borderId="7" xfId="0" applyFont="1" applyBorder="1" applyAlignment="1">
      <alignment horizontal="center" vertical="top"/>
    </xf>
    <xf numFmtId="166" fontId="14" fillId="0" borderId="0" xfId="10" applyFont="1"/>
    <xf numFmtId="170" fontId="4" fillId="0" borderId="0" xfId="0" applyNumberFormat="1" applyFont="1"/>
    <xf numFmtId="0" fontId="3" fillId="0" borderId="0" xfId="0" applyFont="1" applyAlignment="1">
      <alignment horizontal="left" vertical="top" wrapText="1"/>
    </xf>
    <xf numFmtId="0" fontId="4" fillId="0" borderId="8" xfId="0" applyFont="1" applyBorder="1" applyAlignment="1">
      <alignment horizontal="left" vertical="top" wrapText="1"/>
    </xf>
    <xf numFmtId="0" fontId="32" fillId="0" borderId="0" xfId="0" applyFont="1"/>
    <xf numFmtId="44" fontId="0" fillId="0" borderId="0" xfId="0" applyNumberFormat="1"/>
    <xf numFmtId="170" fontId="13" fillId="0" borderId="0" xfId="0" applyNumberFormat="1" applyFont="1"/>
    <xf numFmtId="170" fontId="2" fillId="0" borderId="0" xfId="0" applyNumberFormat="1" applyFont="1"/>
    <xf numFmtId="0" fontId="17" fillId="0" borderId="0" xfId="0" applyFont="1" applyAlignment="1">
      <alignment horizontal="centerContinuous" vertical="top"/>
    </xf>
    <xf numFmtId="0" fontId="0" fillId="0" borderId="9" xfId="0" applyBorder="1" applyAlignment="1">
      <alignment horizontal="center" vertical="top"/>
    </xf>
    <xf numFmtId="0" fontId="2" fillId="0" borderId="0" xfId="0" applyFont="1" applyAlignment="1">
      <alignment textRotation="90"/>
    </xf>
    <xf numFmtId="4" fontId="2" fillId="0" borderId="0" xfId="0" applyNumberFormat="1" applyFont="1" applyAlignment="1">
      <alignment textRotation="90"/>
    </xf>
    <xf numFmtId="170" fontId="31" fillId="0" borderId="0" xfId="0" applyNumberFormat="1" applyFont="1"/>
    <xf numFmtId="166" fontId="3" fillId="0" borderId="0" xfId="6" applyFont="1" applyAlignment="1">
      <alignment vertical="top"/>
    </xf>
    <xf numFmtId="166" fontId="14" fillId="5" borderId="3" xfId="10" applyFont="1" applyFill="1" applyBorder="1" applyAlignment="1">
      <alignment horizontal="right" vertical="top"/>
    </xf>
    <xf numFmtId="166" fontId="14" fillId="0" borderId="10" xfId="10" applyFont="1" applyBorder="1" applyAlignment="1">
      <alignment horizontal="right" vertical="top"/>
    </xf>
    <xf numFmtId="166" fontId="14" fillId="0" borderId="6" xfId="10" applyFont="1" applyBorder="1" applyAlignment="1">
      <alignment horizontal="right" vertical="top"/>
    </xf>
    <xf numFmtId="166" fontId="14" fillId="0" borderId="11" xfId="10" applyFont="1" applyBorder="1" applyAlignment="1">
      <alignment horizontal="right" vertical="top"/>
    </xf>
    <xf numFmtId="0" fontId="2" fillId="0" borderId="0" xfId="0" applyFont="1"/>
    <xf numFmtId="170" fontId="10" fillId="0" borderId="0" xfId="0" applyNumberFormat="1" applyFont="1"/>
    <xf numFmtId="0" fontId="2" fillId="0" borderId="12" xfId="0" applyFont="1" applyBorder="1" applyAlignment="1">
      <alignment horizontal="center" vertical="top"/>
    </xf>
    <xf numFmtId="0" fontId="4" fillId="0" borderId="13" xfId="0" applyFont="1" applyBorder="1" applyAlignment="1">
      <alignment horizontal="center" textRotation="90" wrapText="1"/>
    </xf>
    <xf numFmtId="4" fontId="4" fillId="0" borderId="13" xfId="0" applyNumberFormat="1" applyFont="1" applyBorder="1" applyAlignment="1">
      <alignment horizontal="center" textRotation="90" wrapText="1"/>
    </xf>
    <xf numFmtId="44" fontId="14" fillId="5" borderId="3" xfId="0" applyNumberFormat="1" applyFont="1" applyFill="1" applyBorder="1" applyAlignment="1">
      <alignment horizontal="center" vertical="top"/>
    </xf>
    <xf numFmtId="173" fontId="14" fillId="0" borderId="3" xfId="0" applyNumberFormat="1" applyFont="1" applyBorder="1" applyAlignment="1">
      <alignment horizontal="center" vertical="top"/>
    </xf>
    <xf numFmtId="0" fontId="2" fillId="0" borderId="0" xfId="15" applyAlignment="1">
      <alignment vertical="top"/>
    </xf>
    <xf numFmtId="37" fontId="2" fillId="0" borderId="3" xfId="15" applyNumberFormat="1" applyBorder="1" applyAlignment="1">
      <alignment horizontal="center" vertical="top"/>
    </xf>
    <xf numFmtId="0" fontId="2" fillId="0" borderId="3" xfId="15" applyBorder="1" applyAlignment="1">
      <alignment horizontal="center" vertical="top"/>
    </xf>
    <xf numFmtId="173" fontId="2" fillId="0" borderId="3" xfId="0" applyNumberFormat="1" applyFont="1" applyBorder="1" applyAlignment="1">
      <alignment horizontal="center" vertical="top"/>
    </xf>
    <xf numFmtId="44" fontId="14" fillId="0" borderId="3" xfId="10" applyNumberFormat="1" applyFont="1" applyBorder="1" applyAlignment="1">
      <alignment horizontal="right" vertical="top"/>
    </xf>
    <xf numFmtId="166" fontId="2" fillId="0" borderId="3" xfId="6" applyBorder="1" applyAlignment="1">
      <alignment horizontal="right" vertical="top"/>
    </xf>
    <xf numFmtId="44" fontId="33" fillId="5" borderId="3" xfId="0" applyNumberFormat="1" applyFont="1" applyFill="1" applyBorder="1" applyAlignment="1">
      <alignment horizontal="center" vertical="top"/>
    </xf>
    <xf numFmtId="9" fontId="13" fillId="0" borderId="0" xfId="21" applyFont="1" applyAlignment="1">
      <alignment horizontal="right"/>
    </xf>
    <xf numFmtId="9" fontId="14" fillId="0" borderId="0" xfId="21" applyFont="1" applyAlignment="1">
      <alignment horizontal="right" vertical="top"/>
    </xf>
    <xf numFmtId="9" fontId="13" fillId="5" borderId="9" xfId="21" applyFont="1" applyFill="1" applyBorder="1" applyAlignment="1">
      <alignment horizontal="right"/>
    </xf>
    <xf numFmtId="9" fontId="14" fillId="0" borderId="9" xfId="21" applyFont="1" applyBorder="1" applyAlignment="1">
      <alignment horizontal="right" vertical="top"/>
    </xf>
    <xf numFmtId="9" fontId="14" fillId="0" borderId="0" xfId="21" applyFont="1" applyAlignment="1">
      <alignment horizontal="right"/>
    </xf>
    <xf numFmtId="0" fontId="15" fillId="0" borderId="6" xfId="0" applyFont="1" applyBorder="1" applyAlignment="1">
      <alignment horizontal="center"/>
    </xf>
    <xf numFmtId="166" fontId="15" fillId="0" borderId="6" xfId="10" applyFont="1" applyBorder="1" applyAlignment="1">
      <alignment horizontal="center"/>
    </xf>
    <xf numFmtId="9" fontId="33" fillId="0" borderId="14" xfId="21" applyFont="1" applyBorder="1" applyAlignment="1">
      <alignment horizontal="right" textRotation="90" wrapText="1"/>
    </xf>
    <xf numFmtId="9" fontId="32" fillId="0" borderId="9" xfId="21" applyFont="1" applyBorder="1" applyAlignment="1">
      <alignment horizontal="right"/>
    </xf>
    <xf numFmtId="9" fontId="14" fillId="0" borderId="15" xfId="21" applyFont="1" applyBorder="1" applyAlignment="1">
      <alignment horizontal="right" vertical="top"/>
    </xf>
    <xf numFmtId="166" fontId="33" fillId="0" borderId="14" xfId="10" applyFont="1" applyBorder="1"/>
    <xf numFmtId="166" fontId="32" fillId="0" borderId="9" xfId="10" applyFont="1" applyBorder="1"/>
    <xf numFmtId="166" fontId="14" fillId="5" borderId="9" xfId="10" applyFont="1" applyFill="1" applyBorder="1"/>
    <xf numFmtId="166" fontId="14" fillId="0" borderId="14" xfId="6" applyFont="1" applyBorder="1"/>
    <xf numFmtId="166" fontId="14" fillId="0" borderId="15" xfId="10" applyFont="1" applyBorder="1"/>
    <xf numFmtId="166" fontId="14" fillId="0" borderId="9" xfId="6" applyFont="1" applyBorder="1"/>
    <xf numFmtId="166" fontId="2" fillId="0" borderId="0" xfId="6"/>
    <xf numFmtId="166" fontId="14" fillId="0" borderId="0" xfId="6" applyFont="1"/>
    <xf numFmtId="166" fontId="14" fillId="0" borderId="16" xfId="10" applyFont="1" applyBorder="1" applyAlignment="1">
      <alignment vertical="top"/>
    </xf>
    <xf numFmtId="2" fontId="2" fillId="0" borderId="0" xfId="0" applyNumberFormat="1" applyFont="1"/>
    <xf numFmtId="2" fontId="2" fillId="0" borderId="0" xfId="15" applyNumberFormat="1"/>
    <xf numFmtId="2" fontId="4" fillId="0" borderId="0" xfId="15" applyNumberFormat="1" applyFont="1"/>
    <xf numFmtId="2" fontId="29" fillId="0" borderId="0" xfId="0" applyNumberFormat="1" applyFont="1"/>
    <xf numFmtId="2" fontId="28" fillId="0" borderId="0" xfId="0" applyNumberFormat="1" applyFont="1"/>
    <xf numFmtId="2" fontId="2" fillId="0" borderId="0" xfId="6" applyNumberFormat="1" applyAlignment="1">
      <alignment horizontal="left" vertical="top"/>
    </xf>
    <xf numFmtId="2" fontId="2" fillId="0" borderId="0" xfId="6" applyNumberFormat="1" applyAlignment="1">
      <alignment horizontal="right" vertical="top"/>
    </xf>
    <xf numFmtId="2" fontId="2" fillId="5" borderId="0" xfId="6" applyNumberFormat="1" applyFill="1" applyAlignment="1">
      <alignment horizontal="left" vertical="top"/>
    </xf>
    <xf numFmtId="2" fontId="2" fillId="5" borderId="0" xfId="15" applyNumberFormat="1" applyFill="1"/>
    <xf numFmtId="2" fontId="2" fillId="5" borderId="0" xfId="6" applyNumberFormat="1" applyFill="1" applyAlignment="1">
      <alignment horizontal="right" vertical="top"/>
    </xf>
    <xf numFmtId="0" fontId="2" fillId="0" borderId="9" xfId="0" applyFont="1" applyBorder="1" applyAlignment="1">
      <alignment horizontal="center" vertical="top"/>
    </xf>
    <xf numFmtId="49" fontId="4" fillId="0" borderId="0" xfId="0" applyNumberFormat="1" applyFont="1" applyAlignment="1">
      <alignment vertical="top"/>
    </xf>
    <xf numFmtId="0" fontId="2" fillId="0" borderId="15" xfId="0" applyFont="1" applyBorder="1" applyAlignment="1">
      <alignment vertical="top"/>
    </xf>
    <xf numFmtId="4" fontId="2" fillId="0" borderId="15" xfId="0" applyNumberFormat="1" applyFont="1" applyBorder="1" applyAlignment="1">
      <alignment vertical="top"/>
    </xf>
    <xf numFmtId="0" fontId="32" fillId="0" borderId="15" xfId="0" applyFont="1" applyBorder="1" applyAlignment="1">
      <alignment vertical="top"/>
    </xf>
    <xf numFmtId="166" fontId="32" fillId="0" borderId="9" xfId="10" applyFont="1" applyBorder="1" applyAlignment="1">
      <alignment vertical="top"/>
    </xf>
    <xf numFmtId="9" fontId="31" fillId="0" borderId="9" xfId="21" applyFont="1" applyBorder="1" applyAlignment="1">
      <alignment horizontal="right" vertical="top"/>
    </xf>
    <xf numFmtId="0" fontId="4" fillId="0" borderId="0" xfId="0" applyFont="1" applyAlignment="1" applyProtection="1">
      <alignment vertical="top" wrapText="1"/>
      <protection locked="0"/>
    </xf>
    <xf numFmtId="175" fontId="0" fillId="0" borderId="9" xfId="0" applyNumberFormat="1" applyBorder="1" applyAlignment="1">
      <alignment horizontal="center" vertical="top"/>
    </xf>
    <xf numFmtId="2" fontId="2" fillId="0" borderId="9" xfId="0" applyNumberFormat="1" applyFont="1" applyBorder="1" applyAlignment="1">
      <alignment horizontal="center" vertical="top"/>
    </xf>
    <xf numFmtId="44" fontId="2" fillId="0" borderId="9" xfId="0" applyNumberFormat="1" applyFont="1" applyBorder="1" applyAlignment="1">
      <alignment vertical="top"/>
    </xf>
    <xf numFmtId="44" fontId="34" fillId="0" borderId="9" xfId="0" applyNumberFormat="1" applyFont="1" applyBorder="1" applyAlignment="1">
      <alignment vertical="top"/>
    </xf>
    <xf numFmtId="44" fontId="2" fillId="0" borderId="9" xfId="10" applyNumberFormat="1" applyBorder="1" applyAlignment="1">
      <alignment horizontal="right" vertical="top"/>
    </xf>
    <xf numFmtId="37" fontId="2" fillId="0" borderId="9" xfId="0" applyNumberFormat="1" applyFont="1" applyBorder="1" applyAlignment="1">
      <alignment horizontal="center" vertical="top"/>
    </xf>
    <xf numFmtId="14" fontId="3" fillId="0" borderId="0" xfId="0" applyNumberFormat="1" applyFont="1" applyAlignment="1">
      <alignment horizontal="left" vertical="top"/>
    </xf>
    <xf numFmtId="14" fontId="35" fillId="0" borderId="0" xfId="0" applyNumberFormat="1" applyFont="1" applyAlignment="1">
      <alignment horizontal="left" vertical="top"/>
    </xf>
    <xf numFmtId="0" fontId="2" fillId="0" borderId="0" xfId="15" applyFont="1" applyAlignment="1">
      <alignment vertical="top"/>
    </xf>
    <xf numFmtId="39" fontId="2" fillId="0" borderId="12" xfId="0" applyNumberFormat="1" applyFont="1" applyBorder="1" applyAlignment="1">
      <alignment horizontal="center" vertical="top"/>
    </xf>
    <xf numFmtId="9" fontId="32" fillId="0" borderId="9" xfId="22" applyFont="1" applyBorder="1" applyAlignment="1">
      <alignment horizontal="right" vertical="top"/>
    </xf>
    <xf numFmtId="0" fontId="12" fillId="0" borderId="1" xfId="0" applyFont="1" applyBorder="1"/>
    <xf numFmtId="173" fontId="32" fillId="0" borderId="16" xfId="22" applyNumberFormat="1" applyFont="1" applyBorder="1" applyAlignment="1">
      <alignment horizontal="right" vertical="top"/>
    </xf>
    <xf numFmtId="44" fontId="32" fillId="0" borderId="0" xfId="0" applyNumberFormat="1" applyFont="1"/>
    <xf numFmtId="170" fontId="32" fillId="0" borderId="9" xfId="0" applyNumberFormat="1" applyFont="1" applyBorder="1" applyAlignment="1">
      <alignment horizontal="center" vertical="top"/>
    </xf>
    <xf numFmtId="170" fontId="2" fillId="0" borderId="0" xfId="0" applyNumberFormat="1" applyFont="1" applyAlignment="1">
      <alignment vertical="top"/>
    </xf>
    <xf numFmtId="166" fontId="4" fillId="0" borderId="15" xfId="10" applyFont="1" applyBorder="1" applyAlignment="1">
      <alignment horizontal="right" vertical="top"/>
    </xf>
    <xf numFmtId="9" fontId="33" fillId="0" borderId="15" xfId="21" applyFont="1" applyBorder="1" applyAlignment="1">
      <alignment horizontal="right" vertical="top"/>
    </xf>
    <xf numFmtId="166" fontId="33" fillId="0" borderId="15" xfId="10" applyFont="1" applyBorder="1" applyAlignment="1">
      <alignment vertical="top"/>
    </xf>
    <xf numFmtId="0" fontId="2" fillId="0" borderId="9" xfId="0" applyFont="1" applyBorder="1" applyAlignment="1">
      <alignment vertical="top"/>
    </xf>
    <xf numFmtId="4" fontId="2" fillId="0" borderId="9" xfId="0" applyNumberFormat="1" applyFont="1" applyBorder="1" applyAlignment="1">
      <alignment vertical="top"/>
    </xf>
    <xf numFmtId="0" fontId="32" fillId="0" borderId="9" xfId="0" applyFont="1" applyBorder="1" applyAlignment="1">
      <alignment vertical="top"/>
    </xf>
    <xf numFmtId="166" fontId="4" fillId="0" borderId="9" xfId="10" applyFont="1" applyBorder="1" applyAlignment="1">
      <alignment horizontal="right" vertical="top"/>
    </xf>
    <xf numFmtId="9" fontId="33" fillId="0" borderId="9" xfId="21" applyFont="1" applyBorder="1" applyAlignment="1">
      <alignment horizontal="right" vertical="top"/>
    </xf>
    <xf numFmtId="166" fontId="33" fillId="0" borderId="9" xfId="10" applyFont="1" applyBorder="1" applyAlignment="1">
      <alignment vertical="top"/>
    </xf>
    <xf numFmtId="49" fontId="2" fillId="0" borderId="0" xfId="0" applyNumberFormat="1" applyFont="1" applyAlignment="1">
      <alignment vertical="top"/>
    </xf>
    <xf numFmtId="0" fontId="2" fillId="5" borderId="0" xfId="15" applyFill="1" applyAlignment="1">
      <alignment vertical="top"/>
    </xf>
    <xf numFmtId="166" fontId="2" fillId="5" borderId="3" xfId="6" applyFill="1" applyBorder="1" applyAlignment="1">
      <alignment horizontal="right" vertical="top"/>
    </xf>
    <xf numFmtId="44" fontId="2" fillId="0" borderId="0" xfId="0" applyNumberFormat="1" applyFont="1" applyAlignment="1">
      <alignment vertical="top"/>
    </xf>
    <xf numFmtId="49" fontId="21" fillId="0" borderId="0" xfId="0" applyNumberFormat="1" applyFont="1" applyAlignment="1">
      <alignment vertical="top"/>
    </xf>
    <xf numFmtId="0" fontId="2" fillId="0" borderId="0" xfId="0" applyFont="1" applyFill="1" applyAlignment="1">
      <alignment horizontal="left" vertical="top" wrapText="1"/>
    </xf>
    <xf numFmtId="0" fontId="2" fillId="0" borderId="9" xfId="0" applyFont="1" applyFill="1" applyBorder="1" applyAlignment="1">
      <alignment horizontal="center" vertical="top"/>
    </xf>
    <xf numFmtId="0" fontId="2" fillId="0" borderId="12" xfId="0" applyFont="1" applyFill="1" applyBorder="1" applyAlignment="1">
      <alignment horizontal="center" vertical="top"/>
    </xf>
    <xf numFmtId="0" fontId="2" fillId="0" borderId="0" xfId="0" applyFont="1" applyAlignment="1">
      <alignment vertical="top" textRotation="90"/>
    </xf>
    <xf numFmtId="4" fontId="2" fillId="0" borderId="0" xfId="0" applyNumberFormat="1" applyFont="1" applyAlignment="1">
      <alignment vertical="top" textRotation="90"/>
    </xf>
    <xf numFmtId="9" fontId="32" fillId="0" borderId="9" xfId="21" applyNumberFormat="1" applyFont="1" applyBorder="1" applyAlignment="1">
      <alignment horizontal="right"/>
    </xf>
    <xf numFmtId="0" fontId="31" fillId="0" borderId="9" xfId="0" applyFont="1" applyFill="1" applyBorder="1" applyAlignment="1">
      <alignment horizontal="center" vertical="top"/>
    </xf>
    <xf numFmtId="0" fontId="2" fillId="0" borderId="0" xfId="15" applyAlignment="1" applyProtection="1">
      <alignment vertical="top" wrapText="1"/>
      <protection locked="0"/>
    </xf>
    <xf numFmtId="49" fontId="2" fillId="0" borderId="0" xfId="0" applyNumberFormat="1" applyFont="1" applyFill="1" applyAlignment="1">
      <alignment vertical="top" wrapText="1"/>
    </xf>
    <xf numFmtId="0" fontId="23" fillId="0" borderId="0" xfId="0" applyFont="1"/>
    <xf numFmtId="4" fontId="23" fillId="0" borderId="0" xfId="0" applyNumberFormat="1" applyFont="1"/>
    <xf numFmtId="170" fontId="23" fillId="0" borderId="0" xfId="0" applyNumberFormat="1" applyFont="1"/>
    <xf numFmtId="0" fontId="14" fillId="0" borderId="0" xfId="0" applyFont="1" applyAlignment="1">
      <alignment vertical="top" textRotation="90"/>
    </xf>
    <xf numFmtId="44" fontId="14" fillId="0" borderId="0" xfId="0" applyNumberFormat="1" applyFont="1" applyAlignment="1">
      <alignment vertical="top"/>
    </xf>
    <xf numFmtId="49" fontId="22" fillId="0" borderId="0" xfId="0" applyNumberFormat="1" applyFont="1" applyAlignment="1">
      <alignment vertical="top"/>
    </xf>
    <xf numFmtId="0" fontId="22" fillId="0" borderId="0" xfId="0" applyFont="1" applyAlignment="1">
      <alignment horizontal="left" vertical="top" wrapText="1"/>
    </xf>
    <xf numFmtId="0" fontId="36" fillId="0" borderId="0" xfId="0" applyFont="1" applyAlignment="1">
      <alignment horizontal="left" vertical="top" wrapText="1"/>
    </xf>
    <xf numFmtId="0" fontId="22" fillId="0" borderId="0" xfId="0" applyFont="1" applyFill="1" applyAlignment="1">
      <alignment horizontal="left" vertical="top" wrapText="1"/>
    </xf>
    <xf numFmtId="49" fontId="18" fillId="0" borderId="0" xfId="0" applyNumberFormat="1" applyFont="1" applyAlignment="1">
      <alignment vertical="top"/>
    </xf>
    <xf numFmtId="0" fontId="31" fillId="0" borderId="9" xfId="0" applyFont="1" applyBorder="1" applyAlignment="1">
      <alignment horizontal="center" vertical="top"/>
    </xf>
    <xf numFmtId="49" fontId="2" fillId="0" borderId="0" xfId="0" applyNumberFormat="1" applyFont="1" applyAlignment="1">
      <alignment vertical="top" wrapText="1"/>
    </xf>
    <xf numFmtId="49" fontId="3" fillId="0" borderId="0" xfId="0" applyNumberFormat="1" applyFont="1" applyAlignment="1">
      <alignment vertical="top"/>
    </xf>
    <xf numFmtId="0" fontId="13" fillId="0" borderId="9" xfId="0" applyFont="1" applyBorder="1"/>
    <xf numFmtId="9" fontId="13" fillId="0" borderId="9" xfId="21" applyFont="1" applyBorder="1" applyAlignment="1">
      <alignment horizontal="right"/>
    </xf>
    <xf numFmtId="44" fontId="2" fillId="0" borderId="0" xfId="0" applyNumberFormat="1" applyFont="1"/>
    <xf numFmtId="0" fontId="2" fillId="0" borderId="0" xfId="15"/>
    <xf numFmtId="0" fontId="25" fillId="3" borderId="0" xfId="15" applyFont="1" applyFill="1"/>
    <xf numFmtId="9" fontId="2" fillId="0" borderId="0" xfId="15" applyNumberFormat="1"/>
    <xf numFmtId="14" fontId="25" fillId="3" borderId="0" xfId="15" applyNumberFormat="1" applyFont="1" applyFill="1"/>
    <xf numFmtId="0" fontId="25" fillId="0" borderId="0" xfId="15" applyFont="1"/>
    <xf numFmtId="171" fontId="2" fillId="2" borderId="17" xfId="15" applyNumberFormat="1" applyFill="1" applyBorder="1"/>
    <xf numFmtId="0" fontId="2" fillId="2" borderId="18" xfId="15" applyFill="1" applyBorder="1"/>
    <xf numFmtId="0" fontId="4" fillId="0" borderId="0" xfId="15" applyFont="1"/>
    <xf numFmtId="172" fontId="2" fillId="0" borderId="0" xfId="15" applyNumberFormat="1"/>
    <xf numFmtId="9" fontId="2" fillId="2" borderId="19" xfId="15" applyNumberFormat="1" applyFill="1" applyBorder="1"/>
    <xf numFmtId="0" fontId="2" fillId="2" borderId="20" xfId="15" applyFill="1" applyBorder="1"/>
    <xf numFmtId="172" fontId="0" fillId="2" borderId="19" xfId="6" applyNumberFormat="1" applyFont="1" applyFill="1" applyBorder="1"/>
    <xf numFmtId="166" fontId="0" fillId="2" borderId="19" xfId="6" applyFont="1" applyFill="1" applyBorder="1"/>
    <xf numFmtId="37" fontId="2" fillId="2" borderId="19" xfId="15" applyNumberFormat="1" applyFill="1" applyBorder="1"/>
    <xf numFmtId="0" fontId="4" fillId="2" borderId="21" xfId="15" applyFont="1" applyFill="1" applyBorder="1" applyAlignment="1" applyProtection="1">
      <alignment horizontal="left" vertical="top" wrapText="1"/>
      <protection locked="0"/>
    </xf>
    <xf numFmtId="166" fontId="2" fillId="0" borderId="0" xfId="15" applyNumberFormat="1"/>
    <xf numFmtId="44" fontId="2" fillId="0" borderId="0" xfId="15" applyNumberFormat="1"/>
    <xf numFmtId="166" fontId="4" fillId="2" borderId="19" xfId="6" applyFont="1" applyFill="1" applyBorder="1"/>
    <xf numFmtId="0" fontId="4" fillId="2" borderId="22" xfId="15" applyFont="1" applyFill="1" applyBorder="1"/>
    <xf numFmtId="0" fontId="2" fillId="2" borderId="23" xfId="15" applyFill="1" applyBorder="1"/>
    <xf numFmtId="172" fontId="2" fillId="4" borderId="18" xfId="6" applyNumberFormat="1" applyFont="1" applyFill="1" applyBorder="1"/>
    <xf numFmtId="172" fontId="2" fillId="3" borderId="24" xfId="6" applyNumberFormat="1" applyFont="1" applyFill="1" applyBorder="1"/>
    <xf numFmtId="172" fontId="2" fillId="4" borderId="23" xfId="6" applyNumberFormat="1" applyFont="1" applyFill="1" applyBorder="1"/>
    <xf numFmtId="171" fontId="2" fillId="0" borderId="0" xfId="15" applyNumberFormat="1"/>
    <xf numFmtId="1" fontId="2" fillId="0" borderId="0" xfId="15" applyNumberFormat="1"/>
    <xf numFmtId="177" fontId="2" fillId="0" borderId="0" xfId="15" applyNumberFormat="1"/>
    <xf numFmtId="2" fontId="4" fillId="0" borderId="0" xfId="15" applyNumberFormat="1" applyFont="1" applyAlignment="1">
      <alignment horizontal="right"/>
    </xf>
    <xf numFmtId="0" fontId="4" fillId="0" borderId="0" xfId="15" applyFont="1" applyAlignment="1">
      <alignment horizontal="right"/>
    </xf>
    <xf numFmtId="1" fontId="4" fillId="0" borderId="0" xfId="15" applyNumberFormat="1" applyFont="1"/>
    <xf numFmtId="44" fontId="4" fillId="0" borderId="0" xfId="15" applyNumberFormat="1" applyFont="1"/>
    <xf numFmtId="0" fontId="2" fillId="0" borderId="0" xfId="15" applyAlignment="1">
      <alignment horizontal="right"/>
    </xf>
    <xf numFmtId="169" fontId="29" fillId="0" borderId="0" xfId="0" applyNumberFormat="1" applyFont="1"/>
    <xf numFmtId="169" fontId="0" fillId="0" borderId="0" xfId="0" applyNumberFormat="1"/>
    <xf numFmtId="0" fontId="4" fillId="0" borderId="0" xfId="0" applyFont="1"/>
    <xf numFmtId="2" fontId="0" fillId="0" borderId="0" xfId="0" applyNumberFormat="1"/>
    <xf numFmtId="169" fontId="0" fillId="6" borderId="25" xfId="0" applyNumberFormat="1" applyFill="1" applyBorder="1"/>
    <xf numFmtId="0" fontId="2" fillId="0" borderId="0" xfId="0" applyFont="1" applyAlignment="1">
      <alignment horizontal="right"/>
    </xf>
    <xf numFmtId="43" fontId="29" fillId="0" borderId="0" xfId="0" applyNumberFormat="1" applyFont="1"/>
    <xf numFmtId="0" fontId="29" fillId="0" borderId="0" xfId="0" applyFont="1"/>
    <xf numFmtId="170" fontId="2" fillId="0" borderId="0" xfId="15" applyNumberFormat="1"/>
    <xf numFmtId="14" fontId="25" fillId="0" borderId="0" xfId="15" applyNumberFormat="1" applyFont="1"/>
    <xf numFmtId="0" fontId="2" fillId="2" borderId="17" xfId="15" applyFill="1" applyBorder="1"/>
    <xf numFmtId="172" fontId="4" fillId="0" borderId="0" xfId="15" applyNumberFormat="1" applyFont="1"/>
    <xf numFmtId="0" fontId="2" fillId="2" borderId="19" xfId="15" applyFill="1" applyBorder="1"/>
    <xf numFmtId="167" fontId="2" fillId="0" borderId="0" xfId="2" applyFont="1"/>
    <xf numFmtId="0" fontId="2" fillId="2" borderId="22" xfId="15" applyFill="1" applyBorder="1"/>
    <xf numFmtId="170" fontId="0" fillId="0" borderId="0" xfId="0" applyNumberFormat="1"/>
    <xf numFmtId="0" fontId="2" fillId="4" borderId="26" xfId="15" applyFill="1" applyBorder="1"/>
    <xf numFmtId="171" fontId="2" fillId="0" borderId="0" xfId="2" applyNumberFormat="1" applyFont="1"/>
    <xf numFmtId="0" fontId="2" fillId="3" borderId="27" xfId="15" applyFill="1" applyBorder="1"/>
    <xf numFmtId="0" fontId="2" fillId="4" borderId="28" xfId="15" applyFill="1" applyBorder="1"/>
    <xf numFmtId="171" fontId="4" fillId="0" borderId="0" xfId="2" applyNumberFormat="1" applyFont="1"/>
    <xf numFmtId="172" fontId="24" fillId="0" borderId="0" xfId="6" applyNumberFormat="1" applyFont="1"/>
    <xf numFmtId="166" fontId="2" fillId="0" borderId="0" xfId="6" applyFont="1"/>
    <xf numFmtId="172" fontId="2" fillId="0" borderId="0" xfId="6" applyNumberFormat="1" applyFont="1"/>
    <xf numFmtId="166" fontId="2" fillId="0" borderId="2" xfId="6" applyFont="1" applyBorder="1"/>
    <xf numFmtId="166" fontId="4" fillId="0" borderId="0" xfId="6" applyFont="1"/>
    <xf numFmtId="176" fontId="2" fillId="0" borderId="0" xfId="6" applyNumberFormat="1" applyFont="1"/>
    <xf numFmtId="175" fontId="4" fillId="0" borderId="0" xfId="15" applyNumberFormat="1" applyFont="1"/>
    <xf numFmtId="0" fontId="12" fillId="0" borderId="0" xfId="15" applyFont="1"/>
    <xf numFmtId="166" fontId="12" fillId="0" borderId="0" xfId="6" applyFont="1"/>
    <xf numFmtId="9" fontId="0" fillId="0" borderId="0" xfId="0" applyNumberFormat="1"/>
    <xf numFmtId="178" fontId="2" fillId="0" borderId="0" xfId="15" applyNumberFormat="1" applyFill="1"/>
    <xf numFmtId="178" fontId="2" fillId="0" borderId="0" xfId="2" applyNumberFormat="1" applyFont="1"/>
    <xf numFmtId="3" fontId="2" fillId="0" borderId="0" xfId="15" applyNumberFormat="1"/>
    <xf numFmtId="0" fontId="4" fillId="5" borderId="0" xfId="15" applyFont="1" applyFill="1"/>
    <xf numFmtId="0" fontId="21" fillId="0" borderId="0" xfId="15" applyFont="1"/>
    <xf numFmtId="0" fontId="37" fillId="0" borderId="0" xfId="0" applyFont="1"/>
    <xf numFmtId="0" fontId="22" fillId="0" borderId="0" xfId="15" applyFont="1"/>
    <xf numFmtId="1" fontId="4" fillId="0" borderId="0" xfId="15" applyNumberFormat="1" applyFont="1" applyAlignment="1">
      <alignment horizontal="right"/>
    </xf>
    <xf numFmtId="2" fontId="2" fillId="0" borderId="0" xfId="15" applyNumberFormat="1" applyAlignment="1">
      <alignment horizontal="right"/>
    </xf>
    <xf numFmtId="1" fontId="0" fillId="0" borderId="0" xfId="0" applyNumberFormat="1"/>
    <xf numFmtId="10" fontId="0" fillId="0" borderId="0" xfId="22" applyNumberFormat="1" applyFont="1"/>
    <xf numFmtId="170" fontId="0" fillId="6" borderId="0" xfId="0" applyNumberFormat="1" applyFill="1"/>
    <xf numFmtId="0" fontId="2" fillId="7" borderId="0" xfId="15" applyFill="1"/>
    <xf numFmtId="8" fontId="0" fillId="0" borderId="0" xfId="0" applyNumberFormat="1"/>
    <xf numFmtId="44" fontId="2" fillId="0" borderId="4" xfId="15" applyNumberFormat="1" applyBorder="1"/>
    <xf numFmtId="2" fontId="37" fillId="0" borderId="0" xfId="0" applyNumberFormat="1" applyFont="1"/>
    <xf numFmtId="2" fontId="22" fillId="0" borderId="0" xfId="15" applyNumberFormat="1" applyFont="1" applyAlignment="1">
      <alignment horizontal="right"/>
    </xf>
    <xf numFmtId="166" fontId="4" fillId="0" borderId="0" xfId="15" applyNumberFormat="1" applyFont="1" applyAlignment="1">
      <alignment horizontal="left"/>
    </xf>
    <xf numFmtId="170" fontId="4" fillId="6" borderId="25" xfId="15" applyNumberFormat="1" applyFont="1" applyFill="1" applyBorder="1" applyAlignment="1">
      <alignment horizontal="right"/>
    </xf>
    <xf numFmtId="2" fontId="4" fillId="0" borderId="0" xfId="15" applyNumberFormat="1" applyFont="1" applyAlignment="1">
      <alignment horizontal="left"/>
    </xf>
    <xf numFmtId="166" fontId="4" fillId="0" borderId="0" xfId="15" applyNumberFormat="1" applyFont="1"/>
    <xf numFmtId="0" fontId="2" fillId="0" borderId="2" xfId="15" applyBorder="1"/>
    <xf numFmtId="170" fontId="22" fillId="0" borderId="2" xfId="15" applyNumberFormat="1" applyFont="1" applyBorder="1"/>
    <xf numFmtId="166" fontId="4" fillId="0" borderId="2" xfId="15" applyNumberFormat="1" applyFont="1" applyBorder="1"/>
    <xf numFmtId="170" fontId="22" fillId="0" borderId="0" xfId="15" applyNumberFormat="1" applyFont="1"/>
    <xf numFmtId="4" fontId="0" fillId="0" borderId="0" xfId="0" applyNumberFormat="1"/>
    <xf numFmtId="49" fontId="2" fillId="0" borderId="0" xfId="0" applyNumberFormat="1" applyFont="1" applyFill="1" applyAlignment="1">
      <alignment vertical="top"/>
    </xf>
    <xf numFmtId="0" fontId="2" fillId="0" borderId="0" xfId="0" applyFont="1" applyAlignment="1">
      <alignment vertical="top"/>
    </xf>
    <xf numFmtId="0" fontId="2" fillId="0" borderId="0" xfId="0" applyFont="1" applyAlignment="1"/>
    <xf numFmtId="49" fontId="18" fillId="0" borderId="0" xfId="0" applyNumberFormat="1" applyFont="1" applyFill="1" applyAlignment="1">
      <alignment vertical="top"/>
    </xf>
    <xf numFmtId="49" fontId="22" fillId="0" borderId="0" xfId="0" applyNumberFormat="1" applyFont="1" applyFill="1" applyAlignment="1">
      <alignment vertical="top"/>
    </xf>
    <xf numFmtId="0" fontId="0" fillId="8" borderId="0" xfId="0" applyFill="1"/>
    <xf numFmtId="169" fontId="4" fillId="5" borderId="0" xfId="15" applyNumberFormat="1" applyFont="1" applyFill="1"/>
    <xf numFmtId="0" fontId="2" fillId="5" borderId="0" xfId="15" applyFill="1"/>
    <xf numFmtId="170" fontId="21" fillId="0" borderId="0" xfId="15" applyNumberFormat="1" applyFont="1"/>
    <xf numFmtId="1" fontId="2" fillId="0" borderId="0" xfId="15" applyNumberFormat="1" applyAlignment="1">
      <alignment horizontal="right"/>
    </xf>
    <xf numFmtId="8" fontId="2" fillId="0" borderId="0" xfId="15" applyNumberFormat="1"/>
    <xf numFmtId="1" fontId="2" fillId="0" borderId="0" xfId="15" applyNumberFormat="1" applyAlignment="1">
      <alignment horizontal="left"/>
    </xf>
    <xf numFmtId="2" fontId="22" fillId="0" borderId="0" xfId="15" applyNumberFormat="1" applyFont="1"/>
    <xf numFmtId="170" fontId="38" fillId="0" borderId="0" xfId="0" applyNumberFormat="1" applyFont="1"/>
    <xf numFmtId="2" fontId="39" fillId="0" borderId="0" xfId="15" applyNumberFormat="1" applyFont="1"/>
    <xf numFmtId="0" fontId="22" fillId="0" borderId="2" xfId="15" applyFont="1" applyBorder="1"/>
    <xf numFmtId="2" fontId="4" fillId="0" borderId="2" xfId="15" applyNumberFormat="1" applyFont="1" applyBorder="1"/>
    <xf numFmtId="2" fontId="2" fillId="0" borderId="0" xfId="15" applyNumberFormat="1" applyAlignment="1">
      <alignment horizontal="left"/>
    </xf>
    <xf numFmtId="8" fontId="22" fillId="0" borderId="0" xfId="0" applyNumberFormat="1" applyFont="1"/>
    <xf numFmtId="2" fontId="21" fillId="0" borderId="2" xfId="15" applyNumberFormat="1" applyFont="1" applyBorder="1"/>
    <xf numFmtId="170" fontId="29" fillId="0" borderId="0" xfId="0" applyNumberFormat="1" applyFont="1"/>
    <xf numFmtId="2" fontId="29" fillId="6" borderId="25" xfId="0" applyNumberFormat="1" applyFont="1" applyFill="1" applyBorder="1"/>
    <xf numFmtId="2" fontId="29" fillId="6" borderId="0" xfId="0" applyNumberFormat="1" applyFont="1" applyFill="1"/>
    <xf numFmtId="0" fontId="4" fillId="9" borderId="0" xfId="0" applyFont="1" applyFill="1"/>
    <xf numFmtId="169" fontId="2" fillId="5" borderId="0" xfId="15" applyNumberFormat="1" applyFill="1"/>
    <xf numFmtId="1" fontId="2" fillId="5" borderId="0" xfId="15" applyNumberFormat="1" applyFill="1"/>
    <xf numFmtId="0" fontId="0" fillId="5" borderId="0" xfId="0" applyFill="1"/>
    <xf numFmtId="2" fontId="31" fillId="0" borderId="0" xfId="15" applyNumberFormat="1" applyFont="1" applyAlignment="1">
      <alignment horizontal="right"/>
    </xf>
    <xf numFmtId="2" fontId="31" fillId="0" borderId="0" xfId="15" applyNumberFormat="1" applyFont="1"/>
    <xf numFmtId="2" fontId="31" fillId="0" borderId="0" xfId="0" applyNumberFormat="1" applyFont="1"/>
    <xf numFmtId="0" fontId="0" fillId="10" borderId="0" xfId="0" applyFill="1"/>
    <xf numFmtId="179" fontId="0" fillId="0" borderId="0" xfId="0" applyNumberFormat="1"/>
    <xf numFmtId="0" fontId="31" fillId="0" borderId="0" xfId="15" applyFont="1" applyAlignment="1">
      <alignment horizontal="right"/>
    </xf>
    <xf numFmtId="0" fontId="2" fillId="0" borderId="10" xfId="0" applyFont="1" applyBorder="1"/>
    <xf numFmtId="0" fontId="13" fillId="0" borderId="4" xfId="0" applyFont="1" applyBorder="1"/>
    <xf numFmtId="0" fontId="13" fillId="0" borderId="29" xfId="0" applyFont="1" applyBorder="1"/>
    <xf numFmtId="0" fontId="13" fillId="0" borderId="12" xfId="0" applyFont="1" applyBorder="1"/>
    <xf numFmtId="0" fontId="2" fillId="0" borderId="0" xfId="0" applyFont="1" applyBorder="1" applyAlignment="1">
      <alignment horizontal="right"/>
    </xf>
    <xf numFmtId="0" fontId="13" fillId="0" borderId="0" xfId="0" applyFont="1" applyBorder="1"/>
    <xf numFmtId="0" fontId="13" fillId="0" borderId="30" xfId="0" applyFont="1" applyBorder="1"/>
    <xf numFmtId="170" fontId="13" fillId="0" borderId="0" xfId="0" applyNumberFormat="1" applyFont="1" applyBorder="1"/>
    <xf numFmtId="0" fontId="13" fillId="0" borderId="31" xfId="0" applyFont="1" applyBorder="1"/>
    <xf numFmtId="0" fontId="13" fillId="0" borderId="2" xfId="0" applyFont="1" applyBorder="1"/>
    <xf numFmtId="0" fontId="13" fillId="0" borderId="32" xfId="0" applyFont="1" applyBorder="1"/>
    <xf numFmtId="169" fontId="13" fillId="5" borderId="0" xfId="0" applyNumberFormat="1" applyFont="1" applyFill="1" applyBorder="1"/>
    <xf numFmtId="10" fontId="0" fillId="0" borderId="0" xfId="0" applyNumberFormat="1"/>
    <xf numFmtId="2" fontId="2" fillId="0" borderId="9" xfId="0" applyNumberFormat="1" applyFont="1" applyFill="1" applyBorder="1" applyAlignment="1">
      <alignment horizontal="center" vertical="top"/>
    </xf>
    <xf numFmtId="0" fontId="17" fillId="0" borderId="0" xfId="0" applyFont="1" applyFill="1" applyAlignment="1">
      <alignment horizontal="centerContinuous" vertical="top"/>
    </xf>
    <xf numFmtId="166" fontId="40" fillId="0" borderId="0" xfId="10" applyFont="1"/>
    <xf numFmtId="1" fontId="31" fillId="5" borderId="0" xfId="15" applyNumberFormat="1" applyFont="1" applyFill="1"/>
    <xf numFmtId="0" fontId="31" fillId="5" borderId="0" xfId="15" applyFont="1" applyFill="1"/>
    <xf numFmtId="0" fontId="30" fillId="5" borderId="0" xfId="0" applyFont="1" applyFill="1"/>
    <xf numFmtId="2" fontId="29" fillId="11" borderId="25" xfId="0" applyNumberFormat="1" applyFont="1" applyFill="1" applyBorder="1"/>
    <xf numFmtId="0" fontId="30" fillId="8" borderId="0" xfId="0" applyFont="1" applyFill="1"/>
    <xf numFmtId="0" fontId="31" fillId="8" borderId="0" xfId="15" applyFont="1" applyFill="1"/>
    <xf numFmtId="2" fontId="41" fillId="8" borderId="0" xfId="15" applyNumberFormat="1" applyFont="1" applyFill="1"/>
    <xf numFmtId="0" fontId="40" fillId="8" borderId="0" xfId="15" applyFont="1" applyFill="1"/>
    <xf numFmtId="170" fontId="2" fillId="0" borderId="2" xfId="15" applyNumberFormat="1" applyBorder="1"/>
    <xf numFmtId="4" fontId="2" fillId="0" borderId="0" xfId="15" applyNumberFormat="1"/>
    <xf numFmtId="0" fontId="2" fillId="5" borderId="0" xfId="15" applyFill="1" applyAlignment="1" applyProtection="1">
      <alignment vertical="top" wrapText="1"/>
      <protection locked="0"/>
    </xf>
    <xf numFmtId="0" fontId="0" fillId="12" borderId="0" xfId="0" applyFill="1"/>
    <xf numFmtId="2" fontId="2" fillId="7" borderId="0" xfId="15" applyNumberFormat="1" applyFill="1"/>
    <xf numFmtId="0" fontId="4" fillId="0" borderId="0" xfId="15" applyFont="1" applyAlignment="1">
      <alignment horizontal="left"/>
    </xf>
    <xf numFmtId="175" fontId="2" fillId="0" borderId="0" xfId="0" applyNumberFormat="1" applyFont="1" applyAlignment="1">
      <alignment vertical="top"/>
    </xf>
    <xf numFmtId="0" fontId="10" fillId="0" borderId="2" xfId="0" applyFont="1" applyBorder="1"/>
    <xf numFmtId="37" fontId="2" fillId="0" borderId="2" xfId="0" applyNumberFormat="1" applyFont="1" applyBorder="1" applyAlignment="1">
      <alignment horizontal="center" vertical="top" wrapText="1"/>
    </xf>
    <xf numFmtId="44" fontId="14" fillId="0" borderId="0" xfId="15" applyNumberFormat="1" applyFont="1"/>
    <xf numFmtId="9" fontId="2" fillId="0" borderId="0" xfId="0" applyNumberFormat="1" applyFont="1"/>
    <xf numFmtId="0" fontId="2" fillId="5" borderId="0" xfId="0" applyFont="1" applyFill="1"/>
    <xf numFmtId="0" fontId="25" fillId="0" borderId="10" xfId="15" applyFont="1" applyBorder="1"/>
    <xf numFmtId="0" fontId="2" fillId="0" borderId="4" xfId="15" applyBorder="1"/>
    <xf numFmtId="0" fontId="3" fillId="0" borderId="4" xfId="15" applyFont="1" applyBorder="1"/>
    <xf numFmtId="0" fontId="0" fillId="0" borderId="29" xfId="0" applyBorder="1"/>
    <xf numFmtId="14" fontId="25" fillId="0" borderId="12" xfId="15" applyNumberFormat="1" applyFont="1" applyBorder="1"/>
    <xf numFmtId="0" fontId="0" fillId="0" borderId="30" xfId="0" applyBorder="1"/>
    <xf numFmtId="9" fontId="2" fillId="0" borderId="12" xfId="15" applyNumberFormat="1" applyBorder="1"/>
    <xf numFmtId="0" fontId="25" fillId="0" borderId="12" xfId="15" applyFont="1" applyBorder="1"/>
    <xf numFmtId="0" fontId="2" fillId="2" borderId="33" xfId="15" applyFill="1" applyBorder="1"/>
    <xf numFmtId="0" fontId="2" fillId="2" borderId="34" xfId="15" applyFill="1" applyBorder="1"/>
    <xf numFmtId="0" fontId="2" fillId="2" borderId="35" xfId="15" applyFill="1" applyBorder="1"/>
    <xf numFmtId="0" fontId="2" fillId="0" borderId="12" xfId="15" applyBorder="1"/>
    <xf numFmtId="0" fontId="2" fillId="4" borderId="36" xfId="15" applyFill="1" applyBorder="1"/>
    <xf numFmtId="171" fontId="2" fillId="0" borderId="0" xfId="2" applyNumberFormat="1" applyFont="1" applyBorder="1"/>
    <xf numFmtId="0" fontId="2" fillId="3" borderId="31" xfId="15" applyFill="1" applyBorder="1"/>
    <xf numFmtId="0" fontId="2" fillId="4" borderId="37" xfId="15" applyFill="1" applyBorder="1"/>
    <xf numFmtId="171" fontId="4" fillId="0" borderId="0" xfId="2" applyNumberFormat="1" applyFont="1" applyBorder="1"/>
    <xf numFmtId="0" fontId="4" fillId="0" borderId="12" xfId="15" applyFont="1" applyBorder="1"/>
    <xf numFmtId="172" fontId="24" fillId="0" borderId="0" xfId="6" applyNumberFormat="1" applyFont="1" applyBorder="1"/>
    <xf numFmtId="37" fontId="2" fillId="0" borderId="0" xfId="15" applyNumberFormat="1"/>
    <xf numFmtId="166" fontId="2" fillId="0" borderId="0" xfId="6" applyFont="1" applyBorder="1"/>
    <xf numFmtId="172" fontId="2" fillId="0" borderId="0" xfId="6" applyNumberFormat="1" applyFont="1" applyBorder="1"/>
    <xf numFmtId="169" fontId="2" fillId="0" borderId="0" xfId="15" applyNumberFormat="1"/>
    <xf numFmtId="43" fontId="2" fillId="0" borderId="0" xfId="15" applyNumberFormat="1"/>
    <xf numFmtId="166" fontId="4" fillId="0" borderId="0" xfId="6" applyFont="1" applyBorder="1"/>
    <xf numFmtId="176" fontId="2" fillId="0" borderId="0" xfId="6" applyNumberFormat="1" applyFont="1" applyBorder="1"/>
    <xf numFmtId="0" fontId="12" fillId="0" borderId="12" xfId="15" applyFont="1" applyBorder="1"/>
    <xf numFmtId="166" fontId="12" fillId="0" borderId="0" xfId="6" applyFont="1" applyBorder="1"/>
    <xf numFmtId="9" fontId="2" fillId="0" borderId="0" xfId="21" applyFont="1" applyBorder="1"/>
    <xf numFmtId="0" fontId="0" fillId="0" borderId="12" xfId="0" applyBorder="1"/>
    <xf numFmtId="0" fontId="2" fillId="0" borderId="12" xfId="0" applyFont="1" applyBorder="1"/>
    <xf numFmtId="0" fontId="0" fillId="0" borderId="31" xfId="0" applyBorder="1"/>
    <xf numFmtId="0" fontId="0" fillId="0" borderId="2" xfId="0" applyBorder="1"/>
    <xf numFmtId="169" fontId="29" fillId="0" borderId="2" xfId="0" applyNumberFormat="1" applyFont="1" applyBorder="1"/>
    <xf numFmtId="0" fontId="0" fillId="0" borderId="32" xfId="0" applyBorder="1"/>
    <xf numFmtId="170" fontId="2" fillId="0" borderId="0" xfId="1" applyNumberFormat="1" applyFont="1" applyBorder="1"/>
    <xf numFmtId="0" fontId="0" fillId="0" borderId="0" xfId="0" applyBorder="1"/>
    <xf numFmtId="175" fontId="2" fillId="0" borderId="0" xfId="15" applyNumberFormat="1"/>
    <xf numFmtId="0" fontId="36" fillId="0" borderId="0" xfId="0" applyFont="1" applyAlignment="1">
      <alignment vertical="top" wrapText="1"/>
    </xf>
    <xf numFmtId="4" fontId="10" fillId="0" borderId="0" xfId="0" applyNumberFormat="1" applyFont="1"/>
    <xf numFmtId="4" fontId="36" fillId="0" borderId="0" xfId="6" applyNumberFormat="1" applyFont="1" applyAlignment="1">
      <alignment vertical="top"/>
    </xf>
    <xf numFmtId="166" fontId="10" fillId="0" borderId="0" xfId="0" applyNumberFormat="1" applyFont="1"/>
    <xf numFmtId="170" fontId="36" fillId="0" borderId="0" xfId="0" applyNumberFormat="1" applyFont="1" applyAlignment="1">
      <alignment vertical="top"/>
    </xf>
    <xf numFmtId="0" fontId="10" fillId="0" borderId="0" xfId="0" applyFont="1" applyAlignment="1">
      <alignment vertical="top"/>
    </xf>
    <xf numFmtId="0" fontId="31" fillId="0" borderId="0" xfId="0" applyFont="1" applyAlignment="1">
      <alignment horizontal="left" vertical="top" wrapText="1"/>
    </xf>
    <xf numFmtId="170" fontId="3" fillId="0" borderId="0" xfId="0" applyNumberFormat="1" applyFont="1" applyAlignment="1">
      <alignment vertical="top"/>
    </xf>
    <xf numFmtId="4" fontId="10" fillId="0" borderId="0" xfId="0" applyNumberFormat="1" applyFont="1" applyAlignment="1">
      <alignment vertical="top"/>
    </xf>
    <xf numFmtId="166" fontId="40" fillId="0" borderId="3" xfId="10" applyFont="1" applyBorder="1" applyAlignment="1">
      <alignment horizontal="right" vertical="top"/>
    </xf>
    <xf numFmtId="170" fontId="2" fillId="0" borderId="9" xfId="0" applyNumberFormat="1" applyFont="1" applyBorder="1"/>
    <xf numFmtId="170" fontId="10" fillId="0" borderId="0" xfId="0" applyNumberFormat="1" applyFont="1" applyAlignment="1">
      <alignment vertical="top"/>
    </xf>
    <xf numFmtId="170" fontId="3" fillId="0" borderId="0" xfId="0" applyNumberFormat="1" applyFont="1" applyFill="1" applyAlignment="1">
      <alignment vertical="top"/>
    </xf>
    <xf numFmtId="0" fontId="23" fillId="0" borderId="0" xfId="15" applyFont="1" applyAlignment="1" applyProtection="1">
      <alignment vertical="top" wrapText="1"/>
      <protection locked="0"/>
    </xf>
    <xf numFmtId="0" fontId="10" fillId="0" borderId="0" xfId="0" applyFont="1" applyAlignment="1">
      <alignment vertical="top" wrapText="1"/>
    </xf>
    <xf numFmtId="0" fontId="2" fillId="0" borderId="0" xfId="15" applyFill="1" applyAlignment="1" applyProtection="1">
      <alignment vertical="top" wrapText="1"/>
      <protection locked="0"/>
    </xf>
    <xf numFmtId="170" fontId="36" fillId="0" borderId="0" xfId="0" applyNumberFormat="1" applyFont="1" applyFill="1" applyAlignment="1">
      <alignment vertical="top"/>
    </xf>
    <xf numFmtId="0" fontId="32" fillId="0" borderId="9" xfId="0" applyFont="1" applyFill="1" applyBorder="1" applyAlignment="1">
      <alignment vertical="top"/>
    </xf>
    <xf numFmtId="170" fontId="32" fillId="0" borderId="9" xfId="0" applyNumberFormat="1" applyFont="1" applyFill="1" applyBorder="1" applyAlignment="1">
      <alignment horizontal="center" vertical="top"/>
    </xf>
    <xf numFmtId="2" fontId="2" fillId="5" borderId="9" xfId="0" applyNumberFormat="1" applyFont="1" applyFill="1" applyBorder="1" applyAlignment="1">
      <alignment horizontal="center" vertical="top"/>
    </xf>
    <xf numFmtId="9" fontId="2" fillId="0" borderId="0" xfId="21" applyFont="1" applyAlignment="1">
      <alignment horizontal="left"/>
    </xf>
    <xf numFmtId="2" fontId="2" fillId="13" borderId="9" xfId="0" applyNumberFormat="1" applyFont="1" applyFill="1" applyBorder="1" applyAlignment="1">
      <alignment horizontal="center" vertical="top"/>
    </xf>
    <xf numFmtId="170" fontId="32" fillId="5" borderId="9" xfId="0" applyNumberFormat="1" applyFont="1" applyFill="1" applyBorder="1" applyAlignment="1">
      <alignment horizontal="center" vertical="top"/>
    </xf>
    <xf numFmtId="0" fontId="2" fillId="14" borderId="0" xfId="0" applyFont="1" applyFill="1" applyAlignment="1">
      <alignment vertical="top"/>
    </xf>
    <xf numFmtId="0" fontId="17" fillId="14" borderId="0" xfId="0" applyFont="1" applyFill="1" applyAlignment="1">
      <alignment horizontal="centerContinuous" vertical="top"/>
    </xf>
    <xf numFmtId="0" fontId="2" fillId="14" borderId="0" xfId="0" applyFont="1" applyFill="1" applyAlignment="1">
      <alignment horizontal="left" vertical="top" wrapText="1"/>
    </xf>
    <xf numFmtId="0" fontId="2" fillId="14" borderId="9" xfId="0" applyFont="1" applyFill="1" applyBorder="1" applyAlignment="1">
      <alignment horizontal="center" vertical="top"/>
    </xf>
    <xf numFmtId="0" fontId="2" fillId="14" borderId="12" xfId="0" applyFont="1" applyFill="1" applyBorder="1" applyAlignment="1">
      <alignment horizontal="center" vertical="top"/>
    </xf>
    <xf numFmtId="2" fontId="2" fillId="14" borderId="9" xfId="0" applyNumberFormat="1" applyFont="1" applyFill="1" applyBorder="1" applyAlignment="1">
      <alignment horizontal="center" vertical="top"/>
    </xf>
    <xf numFmtId="44" fontId="2" fillId="14" borderId="9" xfId="0" applyNumberFormat="1" applyFont="1" applyFill="1" applyBorder="1" applyAlignment="1">
      <alignment vertical="top"/>
    </xf>
    <xf numFmtId="170" fontId="32" fillId="14" borderId="9" xfId="0" applyNumberFormat="1" applyFont="1" applyFill="1" applyBorder="1" applyAlignment="1">
      <alignment horizontal="center" vertical="top"/>
    </xf>
    <xf numFmtId="44" fontId="34" fillId="14" borderId="9" xfId="0" applyNumberFormat="1" applyFont="1" applyFill="1" applyBorder="1" applyAlignment="1">
      <alignment vertical="top"/>
    </xf>
    <xf numFmtId="44" fontId="2" fillId="14" borderId="9" xfId="10" applyNumberFormat="1" applyFill="1" applyBorder="1" applyAlignment="1">
      <alignment horizontal="right" vertical="top"/>
    </xf>
    <xf numFmtId="9" fontId="32" fillId="14" borderId="9" xfId="22" applyFont="1" applyFill="1" applyBorder="1" applyAlignment="1">
      <alignment horizontal="right" vertical="top"/>
    </xf>
    <xf numFmtId="166" fontId="32" fillId="14" borderId="9" xfId="10" applyFont="1" applyFill="1" applyBorder="1" applyAlignment="1">
      <alignment vertical="top"/>
    </xf>
    <xf numFmtId="170" fontId="31" fillId="5" borderId="0" xfId="0" applyNumberFormat="1" applyFont="1" applyFill="1"/>
    <xf numFmtId="170" fontId="10" fillId="0" borderId="2" xfId="0" applyNumberFormat="1" applyFont="1" applyBorder="1"/>
    <xf numFmtId="0" fontId="4" fillId="0" borderId="0" xfId="0" applyFont="1" applyAlignment="1">
      <alignment vertical="top"/>
    </xf>
    <xf numFmtId="170" fontId="4" fillId="0" borderId="2" xfId="0" applyNumberFormat="1" applyFont="1" applyBorder="1"/>
    <xf numFmtId="0" fontId="4" fillId="0" borderId="2" xfId="0" applyFont="1" applyBorder="1"/>
    <xf numFmtId="4" fontId="2" fillId="0" borderId="0" xfId="0" applyNumberFormat="1" applyFont="1" applyAlignment="1"/>
    <xf numFmtId="4" fontId="2" fillId="0" borderId="0" xfId="0" applyNumberFormat="1" applyFont="1" applyAlignment="1">
      <alignment vertical="top"/>
    </xf>
    <xf numFmtId="0" fontId="2" fillId="0" borderId="0" xfId="15" applyFont="1"/>
    <xf numFmtId="2" fontId="23" fillId="0" borderId="9" xfId="0" applyNumberFormat="1" applyFont="1" applyBorder="1" applyAlignment="1">
      <alignment horizontal="center" vertical="top"/>
    </xf>
    <xf numFmtId="44" fontId="23" fillId="0" borderId="9" xfId="0" applyNumberFormat="1" applyFont="1" applyBorder="1" applyAlignment="1">
      <alignment vertical="top"/>
    </xf>
    <xf numFmtId="170" fontId="42" fillId="0" borderId="9" xfId="0" applyNumberFormat="1" applyFont="1" applyBorder="1" applyAlignment="1">
      <alignment horizontal="center" vertical="top"/>
    </xf>
    <xf numFmtId="44" fontId="43" fillId="0" borderId="9" xfId="0" applyNumberFormat="1" applyFont="1" applyBorder="1" applyAlignment="1">
      <alignment vertical="top"/>
    </xf>
    <xf numFmtId="44" fontId="23" fillId="0" borderId="9" xfId="10" applyNumberFormat="1" applyFont="1" applyBorder="1" applyAlignment="1">
      <alignment horizontal="right" vertical="top"/>
    </xf>
    <xf numFmtId="170" fontId="23" fillId="0" borderId="9" xfId="0" applyNumberFormat="1" applyFont="1" applyBorder="1"/>
    <xf numFmtId="37" fontId="2" fillId="0" borderId="3" xfId="15" applyNumberFormat="1" applyFont="1" applyBorder="1" applyAlignment="1">
      <alignment horizontal="center" vertical="top"/>
    </xf>
    <xf numFmtId="0" fontId="2" fillId="6" borderId="0" xfId="0" applyFont="1" applyFill="1" applyAlignment="1">
      <alignment horizontal="left" vertical="top" wrapText="1"/>
    </xf>
    <xf numFmtId="0" fontId="2" fillId="6" borderId="9" xfId="0" applyFont="1" applyFill="1" applyBorder="1" applyAlignment="1">
      <alignment horizontal="center" vertical="top"/>
    </xf>
    <xf numFmtId="0" fontId="2" fillId="6" borderId="12" xfId="0" applyFont="1" applyFill="1" applyBorder="1" applyAlignment="1">
      <alignment horizontal="center" vertical="top"/>
    </xf>
    <xf numFmtId="169" fontId="2" fillId="6" borderId="9" xfId="0" applyNumberFormat="1" applyFont="1" applyFill="1" applyBorder="1" applyAlignment="1">
      <alignment horizontal="center" vertical="top"/>
    </xf>
    <xf numFmtId="166" fontId="10" fillId="0" borderId="0" xfId="0" applyNumberFormat="1" applyFont="1" applyAlignment="1">
      <alignment vertical="top" wrapText="1"/>
    </xf>
    <xf numFmtId="166" fontId="2" fillId="0" borderId="0" xfId="0" applyNumberFormat="1" applyFont="1" applyAlignment="1">
      <alignment vertical="top" wrapText="1"/>
    </xf>
    <xf numFmtId="166" fontId="10" fillId="0" borderId="0" xfId="0" applyNumberFormat="1" applyFont="1" applyFill="1" applyAlignment="1">
      <alignment vertical="top" wrapText="1"/>
    </xf>
    <xf numFmtId="170" fontId="10" fillId="0" borderId="2" xfId="0" applyNumberFormat="1" applyFont="1" applyFill="1" applyBorder="1"/>
    <xf numFmtId="170" fontId="10" fillId="0" borderId="0" xfId="0" applyNumberFormat="1" applyFont="1" applyFill="1"/>
    <xf numFmtId="0" fontId="10" fillId="0" borderId="2" xfId="0" applyFont="1" applyFill="1" applyBorder="1"/>
    <xf numFmtId="0" fontId="2" fillId="15" borderId="0" xfId="0" applyFont="1" applyFill="1" applyAlignment="1">
      <alignment horizontal="center"/>
    </xf>
    <xf numFmtId="0" fontId="10" fillId="15" borderId="2" xfId="0" applyFont="1" applyFill="1" applyBorder="1"/>
    <xf numFmtId="0" fontId="31" fillId="15" borderId="0" xfId="0" applyFont="1" applyFill="1" applyAlignment="1">
      <alignment horizontal="center"/>
    </xf>
    <xf numFmtId="0" fontId="31" fillId="0" borderId="0" xfId="0" applyFont="1" applyFill="1" applyAlignment="1">
      <alignment horizontal="center"/>
    </xf>
    <xf numFmtId="0" fontId="2" fillId="13" borderId="0" xfId="0" applyFont="1" applyFill="1" applyAlignment="1">
      <alignment horizontal="left" vertical="top" wrapText="1"/>
    </xf>
    <xf numFmtId="0" fontId="27" fillId="0" borderId="0" xfId="15" applyFont="1"/>
    <xf numFmtId="166" fontId="14" fillId="0" borderId="2" xfId="6" applyFont="1" applyBorder="1"/>
    <xf numFmtId="0" fontId="14" fillId="0" borderId="2" xfId="15" applyFont="1" applyBorder="1"/>
    <xf numFmtId="0" fontId="2" fillId="0" borderId="2" xfId="15" applyFont="1" applyBorder="1"/>
    <xf numFmtId="44" fontId="0" fillId="0" borderId="30" xfId="0" applyNumberFormat="1" applyBorder="1"/>
    <xf numFmtId="0" fontId="44" fillId="0" borderId="9" xfId="0" applyFont="1" applyFill="1" applyBorder="1" applyAlignment="1">
      <alignment horizontal="center" vertical="top"/>
    </xf>
    <xf numFmtId="0" fontId="2" fillId="0" borderId="2" xfId="0" applyFont="1" applyBorder="1"/>
    <xf numFmtId="170" fontId="0" fillId="0" borderId="2" xfId="0" applyNumberFormat="1" applyBorder="1"/>
    <xf numFmtId="0" fontId="2" fillId="0" borderId="0" xfId="0" applyFont="1" applyBorder="1"/>
    <xf numFmtId="170" fontId="0" fillId="0" borderId="0" xfId="0" applyNumberFormat="1" applyBorder="1"/>
    <xf numFmtId="169" fontId="2" fillId="0" borderId="9" xfId="0" applyNumberFormat="1" applyFont="1" applyFill="1" applyBorder="1" applyAlignment="1">
      <alignment horizontal="center" vertical="top"/>
    </xf>
    <xf numFmtId="0" fontId="23" fillId="0" borderId="0" xfId="0" applyFont="1" applyAlignment="1">
      <alignment horizontal="left" vertical="top" wrapText="1"/>
    </xf>
    <xf numFmtId="37" fontId="2" fillId="0" borderId="0" xfId="0" applyNumberFormat="1" applyFont="1" applyAlignment="1">
      <alignment horizontal="left" vertical="top"/>
    </xf>
    <xf numFmtId="0" fontId="31" fillId="0" borderId="0" xfId="0" applyFont="1" applyFill="1" applyAlignment="1">
      <alignment horizontal="left" vertical="top" wrapText="1"/>
    </xf>
    <xf numFmtId="44" fontId="2" fillId="0" borderId="0" xfId="0" applyNumberFormat="1" applyFont="1" applyAlignment="1"/>
    <xf numFmtId="10" fontId="2" fillId="0" borderId="0" xfId="0" applyNumberFormat="1" applyFont="1" applyAlignment="1"/>
    <xf numFmtId="170" fontId="2" fillId="0" borderId="0" xfId="0" applyNumberFormat="1" applyFont="1" applyAlignment="1"/>
    <xf numFmtId="166" fontId="33" fillId="0" borderId="0" xfId="10" applyFont="1" applyBorder="1"/>
    <xf numFmtId="166" fontId="33" fillId="0" borderId="0" xfId="10" applyFont="1" applyBorder="1" applyAlignment="1">
      <alignment vertical="top"/>
    </xf>
    <xf numFmtId="166" fontId="32" fillId="0" borderId="0" xfId="10" applyFont="1" applyBorder="1" applyAlignment="1">
      <alignment vertical="top"/>
    </xf>
    <xf numFmtId="166" fontId="32" fillId="0" borderId="0" xfId="10" applyFont="1" applyBorder="1"/>
    <xf numFmtId="166" fontId="14" fillId="0" borderId="0" xfId="6" applyFont="1" applyBorder="1"/>
    <xf numFmtId="166" fontId="14" fillId="0" borderId="0" xfId="10" applyFont="1" applyBorder="1"/>
    <xf numFmtId="166" fontId="14" fillId="0" borderId="0" xfId="10" applyFont="1" applyBorder="1" applyAlignment="1">
      <alignment vertical="top"/>
    </xf>
    <xf numFmtId="166" fontId="13" fillId="0" borderId="0" xfId="0" applyNumberFormat="1" applyFont="1"/>
    <xf numFmtId="0" fontId="31" fillId="0" borderId="0" xfId="0" applyFont="1"/>
    <xf numFmtId="2" fontId="2" fillId="5" borderId="0" xfId="15" applyNumberFormat="1" applyFill="1" applyAlignment="1">
      <alignment horizontal="right"/>
    </xf>
    <xf numFmtId="2" fontId="2" fillId="16" borderId="0" xfId="15" applyNumberFormat="1" applyFill="1"/>
    <xf numFmtId="0" fontId="0" fillId="17" borderId="0" xfId="0" applyFill="1" applyBorder="1"/>
    <xf numFmtId="10" fontId="32" fillId="0" borderId="0" xfId="10" applyNumberFormat="1" applyFont="1" applyBorder="1" applyAlignment="1">
      <alignment vertical="top"/>
    </xf>
    <xf numFmtId="170" fontId="2" fillId="6" borderId="0" xfId="15" applyNumberFormat="1" applyFill="1"/>
    <xf numFmtId="173" fontId="32" fillId="0" borderId="0" xfId="10" applyNumberFormat="1" applyFont="1" applyBorder="1" applyAlignment="1">
      <alignment vertical="top"/>
    </xf>
    <xf numFmtId="170" fontId="13" fillId="0" borderId="2" xfId="0" applyNumberFormat="1" applyFont="1" applyBorder="1"/>
    <xf numFmtId="0" fontId="9" fillId="0" borderId="0" xfId="0" applyFont="1" applyAlignment="1">
      <alignment horizontal="center" vertical="top" wrapText="1"/>
    </xf>
  </cellXfs>
  <cellStyles count="24">
    <cellStyle name="Comma" xfId="1" builtinId="3"/>
    <cellStyle name="Comma 2" xfId="2" xr:uid="{C0546E23-F222-4011-BE7A-EF6322098F83}"/>
    <cellStyle name="Comma 3" xfId="3" xr:uid="{BD78D7B1-9B17-4CFA-BE49-2AFD3A87990C}"/>
    <cellStyle name="Comma 4" xfId="4" xr:uid="{612E9DD0-1F9D-4215-AD5E-F2A42F80C450}"/>
    <cellStyle name="Currency" xfId="5" builtinId="4"/>
    <cellStyle name="Currency 2" xfId="6" xr:uid="{F25184BF-6C17-4784-980D-9D691359E8CA}"/>
    <cellStyle name="Currency 2 2" xfId="7" xr:uid="{DC5155F9-3B3A-4EEB-BF67-336C238B1222}"/>
    <cellStyle name="Currency 2 3" xfId="8" xr:uid="{F744BFED-E506-429C-8C02-7441F9B2D89D}"/>
    <cellStyle name="Currency 3" xfId="9" xr:uid="{E5DA4E89-5899-4EB5-BDDC-8956ADD760B4}"/>
    <cellStyle name="Currency 3 2" xfId="10" xr:uid="{3734A6DF-0686-4619-9F3A-3034F6A93E2B}"/>
    <cellStyle name="Currency 4" xfId="11" xr:uid="{EB5D0880-C641-4C4E-98A3-EF7E7F8607C0}"/>
    <cellStyle name="Currency 5" xfId="12" xr:uid="{ABF1AD67-D45F-4F80-8F41-1938398CD611}"/>
    <cellStyle name="Currency 6" xfId="13" xr:uid="{C9D2F2A4-319C-4235-B718-060C9A9CF1B6}"/>
    <cellStyle name="Hyperlink 2" xfId="14" xr:uid="{A771A8B2-715B-4B76-964C-B81F566ABDA9}"/>
    <cellStyle name="Normal" xfId="0" builtinId="0"/>
    <cellStyle name="Normal 2" xfId="15" xr:uid="{0F5BD06F-2B43-4052-ACEC-CFB1A2D14208}"/>
    <cellStyle name="Normal 2 2" xfId="16" xr:uid="{03873B4D-E88C-4DBD-9275-1C5D1FDDC0F4}"/>
    <cellStyle name="Normal 2 2 2" xfId="17" xr:uid="{C9A859DC-C51D-4F6F-A6B9-6BD706E70D30}"/>
    <cellStyle name="Normal 2 3" xfId="18" xr:uid="{91A81713-C412-4093-8955-5676A0D238F9}"/>
    <cellStyle name="Normal 3" xfId="19" xr:uid="{171DE130-CBDE-427A-BC1C-635991644B30}"/>
    <cellStyle name="Normal 4 2" xfId="20" xr:uid="{B3C986BD-0D6E-4D0A-8A42-73B831C1EDA1}"/>
    <cellStyle name="Percent" xfId="21" builtinId="5"/>
    <cellStyle name="Percent 2" xfId="22" xr:uid="{EC3E7FE6-F9A3-40AB-AC63-33EDDD8CBF39}"/>
    <cellStyle name="Percent 3" xfId="23" xr:uid="{B5FEF8F6-6EFF-4982-82BB-D07F3D436EDB}"/>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9AE7-7721-4B22-AD18-742E955DE22D}">
  <sheetPr codeName="Sheet1">
    <pageSetUpPr fitToPage="1"/>
  </sheetPr>
  <dimension ref="A1:T94"/>
  <sheetViews>
    <sheetView topLeftCell="A10" zoomScale="85" zoomScaleNormal="85" workbookViewId="0">
      <selection activeCell="E46" sqref="E46"/>
    </sheetView>
  </sheetViews>
  <sheetFormatPr defaultRowHeight="12.75" x14ac:dyDescent="0.2"/>
  <cols>
    <col min="1" max="1" width="12.85546875" style="4" customWidth="1"/>
    <col min="2" max="2" width="78" style="4" customWidth="1"/>
    <col min="3" max="3" width="5" style="4" customWidth="1"/>
    <col min="4" max="4" width="27.140625" style="4" customWidth="1"/>
    <col min="5" max="5" width="19.85546875" style="4" customWidth="1"/>
    <col min="6" max="6" width="17.42578125" style="4" customWidth="1"/>
    <col min="7" max="7" width="21.42578125" style="4" customWidth="1"/>
    <col min="8" max="8" width="17.28515625" style="4" customWidth="1"/>
    <col min="9" max="9" width="13" style="4" customWidth="1"/>
    <col min="10" max="10" width="15" style="4" customWidth="1"/>
    <col min="11" max="11" width="12.5703125" style="4" customWidth="1"/>
    <col min="12" max="13" width="13.42578125" style="4" customWidth="1"/>
    <col min="14" max="14" width="11.28515625" style="4" bestFit="1" customWidth="1"/>
    <col min="15" max="15" width="9.140625" style="4"/>
    <col min="16" max="16" width="11.28515625" style="4" bestFit="1" customWidth="1"/>
    <col min="17" max="17" width="10.28515625" style="4" bestFit="1" customWidth="1"/>
    <col min="18" max="16384" width="9.140625" style="4"/>
  </cols>
  <sheetData>
    <row r="1" spans="2:4" ht="15.75" x14ac:dyDescent="0.2">
      <c r="B1" s="2" t="s">
        <v>6</v>
      </c>
      <c r="C1" s="2"/>
      <c r="D1" s="3"/>
    </row>
    <row r="2" spans="2:4" ht="15.75" x14ac:dyDescent="0.2">
      <c r="B2" s="10" t="s">
        <v>54</v>
      </c>
      <c r="C2" s="10"/>
      <c r="D2" s="3"/>
    </row>
    <row r="3" spans="2:4" ht="15.75" x14ac:dyDescent="0.2">
      <c r="B3" s="10" t="s">
        <v>55</v>
      </c>
      <c r="C3" s="10"/>
      <c r="D3" s="3"/>
    </row>
    <row r="4" spans="2:4" ht="15.75" x14ac:dyDescent="0.2">
      <c r="B4" s="5"/>
      <c r="C4" s="5"/>
      <c r="D4" s="3"/>
    </row>
    <row r="5" spans="2:4" ht="15.75" x14ac:dyDescent="0.2">
      <c r="B5" s="127">
        <v>45853</v>
      </c>
      <c r="C5" s="127"/>
      <c r="D5" s="3"/>
    </row>
    <row r="6" spans="2:4" ht="15.75" x14ac:dyDescent="0.2">
      <c r="B6" s="5"/>
      <c r="C6" s="5"/>
      <c r="D6" s="3"/>
    </row>
    <row r="7" spans="2:4" ht="15.75" customHeight="1" x14ac:dyDescent="0.2">
      <c r="B7" s="469" t="s">
        <v>13</v>
      </c>
      <c r="C7" s="469"/>
      <c r="D7" s="469"/>
    </row>
    <row r="8" spans="2:4" x14ac:dyDescent="0.2">
      <c r="B8" s="6" t="s">
        <v>7</v>
      </c>
      <c r="C8" s="6"/>
      <c r="D8" s="3"/>
    </row>
    <row r="9" spans="2:4" ht="19.5" customHeight="1" x14ac:dyDescent="0.2">
      <c r="B9" s="1" t="s">
        <v>516</v>
      </c>
      <c r="C9" s="1"/>
      <c r="D9" s="3"/>
    </row>
    <row r="10" spans="2:4" ht="63.75" x14ac:dyDescent="0.2">
      <c r="B10" s="447" t="s">
        <v>341</v>
      </c>
      <c r="C10" s="447"/>
      <c r="D10" s="448" t="s">
        <v>517</v>
      </c>
    </row>
    <row r="11" spans="2:4" ht="25.5" x14ac:dyDescent="0.2">
      <c r="B11" s="1" t="s">
        <v>48</v>
      </c>
      <c r="C11" s="1"/>
      <c r="D11" s="3"/>
    </row>
    <row r="12" spans="2:4" ht="25.5" x14ac:dyDescent="0.2">
      <c r="B12" s="449" t="s">
        <v>518</v>
      </c>
      <c r="C12" s="449"/>
      <c r="D12" s="448" t="s">
        <v>519</v>
      </c>
    </row>
    <row r="13" spans="2:4" x14ac:dyDescent="0.2">
      <c r="D13" s="3"/>
    </row>
    <row r="14" spans="2:4" ht="25.5" x14ac:dyDescent="0.2">
      <c r="B14" s="1" t="s">
        <v>49</v>
      </c>
      <c r="C14" s="1"/>
      <c r="D14" s="448" t="s">
        <v>520</v>
      </c>
    </row>
    <row r="15" spans="2:4" x14ac:dyDescent="0.2">
      <c r="B15" s="1" t="s">
        <v>340</v>
      </c>
      <c r="C15" s="1"/>
      <c r="D15" s="3"/>
    </row>
    <row r="16" spans="2:4" x14ac:dyDescent="0.2">
      <c r="B16" s="1" t="s">
        <v>342</v>
      </c>
      <c r="C16" s="1"/>
      <c r="D16" s="3"/>
    </row>
    <row r="17" spans="2:4" x14ac:dyDescent="0.2">
      <c r="B17" s="1" t="s">
        <v>343</v>
      </c>
      <c r="C17" s="1"/>
      <c r="D17" s="3"/>
    </row>
    <row r="18" spans="2:4" ht="25.5" x14ac:dyDescent="0.2">
      <c r="B18" s="158" t="s">
        <v>522</v>
      </c>
      <c r="C18" s="158"/>
      <c r="D18" s="3"/>
    </row>
    <row r="19" spans="2:4" ht="25.5" x14ac:dyDescent="0.2">
      <c r="B19" s="158" t="s">
        <v>521</v>
      </c>
      <c r="C19" s="158"/>
      <c r="D19" s="3"/>
    </row>
    <row r="20" spans="2:4" ht="38.25" x14ac:dyDescent="0.2">
      <c r="B20" s="158" t="s">
        <v>344</v>
      </c>
      <c r="C20" s="158"/>
      <c r="D20" s="3"/>
    </row>
    <row r="21" spans="2:4" ht="25.5" x14ac:dyDescent="0.2">
      <c r="B21" s="158" t="s">
        <v>362</v>
      </c>
      <c r="C21" s="158"/>
      <c r="D21" s="3"/>
    </row>
    <row r="22" spans="2:4" ht="25.5" x14ac:dyDescent="0.2">
      <c r="B22" s="323" t="s">
        <v>363</v>
      </c>
      <c r="C22" s="323"/>
      <c r="D22" s="3"/>
    </row>
    <row r="23" spans="2:4" hidden="1" x14ac:dyDescent="0.2">
      <c r="B23" s="384"/>
      <c r="C23" s="384"/>
      <c r="D23" s="3"/>
    </row>
    <row r="24" spans="2:4" x14ac:dyDescent="0.2">
      <c r="B24" s="158" t="s">
        <v>355</v>
      </c>
      <c r="C24" s="158"/>
      <c r="D24" s="3"/>
    </row>
    <row r="25" spans="2:4" ht="17.25" customHeight="1" x14ac:dyDescent="0.2">
      <c r="B25" s="158" t="s">
        <v>390</v>
      </c>
      <c r="C25" s="158"/>
      <c r="D25" s="3"/>
    </row>
    <row r="26" spans="2:4" ht="13.5" customHeight="1" x14ac:dyDescent="0.2">
      <c r="B26" s="158" t="s">
        <v>510</v>
      </c>
      <c r="C26" s="158"/>
      <c r="D26" s="3"/>
    </row>
    <row r="27" spans="2:4" x14ac:dyDescent="0.2">
      <c r="B27" s="158" t="s">
        <v>509</v>
      </c>
      <c r="C27" s="158"/>
      <c r="D27" s="3"/>
    </row>
    <row r="28" spans="2:4" x14ac:dyDescent="0.2">
      <c r="B28" s="158" t="s">
        <v>345</v>
      </c>
      <c r="C28" s="158"/>
      <c r="D28" s="3"/>
    </row>
    <row r="29" spans="2:4" x14ac:dyDescent="0.2">
      <c r="B29" s="158" t="s">
        <v>356</v>
      </c>
      <c r="C29" s="158"/>
      <c r="D29" s="3"/>
    </row>
    <row r="30" spans="2:4" x14ac:dyDescent="0.2">
      <c r="B30" s="158" t="s">
        <v>357</v>
      </c>
      <c r="C30" s="158"/>
      <c r="D30" s="3"/>
    </row>
    <row r="31" spans="2:4" ht="25.5" x14ac:dyDescent="0.2">
      <c r="B31" s="158" t="s">
        <v>442</v>
      </c>
      <c r="C31" s="158"/>
      <c r="D31" s="3"/>
    </row>
    <row r="32" spans="2:4" ht="15" customHeight="1" x14ac:dyDescent="0.2">
      <c r="B32" s="158" t="s">
        <v>508</v>
      </c>
      <c r="C32" s="158"/>
      <c r="D32" s="3"/>
    </row>
    <row r="33" spans="2:4" x14ac:dyDescent="0.2">
      <c r="B33" s="158"/>
      <c r="C33" s="158"/>
      <c r="D33" s="3"/>
    </row>
    <row r="34" spans="2:4" ht="25.5" x14ac:dyDescent="0.2">
      <c r="B34" s="158" t="s">
        <v>354</v>
      </c>
      <c r="C34" s="158"/>
      <c r="D34" s="3"/>
    </row>
    <row r="35" spans="2:4" ht="25.5" x14ac:dyDescent="0.2">
      <c r="B35" s="158" t="s">
        <v>389</v>
      </c>
      <c r="C35" s="158"/>
      <c r="D35" s="3"/>
    </row>
    <row r="36" spans="2:4" ht="18.75" customHeight="1" x14ac:dyDescent="0.2">
      <c r="B36" s="158" t="s">
        <v>393</v>
      </c>
      <c r="C36" s="158"/>
      <c r="D36" s="3"/>
    </row>
    <row r="37" spans="2:4" ht="38.25" x14ac:dyDescent="0.2">
      <c r="B37" s="158" t="s">
        <v>388</v>
      </c>
      <c r="C37" s="158"/>
      <c r="D37" s="3"/>
    </row>
    <row r="38" spans="2:4" ht="38.25" x14ac:dyDescent="0.2">
      <c r="B38" s="158" t="s">
        <v>387</v>
      </c>
      <c r="C38" s="158"/>
      <c r="D38" s="3"/>
    </row>
    <row r="39" spans="2:4" x14ac:dyDescent="0.2">
      <c r="B39" s="151" t="s">
        <v>523</v>
      </c>
      <c r="C39" s="151"/>
      <c r="D39" s="3"/>
    </row>
    <row r="40" spans="2:4" x14ac:dyDescent="0.2">
      <c r="B40" s="151"/>
      <c r="C40" s="151"/>
      <c r="D40" s="3"/>
    </row>
    <row r="41" spans="2:4" ht="53.25" hidden="1" customHeight="1" x14ac:dyDescent="0.2">
      <c r="B41" s="386"/>
      <c r="C41" s="386"/>
      <c r="D41" s="3"/>
    </row>
    <row r="42" spans="2:4" ht="39" hidden="1" customHeight="1" x14ac:dyDescent="0.2">
      <c r="B42" s="386"/>
      <c r="C42" s="386"/>
      <c r="D42" s="3"/>
    </row>
    <row r="43" spans="2:4" hidden="1" x14ac:dyDescent="0.2">
      <c r="B43" s="386"/>
      <c r="C43" s="386"/>
      <c r="D43" s="3"/>
    </row>
    <row r="44" spans="2:4" ht="57.75" hidden="1" customHeight="1" x14ac:dyDescent="0.2">
      <c r="B44" s="151"/>
      <c r="C44" s="151"/>
      <c r="D44" s="3"/>
    </row>
    <row r="45" spans="2:4" hidden="1" x14ac:dyDescent="0.2">
      <c r="B45" s="151"/>
      <c r="C45" s="151"/>
      <c r="D45" s="3"/>
    </row>
    <row r="46" spans="2:4" ht="25.5" x14ac:dyDescent="0.2">
      <c r="B46" s="151" t="s">
        <v>505</v>
      </c>
      <c r="C46" s="151"/>
    </row>
    <row r="47" spans="2:4" x14ac:dyDescent="0.2">
      <c r="B47" s="151" t="s">
        <v>507</v>
      </c>
      <c r="C47" s="151"/>
    </row>
    <row r="48" spans="2:4" x14ac:dyDescent="0.2">
      <c r="B48" s="151" t="s">
        <v>441</v>
      </c>
      <c r="C48" s="151"/>
      <c r="D48" s="3"/>
    </row>
    <row r="49" spans="1:8" x14ac:dyDescent="0.2">
      <c r="B49" s="151"/>
      <c r="C49" s="151"/>
      <c r="D49" s="3"/>
    </row>
    <row r="50" spans="1:8" ht="15.75" customHeight="1" x14ac:dyDescent="0.2">
      <c r="B50" s="151" t="s">
        <v>506</v>
      </c>
      <c r="C50" s="151"/>
      <c r="D50" s="3"/>
    </row>
    <row r="51" spans="1:8" x14ac:dyDescent="0.2">
      <c r="B51" s="151"/>
      <c r="C51" s="151"/>
      <c r="D51" s="3"/>
    </row>
    <row r="52" spans="1:8" x14ac:dyDescent="0.2">
      <c r="B52" s="377" t="s">
        <v>43</v>
      </c>
      <c r="C52" s="377"/>
      <c r="D52" s="3"/>
    </row>
    <row r="54" spans="1:8" ht="16.5" customHeight="1" x14ac:dyDescent="0.2">
      <c r="A54" s="376"/>
      <c r="B54" s="329"/>
      <c r="C54" s="329"/>
      <c r="D54" s="329"/>
      <c r="E54" s="329"/>
      <c r="F54" s="329"/>
    </row>
    <row r="55" spans="1:8" x14ac:dyDescent="0.2">
      <c r="A55" s="376"/>
    </row>
    <row r="56" spans="1:8" ht="15.75" x14ac:dyDescent="0.2">
      <c r="A56" s="382"/>
      <c r="B56" s="65" t="str">
        <f>'Suspended Ceilings_25_8'!B9</f>
        <v>Suspended Ceiling (1500 x 600)</v>
      </c>
      <c r="C56" s="65"/>
      <c r="D56" s="383">
        <f>'Suspended Ceilings_25_8'!M371</f>
        <v>628565</v>
      </c>
      <c r="E56" s="71"/>
      <c r="F56" s="65"/>
    </row>
    <row r="57" spans="1:8" ht="15.75" x14ac:dyDescent="0.2">
      <c r="A57" s="382"/>
      <c r="B57" s="65"/>
      <c r="C57" s="65"/>
      <c r="D57" s="379"/>
      <c r="E57" s="372"/>
    </row>
    <row r="58" spans="1:8" ht="15.75" x14ac:dyDescent="0.2">
      <c r="A58" s="382"/>
      <c r="B58" s="65" t="s">
        <v>473</v>
      </c>
      <c r="C58" s="65"/>
      <c r="D58" s="373" t="s">
        <v>474</v>
      </c>
      <c r="E58" s="373"/>
    </row>
    <row r="59" spans="1:8" ht="15.75" x14ac:dyDescent="0.2">
      <c r="A59" s="382"/>
      <c r="B59" s="65"/>
      <c r="C59" s="65"/>
      <c r="D59" s="379"/>
      <c r="E59" s="372"/>
    </row>
    <row r="60" spans="1:8" ht="15.75" x14ac:dyDescent="0.2">
      <c r="A60" s="382"/>
      <c r="B60" s="65" t="str">
        <f>'Steel Stud Partitions_25_8'!B9</f>
        <v>Steel Stud Partitions</v>
      </c>
      <c r="C60" s="65"/>
      <c r="D60" s="378">
        <f>'Steel Stud Partitions_25_8'!M129</f>
        <v>111772</v>
      </c>
      <c r="E60" s="71"/>
    </row>
    <row r="61" spans="1:8" ht="15.75" x14ac:dyDescent="0.2">
      <c r="A61" s="382"/>
      <c r="B61" s="65"/>
      <c r="C61" s="65"/>
      <c r="D61" s="378"/>
      <c r="E61" s="71"/>
    </row>
    <row r="62" spans="1:8" ht="31.5" x14ac:dyDescent="0.2">
      <c r="A62" s="382"/>
      <c r="B62" s="54" t="s">
        <v>437</v>
      </c>
      <c r="C62" s="54"/>
      <c r="D62" s="373" t="s">
        <v>474</v>
      </c>
      <c r="E62" s="71"/>
    </row>
    <row r="63" spans="1:8" ht="15.75" x14ac:dyDescent="0.2">
      <c r="A63" s="382"/>
      <c r="B63" s="65"/>
      <c r="C63" s="65"/>
      <c r="D63" s="379"/>
      <c r="E63" s="372"/>
    </row>
    <row r="64" spans="1:8" ht="15.75" x14ac:dyDescent="0.2">
      <c r="A64" s="382"/>
      <c r="B64" s="65" t="str">
        <f>'Gib Linings_25_8'!B9</f>
        <v>Gib Wall and Ceiling Linings</v>
      </c>
      <c r="C64" s="65"/>
      <c r="D64" s="378">
        <f>'Gib Linings_25_8'!M599</f>
        <v>469562</v>
      </c>
      <c r="E64" s="71"/>
      <c r="G64" s="71"/>
      <c r="H64" s="71"/>
    </row>
    <row r="65" spans="1:12" ht="15.75" x14ac:dyDescent="0.2">
      <c r="A65" s="382"/>
      <c r="B65" s="65"/>
      <c r="C65" s="65"/>
      <c r="D65" s="379"/>
      <c r="E65" s="372"/>
      <c r="H65" s="71"/>
    </row>
    <row r="66" spans="1:12" ht="15.75" x14ac:dyDescent="0.2">
      <c r="A66" s="382"/>
      <c r="B66" s="65" t="str">
        <f>Stopping_25_8!B9</f>
        <v>Gib Stopping</v>
      </c>
      <c r="C66" s="65"/>
      <c r="D66" s="378">
        <f>Stopping_25_8!M216</f>
        <v>203482</v>
      </c>
      <c r="E66" s="71"/>
      <c r="F66" s="71"/>
      <c r="G66" s="71"/>
      <c r="H66" s="71"/>
      <c r="J66" s="71"/>
      <c r="K66" s="71"/>
      <c r="L66" s="71"/>
    </row>
    <row r="67" spans="1:12" ht="15.75" x14ac:dyDescent="0.2">
      <c r="A67" s="382"/>
      <c r="B67" s="65"/>
      <c r="C67" s="65"/>
      <c r="D67" s="379"/>
      <c r="E67" s="372"/>
    </row>
    <row r="68" spans="1:12" ht="15.75" x14ac:dyDescent="0.2">
      <c r="A68" s="382"/>
      <c r="B68" s="54" t="s">
        <v>443</v>
      </c>
      <c r="C68" s="54"/>
      <c r="D68" s="387" t="s">
        <v>444</v>
      </c>
      <c r="E68" s="71"/>
      <c r="G68" s="70"/>
      <c r="I68" s="70"/>
    </row>
    <row r="69" spans="1:12" ht="15.75" x14ac:dyDescent="0.2">
      <c r="A69" s="382"/>
      <c r="B69" s="65"/>
      <c r="C69" s="65"/>
      <c r="D69" s="379"/>
      <c r="E69" s="372"/>
    </row>
    <row r="70" spans="1:12" ht="15.75" x14ac:dyDescent="0.2">
      <c r="A70" s="382"/>
      <c r="B70" s="65" t="s">
        <v>445</v>
      </c>
      <c r="C70" s="65"/>
      <c r="D70" s="378">
        <f>'Skirting with Columns'!M112</f>
        <v>40195</v>
      </c>
      <c r="E70" s="71"/>
      <c r="I70" s="70"/>
    </row>
    <row r="71" spans="1:12" x14ac:dyDescent="0.2">
      <c r="A71" s="376"/>
      <c r="D71" s="376"/>
    </row>
    <row r="72" spans="1:12" ht="39" customHeight="1" x14ac:dyDescent="0.2">
      <c r="A72" s="376"/>
      <c r="B72" s="371" t="str">
        <f>'PROV SUM PS1 &amp; PS4 _25_8'!B9</f>
        <v>PROVISIONAL SUM: PS1 Design &amp; PS4 Certificate for Interior Steel Stud Partition</v>
      </c>
      <c r="C72" s="371"/>
      <c r="D72" s="375">
        <f>'PROV SUM PS1 &amp; PS4 _25_8'!M42</f>
        <v>12000</v>
      </c>
      <c r="E72" s="374"/>
    </row>
    <row r="73" spans="1:12" x14ac:dyDescent="0.2">
      <c r="A73" s="376"/>
      <c r="D73" s="376"/>
    </row>
    <row r="74" spans="1:12" ht="24" customHeight="1" x14ac:dyDescent="0.2">
      <c r="A74" s="376"/>
      <c r="B74" s="371" t="s">
        <v>477</v>
      </c>
      <c r="C74" s="371"/>
      <c r="D74" s="373" t="s">
        <v>478</v>
      </c>
      <c r="E74" s="374"/>
      <c r="F74" s="65"/>
    </row>
    <row r="75" spans="1:12" x14ac:dyDescent="0.2">
      <c r="A75" s="376"/>
      <c r="B75" s="328"/>
      <c r="C75" s="328"/>
      <c r="D75" s="328"/>
      <c r="E75" s="328"/>
      <c r="F75" s="328"/>
    </row>
    <row r="76" spans="1:12" x14ac:dyDescent="0.2">
      <c r="A76" s="376"/>
    </row>
    <row r="77" spans="1:12" ht="15.75" x14ac:dyDescent="0.25">
      <c r="A77" s="382"/>
      <c r="B77" s="7" t="s">
        <v>14</v>
      </c>
      <c r="C77" s="7"/>
      <c r="E77" s="8">
        <f>SUM(D56:D74)</f>
        <v>1465576</v>
      </c>
      <c r="H77" s="71">
        <v>1465591</v>
      </c>
      <c r="J77" s="71">
        <f>H77-E77</f>
        <v>15</v>
      </c>
    </row>
    <row r="78" spans="1:12" ht="15.75" thickBot="1" x14ac:dyDescent="0.25">
      <c r="A78" s="376"/>
      <c r="B78" s="132" t="s">
        <v>15</v>
      </c>
      <c r="C78" s="132"/>
      <c r="D78" s="9"/>
      <c r="E78" s="9"/>
      <c r="F78" s="9"/>
    </row>
    <row r="81" spans="1:20" ht="49.5" customHeight="1" x14ac:dyDescent="0.2">
      <c r="A81" s="376"/>
      <c r="B81" s="376"/>
      <c r="C81" s="376"/>
      <c r="D81" s="425" t="str">
        <f>B56</f>
        <v>Suspended Ceiling (1500 x 600)</v>
      </c>
      <c r="E81" s="425" t="str">
        <f>B58</f>
        <v>Timber Partitions &amp; Strapping/Nogging</v>
      </c>
      <c r="F81" s="425" t="str">
        <f>B60</f>
        <v>Steel Stud Partitions</v>
      </c>
      <c r="G81" s="427" t="str">
        <f>B62</f>
        <v>Head Track and Gib Packing to Timber Walls (Timber Partitions by Others)</v>
      </c>
      <c r="H81" s="427" t="str">
        <f>B64</f>
        <v>Gib Wall and Ceiling Linings</v>
      </c>
      <c r="I81" s="426" t="str">
        <f>B66</f>
        <v>Gib Stopping</v>
      </c>
      <c r="J81" s="385" t="str">
        <f>B68</f>
        <v xml:space="preserve">Featurecraft Interior Lining </v>
      </c>
      <c r="K81" s="425" t="str">
        <f>B70</f>
        <v>Aluminium and Timber Skirting</v>
      </c>
      <c r="L81" s="385" t="str">
        <f>B72</f>
        <v>PROVISIONAL SUM: PS1 Design &amp; PS4 Certificate for Interior Steel Stud Partition</v>
      </c>
      <c r="M81" s="385" t="str">
        <f>B74</f>
        <v>PROVISIONAL SUM: Ceiling Seismic Components</v>
      </c>
      <c r="N81" s="408" t="s">
        <v>438</v>
      </c>
    </row>
    <row r="82" spans="1:20" x14ac:dyDescent="0.2">
      <c r="B82" s="328"/>
      <c r="C82" s="328"/>
      <c r="D82" s="407"/>
      <c r="E82" s="407"/>
      <c r="F82" s="407"/>
      <c r="G82" s="428"/>
      <c r="H82" s="428"/>
      <c r="I82" s="407"/>
      <c r="J82" s="407"/>
      <c r="K82" s="407"/>
      <c r="L82" s="407"/>
      <c r="M82" s="407"/>
      <c r="N82" s="409"/>
      <c r="O82" s="328"/>
      <c r="P82" s="328"/>
      <c r="Q82" s="328"/>
      <c r="R82" s="328"/>
      <c r="S82" s="328"/>
      <c r="T82" s="328"/>
    </row>
    <row r="83" spans="1:20" x14ac:dyDescent="0.2">
      <c r="B83" s="4" t="str">
        <f>'Suspended Ceilings_25_8'!B357</f>
        <v>P&amp;G - Admin / Supervision</v>
      </c>
      <c r="D83" s="71">
        <f>'Suspended Ceilings_25_8'!M357</f>
        <v>31544.766800000009</v>
      </c>
      <c r="E83" s="433" t="s">
        <v>471</v>
      </c>
      <c r="F83" s="71">
        <f>'Steel Stud Partitions_25_8'!M115</f>
        <v>5540.8524000000007</v>
      </c>
      <c r="G83" s="433" t="s">
        <v>471</v>
      </c>
      <c r="H83" s="429">
        <f>'Gib Linings_25_8'!M585</f>
        <v>23360.860800000006</v>
      </c>
      <c r="I83" s="71">
        <f>Stopping_25_8!M202</f>
        <v>9894.2993999999999</v>
      </c>
      <c r="J83" s="434" t="s">
        <v>479</v>
      </c>
      <c r="K83" s="71">
        <f>'Skirting with Columns'!M98</f>
        <v>2004.0345000000007</v>
      </c>
      <c r="L83" s="71">
        <f>'PROV SUM PS1 &amp; PS4 _25_8'!M27</f>
        <v>594.84</v>
      </c>
      <c r="M83" s="71"/>
      <c r="N83" s="53">
        <f>SUM(D83:M83)</f>
        <v>72939.653900000005</v>
      </c>
      <c r="P83" s="70" t="s">
        <v>439</v>
      </c>
    </row>
    <row r="84" spans="1:20" x14ac:dyDescent="0.2">
      <c r="D84" s="71"/>
      <c r="E84" s="431"/>
      <c r="F84" s="71"/>
      <c r="G84" s="431"/>
      <c r="H84" s="429"/>
      <c r="I84" s="71"/>
      <c r="J84" s="71"/>
      <c r="K84" s="71"/>
      <c r="L84" s="71"/>
      <c r="M84" s="71"/>
      <c r="N84" s="53"/>
    </row>
    <row r="85" spans="1:20" x14ac:dyDescent="0.2">
      <c r="B85" s="4" t="str">
        <f>'Suspended Ceilings_25_8'!B359</f>
        <v>P&amp;G - Site Establishment</v>
      </c>
      <c r="D85" s="71">
        <f>'Suspended Ceilings_25_8'!M359</f>
        <v>15772.383400000004</v>
      </c>
      <c r="E85" s="431"/>
      <c r="F85" s="71">
        <f>'Steel Stud Partitions_25_8'!M117</f>
        <v>2770.4262000000003</v>
      </c>
      <c r="G85" s="431"/>
      <c r="H85" s="429">
        <f>'Gib Linings_25_8'!M587</f>
        <v>11680.430400000003</v>
      </c>
      <c r="I85" s="71">
        <f>Stopping_25_8!M204</f>
        <v>4947.1496999999999</v>
      </c>
      <c r="J85" s="71"/>
      <c r="K85" s="71">
        <f>'Skirting with Columns'!M100</f>
        <v>1002.0172500000003</v>
      </c>
      <c r="L85" s="71">
        <f>'PROV SUM PS1 &amp; PS4 _25_8'!M29</f>
        <v>0</v>
      </c>
      <c r="M85" s="71"/>
      <c r="N85" s="53">
        <f t="shared" ref="N85:N93" si="0">SUM(D85:M85)</f>
        <v>36172.406950000004</v>
      </c>
      <c r="P85" s="64">
        <f>SUM(N83:N85)</f>
        <v>109112.06085000001</v>
      </c>
    </row>
    <row r="86" spans="1:20" x14ac:dyDescent="0.2">
      <c r="D86" s="71"/>
      <c r="E86" s="431"/>
      <c r="F86" s="71"/>
      <c r="G86" s="431"/>
      <c r="H86" s="429"/>
      <c r="I86" s="71"/>
      <c r="J86" s="71"/>
      <c r="K86" s="71"/>
      <c r="L86" s="71"/>
      <c r="M86" s="71"/>
      <c r="N86" s="53"/>
    </row>
    <row r="87" spans="1:20" x14ac:dyDescent="0.2">
      <c r="B87" s="4" t="str">
        <f>'Suspended Ceilings_25_8'!B361</f>
        <v xml:space="preserve">P&amp;G - Access Equip </v>
      </c>
      <c r="D87" s="71">
        <f>'Suspended Ceilings_25_8'!M361</f>
        <v>2628.7305666666675</v>
      </c>
      <c r="E87" s="431"/>
      <c r="F87" s="71">
        <f>'Steel Stud Partitions_25_8'!M119</f>
        <v>461.73770000000007</v>
      </c>
      <c r="G87" s="431"/>
      <c r="H87" s="429">
        <f>'Gib Linings_25_8'!M589</f>
        <v>1946.7384000000006</v>
      </c>
      <c r="I87" s="71">
        <f>Stopping_25_8!M206</f>
        <v>824.52494999999999</v>
      </c>
      <c r="J87" s="71"/>
      <c r="K87" s="71">
        <f>'Skirting with Columns'!M102</f>
        <v>167.00287500000007</v>
      </c>
      <c r="L87" s="71">
        <f>'PROV SUM PS1 &amp; PS4 _25_8'!M31</f>
        <v>0</v>
      </c>
      <c r="M87" s="71"/>
      <c r="N87" s="53">
        <f t="shared" si="0"/>
        <v>6028.7344916666689</v>
      </c>
    </row>
    <row r="88" spans="1:20" x14ac:dyDescent="0.2">
      <c r="D88" s="71"/>
      <c r="E88" s="431"/>
      <c r="F88" s="71"/>
      <c r="G88" s="431"/>
      <c r="H88" s="429"/>
      <c r="I88" s="71"/>
      <c r="J88" s="71"/>
      <c r="K88" s="71"/>
      <c r="L88" s="71"/>
      <c r="M88" s="71"/>
      <c r="N88" s="53"/>
    </row>
    <row r="89" spans="1:20" x14ac:dyDescent="0.2">
      <c r="B89" s="4" t="str">
        <f>'Suspended Ceilings_25_8'!B363</f>
        <v>P&amp;G</v>
      </c>
      <c r="D89" s="71">
        <f>'Suspended Ceilings_25_8'!M363</f>
        <v>0</v>
      </c>
      <c r="E89" s="431"/>
      <c r="F89" s="71">
        <f>'Steel Stud Partitions_25_8'!M121</f>
        <v>0</v>
      </c>
      <c r="G89" s="431"/>
      <c r="H89" s="429">
        <f>'Gib Linings_25_8'!M591</f>
        <v>0</v>
      </c>
      <c r="I89" s="71">
        <f>Stopping_25_8!M208</f>
        <v>0</v>
      </c>
      <c r="J89" s="71"/>
      <c r="K89" s="71">
        <f>'Skirting with Columns'!M104</f>
        <v>0</v>
      </c>
      <c r="L89" s="71">
        <f>'PROV SUM PS1 &amp; PS4 _25_8'!M33</f>
        <v>0</v>
      </c>
      <c r="M89" s="71"/>
      <c r="N89" s="53">
        <f t="shared" si="0"/>
        <v>0</v>
      </c>
    </row>
    <row r="90" spans="1:20" x14ac:dyDescent="0.2">
      <c r="D90" s="71"/>
      <c r="E90" s="431"/>
      <c r="F90" s="71"/>
      <c r="G90" s="431"/>
      <c r="H90" s="429"/>
      <c r="I90" s="71"/>
      <c r="J90" s="71"/>
      <c r="K90" s="71"/>
      <c r="L90" s="71"/>
      <c r="M90" s="71"/>
      <c r="N90" s="53"/>
    </row>
    <row r="91" spans="1:20" x14ac:dyDescent="0.2">
      <c r="B91" s="4" t="str">
        <f>'Suspended Ceilings_25_8'!B365</f>
        <v>P&amp;G Parking</v>
      </c>
      <c r="D91" s="71">
        <f>'Suspended Ceilings_25_8'!M365</f>
        <v>6312.2512500000003</v>
      </c>
      <c r="E91" s="431"/>
      <c r="F91" s="71">
        <f>'Steel Stud Partitions_25_8'!M123</f>
        <v>2371.5224999999996</v>
      </c>
      <c r="G91" s="431"/>
      <c r="H91" s="429">
        <f>'Gib Linings_25_8'!M593</f>
        <v>8443.1025000000081</v>
      </c>
      <c r="I91" s="71">
        <f>Stopping_25_8!M210</f>
        <v>7837.6725000000015</v>
      </c>
      <c r="J91" s="71"/>
      <c r="K91" s="71">
        <f>'Skirting with Columns'!M106</f>
        <v>643.72500000000002</v>
      </c>
      <c r="L91" s="71">
        <f>'PROV SUM PS1 &amp; PS4 _25_8'!M35</f>
        <v>0</v>
      </c>
      <c r="M91" s="71"/>
      <c r="N91" s="53">
        <f t="shared" si="0"/>
        <v>25608.273750000008</v>
      </c>
    </row>
    <row r="92" spans="1:20" x14ac:dyDescent="0.2">
      <c r="D92" s="71"/>
      <c r="E92" s="431"/>
      <c r="F92" s="71"/>
      <c r="G92" s="431"/>
      <c r="H92" s="429"/>
      <c r="I92" s="71"/>
      <c r="J92" s="71"/>
      <c r="K92" s="71"/>
      <c r="L92" s="71"/>
      <c r="M92" s="71"/>
      <c r="N92" s="53"/>
    </row>
    <row r="93" spans="1:20" x14ac:dyDescent="0.2">
      <c r="B93" s="4" t="str">
        <f>'Suspended Ceilings_25_8'!B369</f>
        <v>Margin</v>
      </c>
      <c r="D93" s="71">
        <f>'Suspended Ceilings_25_8'!M369</f>
        <v>46560.339628000016</v>
      </c>
      <c r="E93" s="431"/>
      <c r="F93" s="71">
        <f>'Steel Stud Partitions_25_8'!M127</f>
        <v>8279.366304000001</v>
      </c>
      <c r="G93" s="431"/>
      <c r="H93" s="429">
        <f>'Gib Linings_25_8'!M597</f>
        <v>34782.304968000011</v>
      </c>
      <c r="I93" s="71">
        <f>Stopping_25_8!M214</f>
        <v>15072.690924</v>
      </c>
      <c r="J93" s="71"/>
      <c r="K93" s="71">
        <f>'Skirting with Columns'!M110</f>
        <v>2977.3883700000006</v>
      </c>
      <c r="L93" s="71">
        <f>'PROV SUM PS1 &amp; PS4 _25_8'!M39</f>
        <v>840.70720000000006</v>
      </c>
      <c r="M93" s="71"/>
      <c r="N93" s="53">
        <f t="shared" si="0"/>
        <v>108512.79739400002</v>
      </c>
    </row>
    <row r="94" spans="1:20" x14ac:dyDescent="0.2">
      <c r="B94" s="328"/>
      <c r="C94" s="328"/>
      <c r="D94" s="328"/>
      <c r="E94" s="432"/>
      <c r="F94" s="328"/>
      <c r="G94" s="432"/>
      <c r="H94" s="430"/>
      <c r="I94" s="328"/>
      <c r="J94" s="328"/>
      <c r="K94" s="328"/>
      <c r="L94" s="328"/>
      <c r="M94" s="328"/>
      <c r="N94" s="410"/>
      <c r="O94" s="328"/>
      <c r="P94" s="328"/>
      <c r="Q94" s="328"/>
      <c r="R94" s="328"/>
      <c r="S94" s="328"/>
      <c r="T94" s="328"/>
    </row>
  </sheetData>
  <mergeCells count="1">
    <mergeCell ref="B7:D7"/>
  </mergeCells>
  <phoneticPr fontId="5" type="noConversion"/>
  <pageMargins left="0.75" right="0.75" top="0.81" bottom="0.57999999999999996" header="0.5" footer="0.5"/>
  <pageSetup paperSize="8" scale="3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209CC2-AC18-43A6-82E0-61E9C45B2289}">
  <sheetPr>
    <pageSetUpPr fitToPage="1"/>
  </sheetPr>
  <dimension ref="A1:AC392"/>
  <sheetViews>
    <sheetView tabSelected="1" topLeftCell="A329" zoomScale="85" zoomScaleNormal="85" workbookViewId="0">
      <selection activeCell="B371" sqref="B371"/>
    </sheetView>
  </sheetViews>
  <sheetFormatPr defaultRowHeight="12.75" x14ac:dyDescent="0.2"/>
  <cols>
    <col min="1" max="1" width="4.85546875" style="12" customWidth="1"/>
    <col min="2" max="2" width="42.42578125" style="12" customWidth="1"/>
    <col min="3" max="3" width="24.140625" style="12" customWidth="1"/>
    <col min="4" max="4" width="12.140625" style="12" customWidth="1"/>
    <col min="5" max="5" width="8" style="12" customWidth="1"/>
    <col min="6" max="7" width="11.5703125" style="12" customWidth="1"/>
    <col min="8" max="8" width="15" style="12" customWidth="1"/>
    <col min="9" max="9" width="10.42578125" style="12" customWidth="1"/>
    <col min="10" max="10" width="12.5703125" style="12" bestFit="1" customWidth="1"/>
    <col min="11" max="12" width="11.5703125" style="12" customWidth="1"/>
    <col min="13" max="13" width="14.7109375" style="12" customWidth="1"/>
    <col min="14" max="14" width="11" style="84" customWidth="1"/>
    <col min="15" max="19" width="13.140625" style="12" customWidth="1"/>
    <col min="20" max="20" width="28.42578125" style="12" customWidth="1"/>
    <col min="21" max="21" width="13" style="12" customWidth="1"/>
    <col min="22" max="22" width="10.85546875" style="12" customWidth="1"/>
    <col min="23" max="23" width="11.7109375" style="12" customWidth="1"/>
    <col min="24" max="24" width="15.42578125" style="12" customWidth="1"/>
    <col min="25" max="25" width="9.140625" style="12" customWidth="1"/>
    <col min="26" max="26" width="14.7109375" style="12" customWidth="1"/>
    <col min="27" max="27" width="12.28515625" style="12" customWidth="1"/>
    <col min="28" max="16384" width="9.140625" style="12"/>
  </cols>
  <sheetData>
    <row r="1" spans="1:29" ht="15.75" x14ac:dyDescent="0.2">
      <c r="A1" s="11"/>
      <c r="B1" s="2" t="str">
        <f>Summary!B1</f>
        <v>Ceilings Unlimited</v>
      </c>
      <c r="C1" s="11"/>
      <c r="D1" s="11"/>
      <c r="E1" s="11"/>
      <c r="F1" s="11"/>
      <c r="G1" s="11"/>
      <c r="H1" s="11"/>
      <c r="I1" s="11"/>
      <c r="J1" s="11"/>
      <c r="K1" s="11"/>
      <c r="L1" s="11"/>
      <c r="M1" s="11"/>
    </row>
    <row r="2" spans="1:29" ht="15.75" x14ac:dyDescent="0.2">
      <c r="A2" s="11"/>
      <c r="B2" s="10" t="str">
        <f>Summary!B2</f>
        <v>2 Devonport Road</v>
      </c>
      <c r="C2" s="11"/>
      <c r="D2" s="11"/>
      <c r="E2" s="11"/>
      <c r="F2" s="11"/>
      <c r="G2" s="11"/>
      <c r="H2" s="11"/>
      <c r="I2" s="11"/>
      <c r="J2" s="11"/>
      <c r="K2" s="11"/>
      <c r="L2" s="11"/>
      <c r="M2" s="11"/>
    </row>
    <row r="3" spans="1:29" ht="15.75" x14ac:dyDescent="0.2">
      <c r="A3" s="11"/>
      <c r="B3" s="10" t="str">
        <f>Summary!B3</f>
        <v>Tauranga</v>
      </c>
      <c r="C3" s="11"/>
      <c r="D3" s="11"/>
      <c r="E3" s="11"/>
      <c r="F3" s="11"/>
      <c r="G3" s="11"/>
      <c r="H3" s="11"/>
      <c r="I3" s="11"/>
      <c r="J3" s="11"/>
      <c r="K3" s="11"/>
      <c r="L3" s="11"/>
      <c r="M3" s="11"/>
    </row>
    <row r="4" spans="1:29" ht="15.75" x14ac:dyDescent="0.2">
      <c r="A4" s="11"/>
      <c r="B4" s="5"/>
      <c r="C4" s="11"/>
      <c r="D4" s="11"/>
      <c r="E4" s="11"/>
      <c r="F4" s="11"/>
      <c r="G4" s="11"/>
      <c r="H4" s="11"/>
      <c r="I4" s="11"/>
      <c r="J4" s="11"/>
      <c r="K4" s="11"/>
      <c r="L4" s="11"/>
      <c r="M4" s="11"/>
    </row>
    <row r="5" spans="1:29" ht="15.75" x14ac:dyDescent="0.2">
      <c r="A5" s="11"/>
      <c r="B5" s="5"/>
      <c r="C5" s="11"/>
      <c r="D5" s="11"/>
      <c r="E5" s="11"/>
      <c r="F5" s="11"/>
      <c r="G5" s="11"/>
      <c r="H5" s="11"/>
      <c r="I5" s="11"/>
      <c r="J5" s="11"/>
      <c r="K5" s="11"/>
      <c r="L5" s="11"/>
      <c r="M5" s="11"/>
    </row>
    <row r="6" spans="1:29" ht="15.75" x14ac:dyDescent="0.2">
      <c r="A6" s="11"/>
      <c r="B6" s="5">
        <v>45853</v>
      </c>
      <c r="C6" s="11"/>
      <c r="D6" s="11"/>
      <c r="E6" s="11"/>
      <c r="F6" s="11"/>
      <c r="G6" s="11"/>
      <c r="H6" s="11"/>
      <c r="I6" s="11"/>
      <c r="J6" s="11"/>
      <c r="K6" s="11"/>
      <c r="L6" s="11"/>
      <c r="M6" s="11"/>
    </row>
    <row r="7" spans="1:29" ht="15.75" x14ac:dyDescent="0.2">
      <c r="A7" s="11"/>
      <c r="B7" s="5"/>
      <c r="C7" s="11"/>
      <c r="D7" s="11"/>
      <c r="E7" s="11"/>
      <c r="F7" s="11"/>
      <c r="G7" s="11"/>
      <c r="H7" s="11"/>
      <c r="I7" s="11"/>
      <c r="J7" s="11"/>
      <c r="K7" s="11"/>
      <c r="L7" s="11"/>
      <c r="M7" s="11"/>
    </row>
    <row r="8" spans="1:29" ht="15.75" x14ac:dyDescent="0.2">
      <c r="A8" s="11"/>
      <c r="B8" s="128"/>
      <c r="C8" s="11"/>
      <c r="D8" s="11"/>
      <c r="E8" s="11"/>
      <c r="F8" s="11"/>
      <c r="G8" s="11"/>
      <c r="H8" s="11"/>
      <c r="I8" s="11"/>
      <c r="J8" s="11"/>
      <c r="K8" s="11"/>
      <c r="L8" s="11"/>
      <c r="M8" s="11"/>
    </row>
    <row r="9" spans="1:29" ht="23.25" customHeight="1" x14ac:dyDescent="0.2">
      <c r="A9" s="13"/>
      <c r="B9" s="54" t="s">
        <v>472</v>
      </c>
      <c r="C9" s="14"/>
      <c r="D9" s="13"/>
      <c r="E9" s="13"/>
      <c r="F9" s="13"/>
      <c r="G9" s="13"/>
      <c r="H9" s="13"/>
      <c r="I9" s="13"/>
      <c r="J9" s="13"/>
      <c r="K9" s="13"/>
      <c r="L9" s="13"/>
      <c r="M9" s="15"/>
      <c r="N9" s="85"/>
      <c r="O9" s="52"/>
      <c r="P9" s="52"/>
      <c r="Q9" s="52"/>
      <c r="R9" s="52"/>
      <c r="S9" s="52"/>
      <c r="V9" s="16"/>
      <c r="W9" s="16"/>
      <c r="X9" s="56"/>
      <c r="AA9" s="17"/>
    </row>
    <row r="10" spans="1:29" ht="23.25" customHeight="1" x14ac:dyDescent="0.2">
      <c r="A10" s="13"/>
      <c r="B10" s="54"/>
      <c r="C10" s="14"/>
      <c r="D10" s="13"/>
      <c r="E10" s="13"/>
      <c r="F10" s="13"/>
      <c r="G10" s="13"/>
      <c r="H10" s="13"/>
      <c r="I10" s="13"/>
      <c r="J10" s="13"/>
      <c r="K10" s="13"/>
      <c r="L10" s="13"/>
      <c r="M10" s="15"/>
      <c r="N10" s="85"/>
      <c r="O10" s="52"/>
      <c r="P10" s="52"/>
      <c r="Q10" s="52">
        <f>SUM(C17,C35,C76,C143,C183,C225,C269,C311)</f>
        <v>988</v>
      </c>
      <c r="R10" s="52"/>
      <c r="S10" s="52"/>
      <c r="V10" s="16"/>
      <c r="W10" s="16"/>
      <c r="X10" s="56"/>
      <c r="AA10" s="17"/>
    </row>
    <row r="11" spans="1:29" x14ac:dyDescent="0.2">
      <c r="A11" s="18"/>
      <c r="B11" s="19"/>
      <c r="C11" s="13"/>
      <c r="D11" s="13"/>
      <c r="F11" s="16"/>
      <c r="G11" s="16"/>
      <c r="H11" s="406">
        <v>50</v>
      </c>
      <c r="I11" s="56"/>
      <c r="M11" s="15"/>
      <c r="N11" s="85"/>
      <c r="O11" s="52"/>
      <c r="P11" s="52"/>
      <c r="Q11" s="52">
        <f>SUM(C18,C36,C77,C144,C184,C226,C270,C312)</f>
        <v>1376</v>
      </c>
      <c r="R11" s="52"/>
      <c r="S11" s="52"/>
      <c r="V11" s="16"/>
      <c r="W11" s="64"/>
      <c r="X11" s="56"/>
      <c r="AA11" s="17"/>
    </row>
    <row r="12" spans="1:29" ht="99" customHeight="1" x14ac:dyDescent="0.2">
      <c r="A12" s="20" t="s">
        <v>0</v>
      </c>
      <c r="B12" s="21" t="s">
        <v>1</v>
      </c>
      <c r="C12" s="89" t="s">
        <v>2</v>
      </c>
      <c r="D12" s="89" t="s">
        <v>3</v>
      </c>
      <c r="E12" s="73" t="s">
        <v>18</v>
      </c>
      <c r="F12" s="74" t="s">
        <v>25</v>
      </c>
      <c r="G12" s="74" t="s">
        <v>27</v>
      </c>
      <c r="H12" s="74" t="s">
        <v>20</v>
      </c>
      <c r="I12" s="74" t="s">
        <v>26</v>
      </c>
      <c r="J12" s="74" t="s">
        <v>19</v>
      </c>
      <c r="K12" s="73" t="s">
        <v>21</v>
      </c>
      <c r="L12" s="73" t="s">
        <v>22</v>
      </c>
      <c r="M12" s="90" t="s">
        <v>4</v>
      </c>
      <c r="N12" s="91" t="s">
        <v>24</v>
      </c>
      <c r="O12" s="94" t="s">
        <v>23</v>
      </c>
      <c r="P12" s="453"/>
      <c r="Q12" s="453"/>
      <c r="R12" s="453"/>
      <c r="S12" s="453"/>
      <c r="T12" s="22"/>
      <c r="U12" s="62"/>
      <c r="V12" s="63"/>
      <c r="W12" s="63"/>
      <c r="X12" s="63"/>
      <c r="Y12" s="63"/>
      <c r="Z12" s="62"/>
      <c r="AA12" s="62"/>
      <c r="AB12" s="62"/>
      <c r="AC12" s="22"/>
    </row>
    <row r="13" spans="1:29" s="70" customFormat="1" ht="14.25" x14ac:dyDescent="0.2">
      <c r="A13" s="60"/>
      <c r="B13" s="114"/>
      <c r="C13" s="61"/>
      <c r="D13" s="72"/>
      <c r="E13" s="115"/>
      <c r="F13" s="116"/>
      <c r="G13" s="116"/>
      <c r="H13" s="116"/>
      <c r="I13" s="117"/>
      <c r="J13" s="115"/>
      <c r="K13" s="115"/>
      <c r="L13" s="115"/>
      <c r="M13" s="137"/>
      <c r="N13" s="138"/>
      <c r="O13" s="139"/>
      <c r="P13" s="454"/>
      <c r="Q13" s="454"/>
      <c r="R13" s="454"/>
      <c r="S13" s="454"/>
      <c r="T13" s="163"/>
      <c r="U13" s="62"/>
      <c r="V13" s="63"/>
      <c r="W13" s="63"/>
      <c r="X13" s="63"/>
      <c r="Y13" s="63"/>
      <c r="Z13" s="62"/>
      <c r="AA13" s="62"/>
    </row>
    <row r="14" spans="1:29" s="70" customFormat="1" ht="17.25" customHeight="1" x14ac:dyDescent="0.2">
      <c r="A14" s="60"/>
      <c r="B14" s="150"/>
      <c r="C14" s="61"/>
      <c r="D14" s="72"/>
      <c r="E14" s="140"/>
      <c r="F14" s="141"/>
      <c r="G14" s="141"/>
      <c r="H14" s="141"/>
      <c r="I14" s="142"/>
      <c r="J14" s="140"/>
      <c r="K14" s="140"/>
      <c r="L14" s="140"/>
      <c r="M14" s="143"/>
      <c r="N14" s="144"/>
      <c r="O14" s="145"/>
      <c r="P14" s="454"/>
      <c r="Q14" s="454"/>
      <c r="R14" s="454"/>
      <c r="S14" s="454"/>
      <c r="T14" s="163"/>
      <c r="U14" s="62"/>
      <c r="V14" s="63"/>
      <c r="W14" s="63"/>
      <c r="X14" s="63"/>
      <c r="Y14" s="63"/>
      <c r="Z14" s="62"/>
      <c r="AA14" s="62"/>
    </row>
    <row r="15" spans="1:29" s="70" customFormat="1" ht="15" x14ac:dyDescent="0.2">
      <c r="A15" s="60"/>
      <c r="B15" s="169" t="s">
        <v>66</v>
      </c>
      <c r="C15" s="61"/>
      <c r="D15" s="72"/>
      <c r="E15" s="140"/>
      <c r="F15" s="141"/>
      <c r="G15" s="141"/>
      <c r="H15" s="141"/>
      <c r="I15" s="142"/>
      <c r="J15" s="140"/>
      <c r="K15" s="140"/>
      <c r="L15" s="140"/>
      <c r="M15" s="143"/>
      <c r="N15" s="144"/>
      <c r="O15" s="145"/>
      <c r="P15" s="454"/>
      <c r="Q15" s="454"/>
      <c r="R15" s="454"/>
      <c r="S15" s="454"/>
      <c r="T15" s="163"/>
      <c r="U15" s="62"/>
      <c r="V15" s="63"/>
      <c r="W15" s="63"/>
      <c r="X15" s="63"/>
      <c r="Y15" s="63"/>
      <c r="Z15" s="62"/>
      <c r="AA15" s="62"/>
    </row>
    <row r="16" spans="1:29" s="70" customFormat="1" ht="14.25" x14ac:dyDescent="0.2">
      <c r="A16" s="60"/>
      <c r="B16" s="165" t="s">
        <v>56</v>
      </c>
      <c r="C16" s="61"/>
      <c r="D16" s="72"/>
      <c r="E16" s="140"/>
      <c r="F16" s="141"/>
      <c r="G16" s="141"/>
      <c r="H16" s="141"/>
      <c r="I16" s="142"/>
      <c r="J16" s="140"/>
      <c r="K16" s="140"/>
      <c r="L16" s="140"/>
      <c r="M16" s="143"/>
      <c r="N16" s="144"/>
      <c r="O16" s="145"/>
      <c r="P16" s="454"/>
      <c r="Q16" s="454"/>
      <c r="R16" s="454"/>
      <c r="S16" s="454"/>
      <c r="T16" s="163"/>
      <c r="U16" s="62"/>
      <c r="V16" s="63"/>
      <c r="W16" s="63"/>
      <c r="X16" s="63"/>
      <c r="Y16" s="63"/>
      <c r="Z16" s="62"/>
      <c r="AA16" s="62"/>
    </row>
    <row r="17" spans="1:29" s="70" customFormat="1" ht="14.25" x14ac:dyDescent="0.2">
      <c r="A17" s="60"/>
      <c r="B17" s="146" t="s">
        <v>76</v>
      </c>
      <c r="C17" s="61">
        <v>96</v>
      </c>
      <c r="D17" s="72" t="s">
        <v>45</v>
      </c>
      <c r="E17" s="122">
        <v>0.32</v>
      </c>
      <c r="F17" s="122">
        <f>C17*E17</f>
        <v>30.72</v>
      </c>
      <c r="G17" s="122">
        <f>$H$11*E17</f>
        <v>16</v>
      </c>
      <c r="H17" s="123">
        <f>F17*$H$11</f>
        <v>1536</v>
      </c>
      <c r="I17" s="135">
        <v>15.51</v>
      </c>
      <c r="J17" s="123">
        <f>C17*I17</f>
        <v>1488.96</v>
      </c>
      <c r="K17" s="124">
        <f>SUM(H17,J17)</f>
        <v>3024.96</v>
      </c>
      <c r="L17" s="123">
        <f>K17/C17</f>
        <v>31.51</v>
      </c>
      <c r="M17" s="125">
        <f>C17*L17</f>
        <v>3024.96</v>
      </c>
      <c r="N17" s="131">
        <v>0</v>
      </c>
      <c r="O17" s="118">
        <f>M17*N17</f>
        <v>0</v>
      </c>
      <c r="P17" s="455"/>
      <c r="Q17" s="455"/>
      <c r="R17" s="455"/>
      <c r="S17" s="455"/>
      <c r="T17" s="163"/>
      <c r="U17" s="62"/>
      <c r="V17" s="63"/>
      <c r="W17" s="63"/>
      <c r="X17" s="63"/>
      <c r="Y17" s="63"/>
      <c r="Z17" s="62"/>
      <c r="AA17" s="62"/>
    </row>
    <row r="18" spans="1:29" s="70" customFormat="1" ht="14.25" x14ac:dyDescent="0.2">
      <c r="A18" s="60"/>
      <c r="B18" s="1" t="s">
        <v>47</v>
      </c>
      <c r="C18" s="113">
        <v>166</v>
      </c>
      <c r="D18" s="72" t="s">
        <v>46</v>
      </c>
      <c r="E18" s="122"/>
      <c r="F18" s="122"/>
      <c r="G18" s="122"/>
      <c r="H18" s="123"/>
      <c r="I18" s="135"/>
      <c r="J18" s="123"/>
      <c r="K18" s="124"/>
      <c r="L18" s="123"/>
      <c r="M18" s="125"/>
      <c r="N18" s="131"/>
      <c r="O18" s="118"/>
      <c r="P18" s="455"/>
      <c r="Q18" s="455"/>
      <c r="R18" s="455"/>
      <c r="S18" s="455"/>
      <c r="T18" s="164"/>
      <c r="U18" s="62"/>
      <c r="V18" s="63"/>
      <c r="W18" s="63"/>
      <c r="X18" s="63"/>
      <c r="Y18" s="63"/>
      <c r="Z18" s="62"/>
      <c r="AA18" s="62"/>
      <c r="AB18" s="103"/>
      <c r="AC18" s="103"/>
    </row>
    <row r="19" spans="1:29" s="70" customFormat="1" ht="14.25" x14ac:dyDescent="0.2">
      <c r="A19" s="60"/>
      <c r="B19" s="1"/>
      <c r="C19" s="113"/>
      <c r="D19" s="72"/>
      <c r="E19" s="122"/>
      <c r="F19" s="122"/>
      <c r="G19" s="122"/>
      <c r="H19" s="123"/>
      <c r="I19" s="135"/>
      <c r="J19" s="123"/>
      <c r="K19" s="124"/>
      <c r="L19" s="123"/>
      <c r="M19" s="125"/>
      <c r="N19" s="131"/>
      <c r="O19" s="118"/>
      <c r="P19" s="455"/>
      <c r="Q19" s="455"/>
      <c r="R19" s="455"/>
      <c r="S19" s="455"/>
      <c r="T19" s="164"/>
      <c r="U19" s="62"/>
      <c r="V19" s="63"/>
      <c r="W19" s="63"/>
      <c r="X19" s="63"/>
      <c r="Y19" s="63"/>
      <c r="Z19" s="62"/>
      <c r="AA19" s="62"/>
      <c r="AB19" s="103"/>
      <c r="AC19" s="103"/>
    </row>
    <row r="20" spans="1:29" s="70" customFormat="1" ht="14.25" x14ac:dyDescent="0.2">
      <c r="A20" s="60"/>
      <c r="B20" s="151" t="s">
        <v>79</v>
      </c>
      <c r="C20" s="170" t="s">
        <v>145</v>
      </c>
      <c r="D20" s="72"/>
      <c r="E20" s="122"/>
      <c r="F20" s="122"/>
      <c r="G20" s="122"/>
      <c r="H20" s="123"/>
      <c r="I20" s="135"/>
      <c r="J20" s="123"/>
      <c r="K20" s="124"/>
      <c r="L20" s="123"/>
      <c r="M20" s="125"/>
      <c r="N20" s="131"/>
      <c r="O20" s="118"/>
      <c r="P20" s="455"/>
      <c r="Q20" s="455"/>
      <c r="R20" s="455"/>
      <c r="S20" s="455"/>
      <c r="T20" s="164"/>
      <c r="U20" s="62"/>
      <c r="V20" s="63"/>
      <c r="W20" s="63"/>
      <c r="X20" s="63"/>
      <c r="Y20" s="63"/>
      <c r="Z20" s="62"/>
      <c r="AA20" s="62"/>
      <c r="AB20" s="103"/>
      <c r="AC20" s="103"/>
    </row>
    <row r="21" spans="1:29" s="70" customFormat="1" ht="14.25" x14ac:dyDescent="0.2">
      <c r="A21" s="60"/>
      <c r="B21" s="1"/>
      <c r="C21" s="113"/>
      <c r="D21" s="72"/>
      <c r="E21" s="122"/>
      <c r="F21" s="122"/>
      <c r="G21" s="122"/>
      <c r="H21" s="123"/>
      <c r="I21" s="135"/>
      <c r="J21" s="123"/>
      <c r="K21" s="124"/>
      <c r="L21" s="123"/>
      <c r="M21" s="125"/>
      <c r="N21" s="131"/>
      <c r="O21" s="118"/>
      <c r="P21" s="455"/>
      <c r="Q21" s="455"/>
      <c r="R21" s="455"/>
      <c r="S21" s="455"/>
      <c r="T21" s="164"/>
      <c r="U21" s="62"/>
      <c r="V21" s="63"/>
      <c r="W21" s="63"/>
      <c r="X21" s="63"/>
      <c r="Y21" s="63"/>
      <c r="Z21" s="62"/>
      <c r="AA21" s="62"/>
      <c r="AB21" s="103"/>
      <c r="AC21" s="103"/>
    </row>
    <row r="22" spans="1:29" s="70" customFormat="1" ht="14.25" x14ac:dyDescent="0.2">
      <c r="A22" s="60"/>
      <c r="B22" s="1" t="s">
        <v>81</v>
      </c>
      <c r="C22" s="170" t="s">
        <v>82</v>
      </c>
      <c r="D22" s="72"/>
      <c r="E22" s="122"/>
      <c r="F22" s="122"/>
      <c r="G22" s="122"/>
      <c r="H22" s="123"/>
      <c r="I22" s="135"/>
      <c r="J22" s="123"/>
      <c r="K22" s="124"/>
      <c r="L22" s="123"/>
      <c r="M22" s="125"/>
      <c r="N22" s="131"/>
      <c r="O22" s="118"/>
      <c r="P22" s="455"/>
      <c r="Q22" s="455"/>
      <c r="R22" s="455"/>
      <c r="S22" s="455"/>
      <c r="T22" s="164"/>
      <c r="U22" s="62"/>
      <c r="V22" s="63"/>
      <c r="W22" s="63"/>
      <c r="X22" s="63"/>
      <c r="Y22" s="63"/>
      <c r="Z22" s="62"/>
      <c r="AA22" s="62"/>
      <c r="AB22" s="103"/>
      <c r="AC22" s="103"/>
    </row>
    <row r="23" spans="1:29" s="70" customFormat="1" ht="14.25" x14ac:dyDescent="0.2">
      <c r="A23" s="60"/>
      <c r="B23" s="1"/>
      <c r="C23" s="113"/>
      <c r="D23" s="72"/>
      <c r="E23" s="122"/>
      <c r="F23" s="122"/>
      <c r="G23" s="122"/>
      <c r="H23" s="123"/>
      <c r="I23" s="135"/>
      <c r="J23" s="123"/>
      <c r="K23" s="124"/>
      <c r="L23" s="123"/>
      <c r="M23" s="125"/>
      <c r="N23" s="131"/>
      <c r="O23" s="118"/>
      <c r="P23" s="455"/>
      <c r="Q23" s="455"/>
      <c r="R23" s="455"/>
      <c r="S23" s="455"/>
      <c r="T23" s="164"/>
      <c r="U23" s="62"/>
      <c r="V23" s="63"/>
      <c r="W23" s="63"/>
      <c r="X23" s="63"/>
      <c r="Y23" s="63"/>
      <c r="Z23" s="62"/>
      <c r="AA23" s="62"/>
      <c r="AB23" s="103"/>
      <c r="AC23" s="103"/>
    </row>
    <row r="24" spans="1:29" s="70" customFormat="1" ht="14.25" x14ac:dyDescent="0.2">
      <c r="A24" s="60"/>
      <c r="B24" s="1" t="s">
        <v>77</v>
      </c>
      <c r="C24" s="170" t="s">
        <v>78</v>
      </c>
      <c r="D24" s="72"/>
      <c r="E24" s="122"/>
      <c r="F24" s="122"/>
      <c r="G24" s="122"/>
      <c r="H24" s="123"/>
      <c r="I24" s="135"/>
      <c r="J24" s="123"/>
      <c r="K24" s="124"/>
      <c r="L24" s="123"/>
      <c r="M24" s="125"/>
      <c r="N24" s="131"/>
      <c r="O24" s="118"/>
      <c r="P24" s="455"/>
      <c r="Q24" s="455"/>
      <c r="R24" s="455"/>
      <c r="S24" s="455"/>
      <c r="T24" s="164"/>
      <c r="U24" s="62"/>
      <c r="V24" s="63"/>
      <c r="W24" s="63"/>
      <c r="X24" s="63"/>
      <c r="Y24" s="63"/>
      <c r="Z24" s="62"/>
      <c r="AA24" s="62"/>
      <c r="AB24" s="103"/>
      <c r="AC24" s="103"/>
    </row>
    <row r="25" spans="1:29" s="70" customFormat="1" ht="14.25" x14ac:dyDescent="0.2">
      <c r="A25" s="60"/>
      <c r="B25" s="1"/>
      <c r="C25" s="113"/>
      <c r="D25" s="72"/>
      <c r="E25" s="122"/>
      <c r="F25" s="122"/>
      <c r="G25" s="122"/>
      <c r="H25" s="123"/>
      <c r="I25" s="135"/>
      <c r="J25" s="123"/>
      <c r="K25" s="124"/>
      <c r="L25" s="123"/>
      <c r="M25" s="125"/>
      <c r="N25" s="131"/>
      <c r="O25" s="118"/>
      <c r="P25" s="455"/>
      <c r="Q25" s="455"/>
      <c r="R25" s="455"/>
      <c r="S25" s="455"/>
      <c r="T25" s="164"/>
      <c r="U25" s="62"/>
      <c r="V25" s="63"/>
      <c r="W25" s="63"/>
      <c r="X25" s="63"/>
      <c r="Y25" s="63"/>
      <c r="Z25" s="62"/>
      <c r="AA25" s="62"/>
      <c r="AB25" s="103"/>
      <c r="AC25" s="103"/>
    </row>
    <row r="26" spans="1:29" s="70" customFormat="1" ht="14.25" x14ac:dyDescent="0.2">
      <c r="A26" s="60"/>
      <c r="B26" s="166" t="s">
        <v>57</v>
      </c>
      <c r="C26" s="113"/>
      <c r="D26" s="72"/>
      <c r="E26" s="122"/>
      <c r="F26" s="122"/>
      <c r="G26" s="122"/>
      <c r="H26" s="123"/>
      <c r="I26" s="135"/>
      <c r="J26" s="123"/>
      <c r="K26" s="124"/>
      <c r="L26" s="123"/>
      <c r="M26" s="125"/>
      <c r="N26" s="131"/>
      <c r="O26" s="118"/>
      <c r="P26" s="455"/>
      <c r="Q26" s="455"/>
      <c r="R26" s="455"/>
      <c r="S26" s="455"/>
      <c r="T26" s="164"/>
      <c r="U26" s="62"/>
      <c r="V26" s="63"/>
      <c r="W26" s="63"/>
      <c r="X26" s="63"/>
      <c r="Y26" s="63"/>
      <c r="Z26" s="62"/>
      <c r="AA26" s="62"/>
      <c r="AB26" s="103"/>
      <c r="AC26" s="103"/>
    </row>
    <row r="27" spans="1:29" s="70" customFormat="1" ht="14.25" x14ac:dyDescent="0.2">
      <c r="A27" s="60"/>
      <c r="B27" s="1" t="s">
        <v>80</v>
      </c>
      <c r="C27" s="113">
        <v>6</v>
      </c>
      <c r="D27" s="72" t="s">
        <v>46</v>
      </c>
      <c r="E27" s="122"/>
      <c r="F27" s="122">
        <f>C27*E27</f>
        <v>0</v>
      </c>
      <c r="G27" s="122">
        <f>$H$11*E27</f>
        <v>0</v>
      </c>
      <c r="H27" s="123">
        <f>F27*$H$11</f>
        <v>0</v>
      </c>
      <c r="I27" s="135"/>
      <c r="J27" s="123">
        <f>C27*I27</f>
        <v>0</v>
      </c>
      <c r="K27" s="124">
        <f>SUM(H27,J27)</f>
        <v>0</v>
      </c>
      <c r="L27" s="123">
        <f>K27/C27</f>
        <v>0</v>
      </c>
      <c r="M27" s="125">
        <f>C27*L27</f>
        <v>0</v>
      </c>
      <c r="N27" s="131">
        <v>0</v>
      </c>
      <c r="O27" s="118">
        <f>M27*N27</f>
        <v>0</v>
      </c>
      <c r="P27" s="455"/>
      <c r="Q27" s="455"/>
      <c r="R27" s="455"/>
      <c r="S27" s="455"/>
      <c r="T27" s="164"/>
      <c r="U27" s="62"/>
      <c r="V27" s="63"/>
      <c r="W27" s="63"/>
      <c r="X27" s="63"/>
      <c r="Y27" s="63"/>
      <c r="Z27" s="62"/>
      <c r="AA27" s="62"/>
      <c r="AB27" s="103"/>
      <c r="AC27" s="103"/>
    </row>
    <row r="28" spans="1:29" s="70" customFormat="1" ht="14.25" x14ac:dyDescent="0.2">
      <c r="A28" s="60"/>
      <c r="B28" s="1"/>
      <c r="C28" s="113"/>
      <c r="D28" s="72"/>
      <c r="E28" s="122"/>
      <c r="F28" s="122"/>
      <c r="G28" s="122"/>
      <c r="H28" s="123"/>
      <c r="I28" s="135"/>
      <c r="J28" s="123"/>
      <c r="K28" s="124"/>
      <c r="L28" s="123"/>
      <c r="M28" s="125"/>
      <c r="N28" s="131"/>
      <c r="O28" s="118"/>
      <c r="P28" s="455"/>
      <c r="Q28" s="455"/>
      <c r="R28" s="455"/>
      <c r="S28" s="455"/>
      <c r="T28" s="164"/>
      <c r="U28" s="62"/>
      <c r="V28" s="63"/>
      <c r="W28" s="63"/>
      <c r="X28" s="63"/>
      <c r="Y28" s="63"/>
      <c r="Z28" s="62"/>
      <c r="AA28" s="62"/>
      <c r="AB28" s="103"/>
      <c r="AC28" s="103"/>
    </row>
    <row r="29" spans="1:29" s="70" customFormat="1" ht="14.25" x14ac:dyDescent="0.2">
      <c r="A29" s="60"/>
      <c r="B29" s="151" t="s">
        <v>83</v>
      </c>
      <c r="C29" s="170" t="s">
        <v>82</v>
      </c>
      <c r="D29" s="72"/>
      <c r="E29" s="122"/>
      <c r="F29" s="122"/>
      <c r="G29" s="122"/>
      <c r="H29" s="123"/>
      <c r="I29" s="135"/>
      <c r="J29" s="123"/>
      <c r="K29" s="124"/>
      <c r="L29" s="123"/>
      <c r="M29" s="125"/>
      <c r="N29" s="131"/>
      <c r="O29" s="118"/>
      <c r="P29" s="455"/>
      <c r="Q29" s="455"/>
      <c r="R29" s="455"/>
      <c r="S29" s="455"/>
      <c r="T29" s="164"/>
      <c r="U29" s="62"/>
      <c r="V29" s="63"/>
      <c r="W29" s="63"/>
      <c r="X29" s="63"/>
      <c r="Y29" s="63"/>
      <c r="Z29" s="62"/>
      <c r="AA29" s="62"/>
      <c r="AB29" s="103"/>
      <c r="AC29" s="103"/>
    </row>
    <row r="30" spans="1:29" s="70" customFormat="1" ht="14.25" x14ac:dyDescent="0.2">
      <c r="A30" s="60"/>
      <c r="B30" s="1"/>
      <c r="C30" s="113"/>
      <c r="D30" s="72"/>
      <c r="E30" s="122"/>
      <c r="F30" s="122"/>
      <c r="G30" s="122"/>
      <c r="H30" s="123"/>
      <c r="I30" s="135"/>
      <c r="J30" s="123"/>
      <c r="K30" s="124"/>
      <c r="L30" s="123"/>
      <c r="M30" s="125"/>
      <c r="N30" s="131"/>
      <c r="O30" s="118"/>
      <c r="P30" s="452">
        <f>SUM(M13:M26)</f>
        <v>3024.96</v>
      </c>
      <c r="Q30" s="450">
        <f>P30*SUM($L$357:$L$363)</f>
        <v>287.37119999999999</v>
      </c>
      <c r="R30" s="266"/>
      <c r="S30" s="266"/>
      <c r="T30" s="164"/>
      <c r="U30" s="62"/>
      <c r="V30" s="63"/>
      <c r="W30" s="63"/>
      <c r="X30" s="63"/>
      <c r="Y30" s="63"/>
      <c r="Z30" s="62"/>
      <c r="AA30" s="62"/>
      <c r="AB30" s="103"/>
      <c r="AC30" s="103"/>
    </row>
    <row r="31" spans="1:29" s="70" customFormat="1" ht="14.25" x14ac:dyDescent="0.2">
      <c r="A31" s="60"/>
      <c r="B31" s="1"/>
      <c r="C31" s="113"/>
      <c r="D31" s="72"/>
      <c r="E31" s="122"/>
      <c r="F31" s="122"/>
      <c r="G31" s="122"/>
      <c r="H31" s="123"/>
      <c r="I31" s="135"/>
      <c r="J31" s="123"/>
      <c r="K31" s="124"/>
      <c r="L31" s="123"/>
      <c r="M31" s="125"/>
      <c r="N31" s="131"/>
      <c r="O31" s="118"/>
      <c r="P31" s="451">
        <f>P30/$M$354</f>
        <v>5.7536516643388195E-3</v>
      </c>
      <c r="Q31" s="452">
        <f>P31*$M$365</f>
        <v>36.318494910287292</v>
      </c>
      <c r="R31" s="452">
        <f>SUM(P30,Q30,Q31)</f>
        <v>3348.6496949102875</v>
      </c>
      <c r="S31" s="452">
        <f>R31*1.08</f>
        <v>3616.5416705031107</v>
      </c>
      <c r="T31" s="164"/>
      <c r="U31" s="62"/>
      <c r="V31" s="63"/>
      <c r="W31" s="63"/>
      <c r="X31" s="63"/>
      <c r="Y31" s="63"/>
      <c r="Z31" s="62"/>
      <c r="AA31" s="62"/>
      <c r="AB31" s="103"/>
      <c r="AC31" s="103"/>
    </row>
    <row r="32" spans="1:29" s="70" customFormat="1" ht="14.25" x14ac:dyDescent="0.2">
      <c r="A32" s="60"/>
      <c r="B32" s="1"/>
      <c r="C32" s="113"/>
      <c r="D32" s="72"/>
      <c r="E32" s="122"/>
      <c r="F32" s="122"/>
      <c r="G32" s="122"/>
      <c r="H32" s="123"/>
      <c r="I32" s="135"/>
      <c r="J32" s="123"/>
      <c r="K32" s="124"/>
      <c r="L32" s="123"/>
      <c r="M32" s="125"/>
      <c r="N32" s="131"/>
      <c r="O32" s="118"/>
      <c r="P32" s="455"/>
      <c r="Q32" s="455"/>
      <c r="R32" s="455"/>
      <c r="S32" s="455"/>
      <c r="T32" s="164"/>
      <c r="U32" s="62"/>
      <c r="V32" s="63"/>
      <c r="W32" s="63"/>
      <c r="X32" s="63"/>
      <c r="Y32" s="63"/>
      <c r="Z32" s="62"/>
      <c r="AA32" s="62"/>
      <c r="AB32" s="103"/>
      <c r="AC32" s="103"/>
    </row>
    <row r="33" spans="1:29" s="70" customFormat="1" ht="15" x14ac:dyDescent="0.2">
      <c r="A33" s="60"/>
      <c r="B33" s="169" t="s">
        <v>64</v>
      </c>
      <c r="C33" s="113"/>
      <c r="D33" s="72"/>
      <c r="E33" s="122"/>
      <c r="F33" s="122"/>
      <c r="G33" s="122"/>
      <c r="H33" s="123"/>
      <c r="I33" s="135"/>
      <c r="J33" s="123"/>
      <c r="K33" s="124"/>
      <c r="L33" s="123"/>
      <c r="M33" s="125"/>
      <c r="N33" s="131"/>
      <c r="O33" s="118"/>
      <c r="P33" s="455"/>
      <c r="Q33" s="455"/>
      <c r="R33" s="455"/>
      <c r="S33" s="455"/>
      <c r="T33" s="164"/>
      <c r="U33" s="62"/>
      <c r="V33" s="63"/>
      <c r="W33" s="63"/>
      <c r="X33" s="63"/>
      <c r="Y33" s="63"/>
      <c r="Z33" s="62"/>
      <c r="AA33" s="62"/>
      <c r="AB33" s="103"/>
      <c r="AC33" s="103"/>
    </row>
    <row r="34" spans="1:29" s="70" customFormat="1" ht="14.25" x14ac:dyDescent="0.2">
      <c r="A34" s="60"/>
      <c r="B34" s="165" t="s">
        <v>56</v>
      </c>
      <c r="C34" s="113"/>
      <c r="D34" s="72"/>
      <c r="E34" s="122"/>
      <c r="F34" s="122"/>
      <c r="G34" s="122"/>
      <c r="H34" s="123"/>
      <c r="I34" s="135"/>
      <c r="J34" s="123"/>
      <c r="K34" s="124"/>
      <c r="L34" s="123"/>
      <c r="M34" s="125"/>
      <c r="N34" s="131"/>
      <c r="O34" s="118"/>
      <c r="P34" s="455"/>
      <c r="Q34" s="455"/>
      <c r="R34" s="455"/>
      <c r="S34" s="455"/>
      <c r="T34" s="164"/>
      <c r="U34" s="62"/>
      <c r="V34" s="63"/>
      <c r="W34" s="63"/>
      <c r="X34" s="63"/>
      <c r="Y34" s="63"/>
      <c r="Z34" s="62"/>
      <c r="AA34" s="62"/>
      <c r="AB34" s="103"/>
      <c r="AC34" s="103"/>
    </row>
    <row r="35" spans="1:29" s="70" customFormat="1" ht="14.25" x14ac:dyDescent="0.2">
      <c r="A35" s="60"/>
      <c r="B35" s="151" t="s">
        <v>76</v>
      </c>
      <c r="C35" s="152">
        <v>267</v>
      </c>
      <c r="D35" s="153" t="s">
        <v>45</v>
      </c>
      <c r="E35" s="122">
        <v>0.32</v>
      </c>
      <c r="F35" s="122">
        <f>C35*E35</f>
        <v>85.44</v>
      </c>
      <c r="G35" s="122">
        <f>$H$11*E35</f>
        <v>16</v>
      </c>
      <c r="H35" s="123">
        <f>F35*$H$11</f>
        <v>4272</v>
      </c>
      <c r="I35" s="135">
        <v>15.51</v>
      </c>
      <c r="J35" s="123">
        <f>C35*I35</f>
        <v>4141.17</v>
      </c>
      <c r="K35" s="124">
        <f>SUM(H35,J35)</f>
        <v>8413.17</v>
      </c>
      <c r="L35" s="123">
        <f>K35/C35</f>
        <v>31.51</v>
      </c>
      <c r="M35" s="125">
        <f>C35*L35</f>
        <v>8413.17</v>
      </c>
      <c r="N35" s="131">
        <v>0</v>
      </c>
      <c r="O35" s="118">
        <f>M35*N35</f>
        <v>0</v>
      </c>
      <c r="P35" s="455"/>
      <c r="Q35" s="455"/>
      <c r="R35" s="455"/>
      <c r="S35" s="455"/>
      <c r="T35" s="149"/>
      <c r="U35" s="154"/>
      <c r="V35" s="155"/>
      <c r="W35" s="136"/>
      <c r="X35" s="63"/>
      <c r="Y35" s="63"/>
      <c r="Z35" s="62"/>
      <c r="AA35" s="62"/>
      <c r="AB35" s="103"/>
      <c r="AC35" s="103"/>
    </row>
    <row r="36" spans="1:29" s="70" customFormat="1" ht="14.25" x14ac:dyDescent="0.2">
      <c r="A36" s="60"/>
      <c r="B36" s="151" t="s">
        <v>47</v>
      </c>
      <c r="C36" s="152">
        <v>302</v>
      </c>
      <c r="D36" s="153" t="s">
        <v>46</v>
      </c>
      <c r="E36" s="122"/>
      <c r="F36" s="122"/>
      <c r="G36" s="122"/>
      <c r="H36" s="123"/>
      <c r="I36" s="135"/>
      <c r="J36" s="123"/>
      <c r="K36" s="124"/>
      <c r="L36" s="123"/>
      <c r="M36" s="125"/>
      <c r="N36" s="131"/>
      <c r="O36" s="118"/>
      <c r="P36" s="455"/>
      <c r="Q36" s="455"/>
      <c r="R36" s="455"/>
      <c r="S36" s="455"/>
      <c r="T36" s="149"/>
      <c r="U36" s="154"/>
      <c r="V36" s="155"/>
      <c r="W36" s="136"/>
      <c r="X36" s="63"/>
      <c r="Y36" s="63"/>
      <c r="Z36" s="62"/>
      <c r="AA36" s="62"/>
      <c r="AB36" s="103"/>
      <c r="AC36" s="103"/>
    </row>
    <row r="37" spans="1:29" s="70" customFormat="1" ht="14.25" x14ac:dyDescent="0.2">
      <c r="A37" s="60"/>
      <c r="B37" s="151"/>
      <c r="C37" s="152"/>
      <c r="D37" s="153"/>
      <c r="E37" s="122"/>
      <c r="F37" s="122"/>
      <c r="G37" s="122"/>
      <c r="H37" s="123"/>
      <c r="I37" s="135"/>
      <c r="J37" s="123"/>
      <c r="K37" s="124"/>
      <c r="L37" s="123"/>
      <c r="M37" s="125"/>
      <c r="N37" s="131"/>
      <c r="O37" s="118"/>
      <c r="P37" s="455"/>
      <c r="Q37" s="455"/>
      <c r="R37" s="455"/>
      <c r="S37" s="455"/>
      <c r="T37" s="149"/>
      <c r="U37" s="154"/>
      <c r="V37" s="155"/>
      <c r="W37" s="136"/>
      <c r="X37" s="63"/>
      <c r="Y37" s="63"/>
      <c r="Z37" s="62"/>
      <c r="AA37" s="62"/>
      <c r="AB37" s="103"/>
      <c r="AC37" s="103"/>
    </row>
    <row r="38" spans="1:29" s="70" customFormat="1" ht="14.25" x14ac:dyDescent="0.2">
      <c r="A38" s="60"/>
      <c r="B38" s="151" t="s">
        <v>84</v>
      </c>
      <c r="C38" s="157" t="s">
        <v>85</v>
      </c>
      <c r="D38" s="153"/>
      <c r="E38" s="122"/>
      <c r="F38" s="122"/>
      <c r="G38" s="122"/>
      <c r="H38" s="123"/>
      <c r="I38" s="135"/>
      <c r="J38" s="123"/>
      <c r="K38" s="124"/>
      <c r="L38" s="123"/>
      <c r="M38" s="125"/>
      <c r="N38" s="131"/>
      <c r="O38" s="118"/>
      <c r="P38" s="455"/>
      <c r="Q38" s="455"/>
      <c r="R38" s="455"/>
      <c r="S38" s="455"/>
      <c r="T38" s="149"/>
      <c r="U38" s="154"/>
      <c r="V38" s="155"/>
      <c r="W38" s="136"/>
      <c r="X38" s="63"/>
      <c r="Y38" s="63"/>
      <c r="Z38" s="62"/>
      <c r="AA38" s="62"/>
      <c r="AB38" s="103"/>
      <c r="AC38" s="103"/>
    </row>
    <row r="39" spans="1:29" s="70" customFormat="1" ht="14.25" x14ac:dyDescent="0.2">
      <c r="A39" s="60"/>
      <c r="B39" s="151"/>
      <c r="C39" s="152"/>
      <c r="D39" s="153"/>
      <c r="E39" s="122"/>
      <c r="F39" s="122"/>
      <c r="G39" s="122"/>
      <c r="H39" s="123"/>
      <c r="I39" s="135"/>
      <c r="J39" s="123"/>
      <c r="K39" s="124"/>
      <c r="L39" s="123"/>
      <c r="M39" s="125"/>
      <c r="N39" s="131"/>
      <c r="O39" s="118"/>
      <c r="P39" s="455"/>
      <c r="Q39" s="455"/>
      <c r="R39" s="455"/>
      <c r="S39" s="455"/>
      <c r="T39" s="149"/>
      <c r="U39" s="154"/>
      <c r="V39" s="155"/>
      <c r="W39" s="136"/>
      <c r="X39" s="63"/>
      <c r="Y39" s="63"/>
      <c r="Z39" s="62"/>
      <c r="AA39" s="62"/>
      <c r="AB39" s="103"/>
      <c r="AC39" s="103"/>
    </row>
    <row r="40" spans="1:29" s="70" customFormat="1" ht="14.25" x14ac:dyDescent="0.2">
      <c r="A40" s="60"/>
      <c r="B40" s="151" t="s">
        <v>86</v>
      </c>
      <c r="C40" s="157" t="s">
        <v>82</v>
      </c>
      <c r="D40" s="153"/>
      <c r="E40" s="122"/>
      <c r="F40" s="122"/>
      <c r="G40" s="122"/>
      <c r="H40" s="123"/>
      <c r="I40" s="135"/>
      <c r="J40" s="123"/>
      <c r="K40" s="124"/>
      <c r="L40" s="123"/>
      <c r="M40" s="125"/>
      <c r="N40" s="131"/>
      <c r="O40" s="118"/>
      <c r="P40" s="455"/>
      <c r="Q40" s="455"/>
      <c r="R40" s="455"/>
      <c r="S40" s="455"/>
      <c r="T40" s="149"/>
      <c r="U40" s="154"/>
      <c r="V40" s="155"/>
      <c r="W40" s="136"/>
      <c r="X40" s="63"/>
      <c r="Y40" s="63"/>
      <c r="Z40" s="62"/>
      <c r="AA40" s="62"/>
      <c r="AB40" s="103"/>
      <c r="AC40" s="103"/>
    </row>
    <row r="41" spans="1:29" s="70" customFormat="1" ht="14.25" x14ac:dyDescent="0.2">
      <c r="A41" s="60"/>
      <c r="B41" s="151"/>
      <c r="C41" s="152"/>
      <c r="D41" s="153"/>
      <c r="E41" s="122"/>
      <c r="F41" s="122"/>
      <c r="G41" s="122"/>
      <c r="H41" s="123"/>
      <c r="I41" s="135"/>
      <c r="J41" s="123"/>
      <c r="K41" s="124"/>
      <c r="L41" s="123"/>
      <c r="M41" s="125"/>
      <c r="N41" s="131"/>
      <c r="O41" s="118"/>
      <c r="P41" s="455"/>
      <c r="Q41" s="455"/>
      <c r="R41" s="455"/>
      <c r="S41" s="455"/>
      <c r="T41" s="149"/>
      <c r="U41" s="154"/>
      <c r="V41" s="155"/>
      <c r="W41" s="136"/>
      <c r="X41" s="63"/>
      <c r="Y41" s="63"/>
      <c r="Z41" s="62"/>
      <c r="AA41" s="62"/>
      <c r="AB41" s="103"/>
      <c r="AC41" s="103"/>
    </row>
    <row r="42" spans="1:29" s="70" customFormat="1" ht="14.25" x14ac:dyDescent="0.2">
      <c r="A42" s="60"/>
      <c r="B42" s="151" t="s">
        <v>87</v>
      </c>
      <c r="C42" s="157" t="s">
        <v>85</v>
      </c>
      <c r="D42" s="153"/>
      <c r="E42" s="122"/>
      <c r="F42" s="122"/>
      <c r="G42" s="122"/>
      <c r="H42" s="123"/>
      <c r="I42" s="135"/>
      <c r="J42" s="123"/>
      <c r="K42" s="124"/>
      <c r="L42" s="123"/>
      <c r="M42" s="125"/>
      <c r="N42" s="131"/>
      <c r="O42" s="118"/>
      <c r="P42" s="455"/>
      <c r="Q42" s="455"/>
      <c r="R42" s="455"/>
      <c r="S42" s="455"/>
      <c r="T42" s="149"/>
      <c r="U42" s="154"/>
      <c r="V42" s="155"/>
      <c r="W42" s="136"/>
      <c r="X42" s="63"/>
      <c r="Y42" s="63"/>
      <c r="Z42" s="62"/>
      <c r="AA42" s="62"/>
      <c r="AB42" s="103"/>
      <c r="AC42" s="103"/>
    </row>
    <row r="43" spans="1:29" s="70" customFormat="1" ht="14.25" x14ac:dyDescent="0.2">
      <c r="A43" s="60"/>
      <c r="B43" s="151"/>
      <c r="C43" s="152"/>
      <c r="D43" s="153"/>
      <c r="E43" s="122"/>
      <c r="F43" s="122"/>
      <c r="G43" s="122"/>
      <c r="H43" s="123"/>
      <c r="I43" s="135"/>
      <c r="J43" s="123"/>
      <c r="K43" s="124"/>
      <c r="L43" s="123"/>
      <c r="M43" s="125"/>
      <c r="N43" s="131"/>
      <c r="O43" s="118"/>
      <c r="P43" s="455"/>
      <c r="Q43" s="455"/>
      <c r="R43" s="455"/>
      <c r="S43" s="455"/>
      <c r="T43" s="149"/>
      <c r="U43" s="154"/>
      <c r="V43" s="155"/>
      <c r="W43" s="136"/>
      <c r="X43" s="63"/>
      <c r="Y43" s="63"/>
      <c r="Z43" s="62"/>
      <c r="AA43" s="62"/>
      <c r="AB43" s="103"/>
      <c r="AC43" s="103"/>
    </row>
    <row r="44" spans="1:29" s="70" customFormat="1" ht="14.25" x14ac:dyDescent="0.2">
      <c r="A44" s="60"/>
      <c r="B44" s="166" t="s">
        <v>57</v>
      </c>
      <c r="C44" s="152"/>
      <c r="D44" s="153"/>
      <c r="E44" s="122"/>
      <c r="F44" s="122"/>
      <c r="G44" s="122"/>
      <c r="H44" s="123"/>
      <c r="I44" s="135"/>
      <c r="J44" s="123"/>
      <c r="K44" s="124"/>
      <c r="L44" s="123"/>
      <c r="M44" s="125"/>
      <c r="N44" s="131"/>
      <c r="O44" s="118"/>
      <c r="P44" s="455"/>
      <c r="Q44" s="455"/>
      <c r="R44" s="455"/>
      <c r="S44" s="455"/>
      <c r="T44" s="149"/>
      <c r="U44" s="154"/>
      <c r="V44" s="155"/>
      <c r="W44" s="136"/>
      <c r="X44" s="63"/>
      <c r="Y44" s="63"/>
      <c r="Z44" s="62"/>
      <c r="AA44" s="62"/>
      <c r="AB44" s="103"/>
      <c r="AC44" s="103"/>
    </row>
    <row r="45" spans="1:29" s="70" customFormat="1" ht="14.25" x14ac:dyDescent="0.2">
      <c r="A45" s="60"/>
      <c r="B45" s="166"/>
      <c r="C45" s="152"/>
      <c r="D45" s="153"/>
      <c r="E45" s="122"/>
      <c r="F45" s="122"/>
      <c r="G45" s="122"/>
      <c r="H45" s="123"/>
      <c r="I45" s="135"/>
      <c r="J45" s="123"/>
      <c r="K45" s="124"/>
      <c r="L45" s="123"/>
      <c r="M45" s="125"/>
      <c r="N45" s="131"/>
      <c r="O45" s="118"/>
      <c r="P45" s="455"/>
      <c r="Q45" s="455"/>
      <c r="R45" s="455"/>
      <c r="S45" s="455"/>
      <c r="T45" s="149"/>
      <c r="U45" s="154"/>
      <c r="V45" s="155"/>
      <c r="W45" s="136"/>
      <c r="X45" s="63"/>
      <c r="Y45" s="63"/>
      <c r="Z45" s="62"/>
      <c r="AA45" s="62"/>
      <c r="AB45" s="103"/>
      <c r="AC45" s="103"/>
    </row>
    <row r="46" spans="1:29" s="70" customFormat="1" ht="14.25" x14ac:dyDescent="0.2">
      <c r="A46" s="60"/>
      <c r="B46" s="1" t="s">
        <v>459</v>
      </c>
      <c r="C46" s="113">
        <v>16</v>
      </c>
      <c r="D46" s="153" t="s">
        <v>46</v>
      </c>
      <c r="E46" s="390">
        <v>0.35</v>
      </c>
      <c r="F46" s="122">
        <f>C46*E46</f>
        <v>5.6</v>
      </c>
      <c r="G46" s="122">
        <f>$H$11*E46</f>
        <v>17.5</v>
      </c>
      <c r="H46" s="123">
        <f>F46*$H$11</f>
        <v>280</v>
      </c>
      <c r="I46" s="393">
        <v>39.200000000000003</v>
      </c>
      <c r="J46" s="123">
        <f>C46*I46</f>
        <v>627.20000000000005</v>
      </c>
      <c r="K46" s="124">
        <f>SUM(H46,J46)</f>
        <v>907.2</v>
      </c>
      <c r="L46" s="123">
        <f>K46/C46</f>
        <v>56.7</v>
      </c>
      <c r="M46" s="125">
        <f>C46*L46</f>
        <v>907.2</v>
      </c>
      <c r="N46" s="131">
        <v>0</v>
      </c>
      <c r="O46" s="118">
        <f>M46*N46</f>
        <v>0</v>
      </c>
      <c r="P46" s="455"/>
      <c r="Q46" s="455"/>
      <c r="R46" s="455"/>
      <c r="S46" s="455"/>
      <c r="T46" s="149"/>
      <c r="U46" s="154"/>
      <c r="V46" s="155"/>
      <c r="W46" s="136"/>
      <c r="X46" s="63"/>
      <c r="Y46" s="63"/>
      <c r="Z46" s="62"/>
      <c r="AA46" s="62"/>
      <c r="AB46" s="103"/>
      <c r="AC46" s="103"/>
    </row>
    <row r="47" spans="1:29" s="70" customFormat="1" ht="14.25" x14ac:dyDescent="0.2">
      <c r="A47" s="60"/>
      <c r="B47" s="421" t="s">
        <v>466</v>
      </c>
      <c r="C47" s="424">
        <f>C46/1.2</f>
        <v>13.333333333333334</v>
      </c>
      <c r="D47" s="423" t="s">
        <v>60</v>
      </c>
      <c r="E47" s="390">
        <v>0.09</v>
      </c>
      <c r="F47" s="122">
        <f>C47*E47</f>
        <v>1.2</v>
      </c>
      <c r="G47" s="122">
        <f>$H$11*E47</f>
        <v>4.5</v>
      </c>
      <c r="H47" s="123">
        <f>F47*$H$11</f>
        <v>60</v>
      </c>
      <c r="I47" s="393">
        <v>5.28</v>
      </c>
      <c r="J47" s="123">
        <f>C47*I47</f>
        <v>70.400000000000006</v>
      </c>
      <c r="K47" s="124">
        <f>SUM(H47,J47)</f>
        <v>130.4</v>
      </c>
      <c r="L47" s="123">
        <f>K47/C47</f>
        <v>9.7799999999999994</v>
      </c>
      <c r="M47" s="125">
        <f>C47*L47</f>
        <v>130.4</v>
      </c>
      <c r="N47" s="131">
        <v>0</v>
      </c>
      <c r="O47" s="118">
        <f>M47*N47</f>
        <v>0</v>
      </c>
      <c r="P47" s="455"/>
      <c r="Q47" s="455"/>
      <c r="R47" s="455"/>
      <c r="S47" s="455"/>
      <c r="T47" s="149"/>
      <c r="U47" s="154"/>
      <c r="V47" s="155"/>
      <c r="W47" s="136"/>
      <c r="X47" s="63"/>
      <c r="Y47" s="63"/>
      <c r="Z47" s="62"/>
      <c r="AA47" s="62"/>
      <c r="AB47" s="103"/>
      <c r="AC47" s="103"/>
    </row>
    <row r="48" spans="1:29" s="70" customFormat="1" ht="14.25" x14ac:dyDescent="0.2">
      <c r="A48" s="60"/>
      <c r="B48" s="421" t="s">
        <v>504</v>
      </c>
      <c r="C48" s="424">
        <f>C46/2.4</f>
        <v>6.666666666666667</v>
      </c>
      <c r="D48" s="423" t="s">
        <v>60</v>
      </c>
      <c r="E48" s="390">
        <v>0</v>
      </c>
      <c r="F48" s="122">
        <f>C48*E48</f>
        <v>0</v>
      </c>
      <c r="G48" s="122">
        <f>$H$11*E48</f>
        <v>0</v>
      </c>
      <c r="H48" s="123">
        <f>F48*$H$11</f>
        <v>0</v>
      </c>
      <c r="I48" s="393">
        <v>5.28</v>
      </c>
      <c r="J48" s="123">
        <f>C48*I48</f>
        <v>35.200000000000003</v>
      </c>
      <c r="K48" s="124">
        <f>SUM(H48,J48)</f>
        <v>35.200000000000003</v>
      </c>
      <c r="L48" s="123">
        <f>K48/C48</f>
        <v>5.28</v>
      </c>
      <c r="M48" s="125">
        <f>C48*L48</f>
        <v>35.200000000000003</v>
      </c>
      <c r="N48" s="131">
        <v>0</v>
      </c>
      <c r="O48" s="118">
        <f>M48*N48</f>
        <v>0</v>
      </c>
      <c r="P48" s="455"/>
      <c r="Q48" s="455"/>
      <c r="R48" s="455"/>
      <c r="S48" s="455"/>
      <c r="T48" s="149"/>
      <c r="U48" s="154"/>
      <c r="V48" s="155"/>
      <c r="W48" s="136"/>
      <c r="X48" s="63"/>
      <c r="Y48" s="63"/>
      <c r="Z48" s="62"/>
      <c r="AA48" s="62"/>
      <c r="AB48" s="103"/>
      <c r="AC48" s="103"/>
    </row>
    <row r="49" spans="1:29" s="70" customFormat="1" ht="14.25" x14ac:dyDescent="0.2">
      <c r="A49" s="60"/>
      <c r="B49" s="421" t="s">
        <v>457</v>
      </c>
      <c r="C49" s="422">
        <v>7</v>
      </c>
      <c r="D49" s="423" t="s">
        <v>60</v>
      </c>
      <c r="E49" s="310">
        <v>0.25</v>
      </c>
      <c r="F49" s="122">
        <f>C49*E49</f>
        <v>1.75</v>
      </c>
      <c r="G49" s="122">
        <f>$H$11*E49</f>
        <v>12.5</v>
      </c>
      <c r="H49" s="123">
        <f>F49*$H$11</f>
        <v>87.5</v>
      </c>
      <c r="I49" s="135">
        <v>17.05</v>
      </c>
      <c r="J49" s="123">
        <f>C49*I49</f>
        <v>119.35000000000001</v>
      </c>
      <c r="K49" s="124">
        <f>SUM(H49,J49)</f>
        <v>206.85000000000002</v>
      </c>
      <c r="L49" s="123">
        <f>K49/C49</f>
        <v>29.550000000000004</v>
      </c>
      <c r="M49" s="125">
        <f>C49*L49</f>
        <v>206.85000000000002</v>
      </c>
      <c r="N49" s="131">
        <v>0</v>
      </c>
      <c r="O49" s="118">
        <f>M49*N49</f>
        <v>0</v>
      </c>
      <c r="P49" s="455"/>
      <c r="Q49" s="455"/>
      <c r="R49" s="455"/>
      <c r="S49" s="455"/>
      <c r="T49" s="149"/>
      <c r="U49" s="154"/>
      <c r="V49" s="155"/>
      <c r="W49" s="136"/>
      <c r="X49" s="63"/>
      <c r="Y49" s="63"/>
      <c r="Z49" s="62"/>
      <c r="AA49" s="62"/>
      <c r="AB49" s="103"/>
      <c r="AC49" s="103"/>
    </row>
    <row r="50" spans="1:29" s="70" customFormat="1" ht="14.25" x14ac:dyDescent="0.2">
      <c r="A50" s="60"/>
      <c r="B50" s="421" t="s">
        <v>458</v>
      </c>
      <c r="C50" s="422">
        <v>7</v>
      </c>
      <c r="D50" s="423" t="s">
        <v>60</v>
      </c>
      <c r="E50" s="122">
        <v>0.12</v>
      </c>
      <c r="F50" s="122">
        <f>C50*E50</f>
        <v>0.84</v>
      </c>
      <c r="G50" s="122">
        <f>$H$11*E50</f>
        <v>6</v>
      </c>
      <c r="H50" s="123">
        <f>F50*$H$11</f>
        <v>42</v>
      </c>
      <c r="I50" s="135">
        <v>8.06</v>
      </c>
      <c r="J50" s="123">
        <f>C50*I50</f>
        <v>56.42</v>
      </c>
      <c r="K50" s="124">
        <f>SUM(H50,J50)</f>
        <v>98.42</v>
      </c>
      <c r="L50" s="123">
        <f>K50/C50</f>
        <v>14.06</v>
      </c>
      <c r="M50" s="125">
        <f>C50*L50</f>
        <v>98.42</v>
      </c>
      <c r="N50" s="131">
        <v>0</v>
      </c>
      <c r="O50" s="118">
        <f>M50*N50</f>
        <v>0</v>
      </c>
      <c r="P50" s="455"/>
      <c r="Q50" s="455"/>
      <c r="R50" s="455"/>
      <c r="S50" s="455"/>
      <c r="T50" s="149"/>
      <c r="U50" s="154"/>
      <c r="V50" s="155"/>
      <c r="W50" s="136"/>
      <c r="X50" s="63"/>
      <c r="Y50" s="63"/>
      <c r="Z50" s="62"/>
      <c r="AA50" s="62"/>
      <c r="AB50" s="103"/>
      <c r="AC50" s="103"/>
    </row>
    <row r="51" spans="1:29" s="70" customFormat="1" ht="14.25" x14ac:dyDescent="0.2">
      <c r="A51" s="60"/>
      <c r="B51" s="151"/>
      <c r="C51" s="113"/>
      <c r="D51" s="153"/>
      <c r="E51" s="122"/>
      <c r="F51" s="122"/>
      <c r="G51" s="122"/>
      <c r="H51" s="123"/>
      <c r="I51" s="135"/>
      <c r="J51" s="123"/>
      <c r="K51" s="124"/>
      <c r="L51" s="123"/>
      <c r="M51" s="125"/>
      <c r="N51" s="131"/>
      <c r="O51" s="118"/>
      <c r="P51" s="455"/>
      <c r="Q51" s="455"/>
      <c r="R51" s="455"/>
      <c r="S51" s="455"/>
      <c r="T51" s="149"/>
      <c r="U51" s="154"/>
      <c r="V51" s="155"/>
      <c r="W51" s="136"/>
      <c r="X51" s="63"/>
      <c r="Y51" s="63"/>
      <c r="Z51" s="62"/>
      <c r="AA51" s="62"/>
      <c r="AB51" s="103"/>
      <c r="AC51" s="103"/>
    </row>
    <row r="52" spans="1:29" s="70" customFormat="1" ht="14.25" x14ac:dyDescent="0.2">
      <c r="A52" s="60"/>
      <c r="B52" s="1" t="s">
        <v>460</v>
      </c>
      <c r="C52" s="113">
        <v>26</v>
      </c>
      <c r="D52" s="153" t="s">
        <v>46</v>
      </c>
      <c r="E52" s="390">
        <v>0.25</v>
      </c>
      <c r="F52" s="122">
        <f>C52*E52</f>
        <v>6.5</v>
      </c>
      <c r="G52" s="122">
        <f>$H$11*E52</f>
        <v>12.5</v>
      </c>
      <c r="H52" s="123">
        <f>F52*$H$11</f>
        <v>325</v>
      </c>
      <c r="I52" s="393">
        <v>24.31</v>
      </c>
      <c r="J52" s="123">
        <f>C52*I52</f>
        <v>632.05999999999995</v>
      </c>
      <c r="K52" s="124">
        <f>SUM(H52,J52)</f>
        <v>957.06</v>
      </c>
      <c r="L52" s="123">
        <f>K52/C52</f>
        <v>36.809999999999995</v>
      </c>
      <c r="M52" s="125">
        <f>C52*L52</f>
        <v>957.05999999999983</v>
      </c>
      <c r="N52" s="131">
        <v>0</v>
      </c>
      <c r="O52" s="118">
        <f>M52*N52</f>
        <v>0</v>
      </c>
      <c r="P52" s="455"/>
      <c r="Q52" s="455"/>
      <c r="R52" s="455"/>
      <c r="S52" s="455"/>
      <c r="T52" s="149"/>
      <c r="U52" s="154"/>
      <c r="V52" s="155"/>
      <c r="W52" s="136"/>
      <c r="X52" s="63"/>
      <c r="Y52" s="63"/>
      <c r="Z52" s="62"/>
      <c r="AA52" s="62"/>
      <c r="AB52" s="103"/>
      <c r="AC52" s="103"/>
    </row>
    <row r="53" spans="1:29" s="70" customFormat="1" ht="14.25" x14ac:dyDescent="0.2">
      <c r="A53" s="60"/>
      <c r="B53" s="421" t="s">
        <v>466</v>
      </c>
      <c r="C53" s="424">
        <f>C52/1.2</f>
        <v>21.666666666666668</v>
      </c>
      <c r="D53" s="423" t="s">
        <v>60</v>
      </c>
      <c r="E53" s="390">
        <v>0.09</v>
      </c>
      <c r="F53" s="122">
        <f>C53*E53</f>
        <v>1.95</v>
      </c>
      <c r="G53" s="122">
        <f>$H$11*E53</f>
        <v>4.5</v>
      </c>
      <c r="H53" s="123">
        <f>F53*$H$11</f>
        <v>97.5</v>
      </c>
      <c r="I53" s="393">
        <v>5.28</v>
      </c>
      <c r="J53" s="123">
        <f>C53*I53</f>
        <v>114.4</v>
      </c>
      <c r="K53" s="124">
        <f>SUM(H53,J53)</f>
        <v>211.9</v>
      </c>
      <c r="L53" s="123">
        <f>K53/C53</f>
        <v>9.7799999999999994</v>
      </c>
      <c r="M53" s="125">
        <f>C53*L53</f>
        <v>211.9</v>
      </c>
      <c r="N53" s="131">
        <v>0</v>
      </c>
      <c r="O53" s="118">
        <f>M53*N53</f>
        <v>0</v>
      </c>
      <c r="P53" s="455"/>
      <c r="Q53" s="455"/>
      <c r="R53" s="455"/>
      <c r="S53" s="455"/>
      <c r="T53" s="149"/>
      <c r="U53" s="154"/>
      <c r="V53" s="155"/>
      <c r="W53" s="136"/>
      <c r="X53" s="63"/>
      <c r="Y53" s="63"/>
      <c r="Z53" s="62"/>
      <c r="AA53" s="62"/>
      <c r="AB53" s="103"/>
      <c r="AC53" s="103"/>
    </row>
    <row r="54" spans="1:29" s="70" customFormat="1" ht="14.25" x14ac:dyDescent="0.2">
      <c r="A54" s="60"/>
      <c r="B54" s="421" t="s">
        <v>504</v>
      </c>
      <c r="C54" s="424">
        <f>C52/2.4</f>
        <v>10.833333333333334</v>
      </c>
      <c r="D54" s="423" t="s">
        <v>60</v>
      </c>
      <c r="E54" s="390">
        <v>0</v>
      </c>
      <c r="F54" s="122">
        <f>C54*E54</f>
        <v>0</v>
      </c>
      <c r="G54" s="122">
        <f>$H$11*E54</f>
        <v>0</v>
      </c>
      <c r="H54" s="123">
        <f>F54*$H$11</f>
        <v>0</v>
      </c>
      <c r="I54" s="393">
        <v>5.28</v>
      </c>
      <c r="J54" s="123">
        <f>C54*I54</f>
        <v>57.2</v>
      </c>
      <c r="K54" s="124">
        <f>SUM(H54,J54)</f>
        <v>57.2</v>
      </c>
      <c r="L54" s="123">
        <f>K54/C54</f>
        <v>5.28</v>
      </c>
      <c r="M54" s="125">
        <f>C54*L54</f>
        <v>57.2</v>
      </c>
      <c r="N54" s="131">
        <v>0</v>
      </c>
      <c r="O54" s="118">
        <f>M54*N54</f>
        <v>0</v>
      </c>
      <c r="P54" s="455"/>
      <c r="Q54" s="455"/>
      <c r="R54" s="455"/>
      <c r="S54" s="455"/>
      <c r="T54" s="149"/>
      <c r="U54" s="154"/>
      <c r="V54" s="155"/>
      <c r="W54" s="136"/>
      <c r="X54" s="63"/>
      <c r="Y54" s="63"/>
      <c r="Z54" s="62"/>
      <c r="AA54" s="62"/>
      <c r="AB54" s="103"/>
      <c r="AC54" s="103"/>
    </row>
    <row r="55" spans="1:29" s="70" customFormat="1" ht="14.25" x14ac:dyDescent="0.2">
      <c r="A55" s="60"/>
      <c r="B55" s="421" t="s">
        <v>457</v>
      </c>
      <c r="C55" s="422">
        <v>7</v>
      </c>
      <c r="D55" s="423" t="s">
        <v>60</v>
      </c>
      <c r="E55" s="310">
        <v>0.25</v>
      </c>
      <c r="F55" s="122">
        <f>C55*E55</f>
        <v>1.75</v>
      </c>
      <c r="G55" s="122">
        <f>$H$11*E55</f>
        <v>12.5</v>
      </c>
      <c r="H55" s="123">
        <f>F55*$H$11</f>
        <v>87.5</v>
      </c>
      <c r="I55" s="135">
        <v>17.05</v>
      </c>
      <c r="J55" s="123">
        <f>C55*I55</f>
        <v>119.35000000000001</v>
      </c>
      <c r="K55" s="124">
        <f>SUM(H55,J55)</f>
        <v>206.85000000000002</v>
      </c>
      <c r="L55" s="123">
        <f>K55/C55</f>
        <v>29.550000000000004</v>
      </c>
      <c r="M55" s="125">
        <f>C55*L55</f>
        <v>206.85000000000002</v>
      </c>
      <c r="N55" s="131">
        <v>0</v>
      </c>
      <c r="O55" s="118">
        <f>M55*N55</f>
        <v>0</v>
      </c>
      <c r="P55" s="455"/>
      <c r="Q55" s="455"/>
      <c r="R55" s="455"/>
      <c r="S55" s="455"/>
      <c r="T55" s="149"/>
      <c r="U55" s="154"/>
      <c r="V55" s="155"/>
      <c r="W55" s="136"/>
      <c r="X55" s="63"/>
      <c r="Y55" s="63"/>
      <c r="Z55" s="62"/>
      <c r="AA55" s="62"/>
      <c r="AB55" s="103"/>
      <c r="AC55" s="103"/>
    </row>
    <row r="56" spans="1:29" s="70" customFormat="1" ht="14.25" x14ac:dyDescent="0.2">
      <c r="A56" s="60"/>
      <c r="B56" s="421" t="s">
        <v>458</v>
      </c>
      <c r="C56" s="422">
        <v>7</v>
      </c>
      <c r="D56" s="423" t="s">
        <v>60</v>
      </c>
      <c r="E56" s="122">
        <v>0.12</v>
      </c>
      <c r="F56" s="122">
        <f>C56*E56</f>
        <v>0.84</v>
      </c>
      <c r="G56" s="122">
        <f>$H$11*E56</f>
        <v>6</v>
      </c>
      <c r="H56" s="123">
        <f>F56*$H$11</f>
        <v>42</v>
      </c>
      <c r="I56" s="135">
        <v>8.06</v>
      </c>
      <c r="J56" s="123">
        <f>C56*I56</f>
        <v>56.42</v>
      </c>
      <c r="K56" s="124">
        <f>SUM(H56,J56)</f>
        <v>98.42</v>
      </c>
      <c r="L56" s="123">
        <f>K56/C56</f>
        <v>14.06</v>
      </c>
      <c r="M56" s="125">
        <f>C56*L56</f>
        <v>98.42</v>
      </c>
      <c r="N56" s="131">
        <v>0</v>
      </c>
      <c r="O56" s="118">
        <f>M56*N56</f>
        <v>0</v>
      </c>
      <c r="P56" s="455"/>
      <c r="Q56" s="455"/>
      <c r="R56" s="455"/>
      <c r="S56" s="455"/>
      <c r="T56" s="149"/>
      <c r="U56" s="154"/>
      <c r="V56" s="155"/>
      <c r="W56" s="136"/>
      <c r="X56" s="63"/>
      <c r="Y56" s="63"/>
      <c r="Z56" s="62"/>
      <c r="AA56" s="62"/>
      <c r="AB56" s="103"/>
      <c r="AC56" s="103"/>
    </row>
    <row r="57" spans="1:29" s="70" customFormat="1" ht="14.25" x14ac:dyDescent="0.2">
      <c r="A57" s="60"/>
      <c r="B57" s="166"/>
      <c r="C57" s="152"/>
      <c r="D57" s="153"/>
      <c r="E57" s="122"/>
      <c r="F57" s="122"/>
      <c r="G57" s="122"/>
      <c r="H57" s="123"/>
      <c r="I57" s="135"/>
      <c r="J57" s="123"/>
      <c r="K57" s="124"/>
      <c r="L57" s="123"/>
      <c r="M57" s="125"/>
      <c r="N57" s="131"/>
      <c r="O57" s="118"/>
      <c r="P57" s="455"/>
      <c r="Q57" s="455"/>
      <c r="R57" s="455"/>
      <c r="S57" s="455"/>
      <c r="T57" s="149"/>
      <c r="U57" s="154"/>
      <c r="V57" s="155"/>
      <c r="W57" s="136"/>
      <c r="X57" s="63"/>
      <c r="Y57" s="63"/>
      <c r="Z57" s="62"/>
      <c r="AA57" s="62"/>
      <c r="AB57" s="103"/>
      <c r="AC57" s="103"/>
    </row>
    <row r="58" spans="1:29" s="70" customFormat="1" ht="14.25" x14ac:dyDescent="0.2">
      <c r="A58" s="60"/>
      <c r="B58" s="1" t="s">
        <v>514</v>
      </c>
      <c r="C58" s="113">
        <v>17</v>
      </c>
      <c r="D58" s="153" t="s">
        <v>46</v>
      </c>
      <c r="E58" s="390">
        <v>0.35</v>
      </c>
      <c r="F58" s="122">
        <f>C58*E58</f>
        <v>5.9499999999999993</v>
      </c>
      <c r="G58" s="122">
        <f>$H$11*E58</f>
        <v>17.5</v>
      </c>
      <c r="H58" s="123">
        <f>F58*$H$11</f>
        <v>297.49999999999994</v>
      </c>
      <c r="I58" s="393">
        <v>41.58</v>
      </c>
      <c r="J58" s="123">
        <f>C58*I58</f>
        <v>706.86</v>
      </c>
      <c r="K58" s="124">
        <f>SUM(H58,J58)</f>
        <v>1004.3599999999999</v>
      </c>
      <c r="L58" s="123">
        <f>K58/C58</f>
        <v>59.079999999999991</v>
      </c>
      <c r="M58" s="125">
        <f>C58*L58</f>
        <v>1004.3599999999999</v>
      </c>
      <c r="N58" s="131">
        <v>0</v>
      </c>
      <c r="O58" s="118">
        <f>M58*N58</f>
        <v>0</v>
      </c>
      <c r="P58" s="455"/>
      <c r="Q58" s="455"/>
      <c r="R58" s="455"/>
      <c r="S58" s="455"/>
      <c r="T58" s="149"/>
      <c r="U58" s="154"/>
      <c r="V58" s="155"/>
      <c r="W58" s="136"/>
      <c r="X58" s="63"/>
      <c r="Y58" s="63"/>
      <c r="Z58" s="62"/>
      <c r="AA58" s="62"/>
      <c r="AB58" s="103"/>
      <c r="AC58" s="103"/>
    </row>
    <row r="59" spans="1:29" s="70" customFormat="1" ht="14.25" x14ac:dyDescent="0.2">
      <c r="A59" s="60"/>
      <c r="B59" s="421" t="s">
        <v>466</v>
      </c>
      <c r="C59" s="424">
        <f>C58/1.2</f>
        <v>14.166666666666668</v>
      </c>
      <c r="D59" s="423" t="s">
        <v>60</v>
      </c>
      <c r="E59" s="390">
        <v>0.09</v>
      </c>
      <c r="F59" s="122">
        <f>C59*E59</f>
        <v>1.2750000000000001</v>
      </c>
      <c r="G59" s="122">
        <f>$H$11*E59</f>
        <v>4.5</v>
      </c>
      <c r="H59" s="123">
        <f>F59*$H$11</f>
        <v>63.750000000000007</v>
      </c>
      <c r="I59" s="393">
        <v>5.28</v>
      </c>
      <c r="J59" s="123">
        <f>C59*I59</f>
        <v>74.800000000000011</v>
      </c>
      <c r="K59" s="124">
        <f>SUM(H59,J59)</f>
        <v>138.55000000000001</v>
      </c>
      <c r="L59" s="123">
        <f>K59/C59</f>
        <v>9.7799999999999994</v>
      </c>
      <c r="M59" s="125">
        <f>C59*L59</f>
        <v>138.55000000000001</v>
      </c>
      <c r="N59" s="131">
        <v>0</v>
      </c>
      <c r="O59" s="118">
        <f>M59*N59</f>
        <v>0</v>
      </c>
      <c r="P59" s="455"/>
      <c r="Q59" s="455"/>
      <c r="R59" s="455"/>
      <c r="S59" s="455"/>
      <c r="T59" s="149"/>
      <c r="U59" s="154"/>
      <c r="V59" s="155"/>
      <c r="W59" s="136"/>
      <c r="X59" s="63"/>
      <c r="Y59" s="63"/>
      <c r="Z59" s="62"/>
      <c r="AA59" s="62"/>
      <c r="AB59" s="103"/>
      <c r="AC59" s="103"/>
    </row>
    <row r="60" spans="1:29" s="70" customFormat="1" ht="14.25" x14ac:dyDescent="0.2">
      <c r="A60" s="60"/>
      <c r="B60" s="421" t="s">
        <v>504</v>
      </c>
      <c r="C60" s="424">
        <f>C58/2.4</f>
        <v>7.0833333333333339</v>
      </c>
      <c r="D60" s="423" t="s">
        <v>60</v>
      </c>
      <c r="E60" s="390">
        <v>0</v>
      </c>
      <c r="F60" s="122">
        <f>C60*E60</f>
        <v>0</v>
      </c>
      <c r="G60" s="122">
        <f>$H$11*E60</f>
        <v>0</v>
      </c>
      <c r="H60" s="123">
        <f>F60*$H$11</f>
        <v>0</v>
      </c>
      <c r="I60" s="393">
        <v>5.28</v>
      </c>
      <c r="J60" s="123">
        <f>C60*I60</f>
        <v>37.400000000000006</v>
      </c>
      <c r="K60" s="124">
        <f>SUM(H60,J60)</f>
        <v>37.400000000000006</v>
      </c>
      <c r="L60" s="123">
        <f>K60/C60</f>
        <v>5.28</v>
      </c>
      <c r="M60" s="125">
        <f>C60*L60</f>
        <v>37.400000000000006</v>
      </c>
      <c r="N60" s="131">
        <v>0</v>
      </c>
      <c r="O60" s="118">
        <f>M60*N60</f>
        <v>0</v>
      </c>
      <c r="P60" s="455"/>
      <c r="Q60" s="455"/>
      <c r="R60" s="455"/>
      <c r="S60" s="455"/>
      <c r="T60" s="149"/>
      <c r="U60" s="154"/>
      <c r="V60" s="155"/>
      <c r="W60" s="136"/>
      <c r="X60" s="63"/>
      <c r="Y60" s="63"/>
      <c r="Z60" s="62"/>
      <c r="AA60" s="62"/>
      <c r="AB60" s="103"/>
      <c r="AC60" s="103"/>
    </row>
    <row r="61" spans="1:29" s="70" customFormat="1" ht="14.25" x14ac:dyDescent="0.2">
      <c r="A61" s="60"/>
      <c r="B61" s="421" t="s">
        <v>457</v>
      </c>
      <c r="C61" s="422">
        <v>7</v>
      </c>
      <c r="D61" s="423" t="s">
        <v>60</v>
      </c>
      <c r="E61" s="310">
        <v>0.25</v>
      </c>
      <c r="F61" s="122">
        <f>C61*E61</f>
        <v>1.75</v>
      </c>
      <c r="G61" s="122">
        <f>$H$11*E61</f>
        <v>12.5</v>
      </c>
      <c r="H61" s="123">
        <f>F61*$H$11</f>
        <v>87.5</v>
      </c>
      <c r="I61" s="135">
        <v>17.05</v>
      </c>
      <c r="J61" s="123">
        <f>C61*I61</f>
        <v>119.35000000000001</v>
      </c>
      <c r="K61" s="124">
        <f>SUM(H61,J61)</f>
        <v>206.85000000000002</v>
      </c>
      <c r="L61" s="123">
        <f>K61/C61</f>
        <v>29.550000000000004</v>
      </c>
      <c r="M61" s="125">
        <f>C61*L61</f>
        <v>206.85000000000002</v>
      </c>
      <c r="N61" s="131">
        <v>0</v>
      </c>
      <c r="O61" s="118">
        <f>M61*N61</f>
        <v>0</v>
      </c>
      <c r="P61" s="455"/>
      <c r="Q61" s="455"/>
      <c r="R61" s="455"/>
      <c r="S61" s="455"/>
      <c r="T61" s="149"/>
      <c r="U61" s="154"/>
      <c r="V61" s="155"/>
      <c r="W61" s="136"/>
      <c r="X61" s="63"/>
      <c r="Y61" s="63"/>
      <c r="Z61" s="62"/>
      <c r="AA61" s="62"/>
      <c r="AB61" s="103"/>
      <c r="AC61" s="103"/>
    </row>
    <row r="62" spans="1:29" s="70" customFormat="1" ht="14.25" x14ac:dyDescent="0.2">
      <c r="A62" s="60"/>
      <c r="B62" s="421" t="s">
        <v>458</v>
      </c>
      <c r="C62" s="422">
        <v>7</v>
      </c>
      <c r="D62" s="423" t="s">
        <v>60</v>
      </c>
      <c r="E62" s="122">
        <v>0.12</v>
      </c>
      <c r="F62" s="122">
        <f>C62*E62</f>
        <v>0.84</v>
      </c>
      <c r="G62" s="122">
        <f>$H$11*E62</f>
        <v>6</v>
      </c>
      <c r="H62" s="123">
        <f>F62*$H$11</f>
        <v>42</v>
      </c>
      <c r="I62" s="135">
        <v>8.06</v>
      </c>
      <c r="J62" s="123">
        <f>C62*I62</f>
        <v>56.42</v>
      </c>
      <c r="K62" s="124">
        <f>SUM(H62,J62)</f>
        <v>98.42</v>
      </c>
      <c r="L62" s="123">
        <f>K62/C62</f>
        <v>14.06</v>
      </c>
      <c r="M62" s="125">
        <f>C62*L62</f>
        <v>98.42</v>
      </c>
      <c r="N62" s="131">
        <v>0</v>
      </c>
      <c r="O62" s="118">
        <f>M62*N62</f>
        <v>0</v>
      </c>
      <c r="P62" s="455"/>
      <c r="Q62" s="455"/>
      <c r="R62" s="455"/>
      <c r="S62" s="455"/>
      <c r="T62" s="149"/>
      <c r="U62" s="154"/>
      <c r="V62" s="155"/>
      <c r="W62" s="136"/>
      <c r="X62" s="63"/>
      <c r="Y62" s="63"/>
      <c r="Z62" s="62"/>
      <c r="AA62" s="62"/>
      <c r="AB62" s="103"/>
      <c r="AC62" s="103"/>
    </row>
    <row r="63" spans="1:29" s="70" customFormat="1" ht="14.25" x14ac:dyDescent="0.2">
      <c r="A63" s="60"/>
      <c r="B63" s="1"/>
      <c r="C63" s="157"/>
      <c r="D63" s="153"/>
      <c r="E63" s="122"/>
      <c r="F63" s="122"/>
      <c r="G63" s="122"/>
      <c r="H63" s="123"/>
      <c r="I63" s="135"/>
      <c r="J63" s="123"/>
      <c r="K63" s="124"/>
      <c r="L63" s="123"/>
      <c r="M63" s="125"/>
      <c r="N63" s="131"/>
      <c r="O63" s="118"/>
      <c r="P63" s="455"/>
      <c r="Q63" s="455"/>
      <c r="R63" s="455"/>
      <c r="S63" s="455"/>
      <c r="T63" s="149"/>
      <c r="U63" s="154"/>
      <c r="V63" s="155"/>
      <c r="W63" s="136"/>
      <c r="X63" s="63"/>
      <c r="Y63" s="63"/>
      <c r="Z63" s="62"/>
      <c r="AA63" s="62"/>
      <c r="AB63" s="103"/>
      <c r="AC63" s="103"/>
    </row>
    <row r="64" spans="1:29" s="70" customFormat="1" ht="14.25" x14ac:dyDescent="0.2">
      <c r="A64" s="60"/>
      <c r="B64" s="1" t="s">
        <v>515</v>
      </c>
      <c r="C64" s="113">
        <v>3</v>
      </c>
      <c r="D64" s="153" t="s">
        <v>46</v>
      </c>
      <c r="E64" s="390">
        <v>0.41</v>
      </c>
      <c r="F64" s="122">
        <f>C64*E64</f>
        <v>1.23</v>
      </c>
      <c r="G64" s="122">
        <f>$H$11*E64</f>
        <v>20.5</v>
      </c>
      <c r="H64" s="123">
        <f>F64*$H$11</f>
        <v>61.5</v>
      </c>
      <c r="I64" s="393">
        <v>42.99</v>
      </c>
      <c r="J64" s="123">
        <f>C64*I64</f>
        <v>128.97</v>
      </c>
      <c r="K64" s="124">
        <f>SUM(H64,J64)</f>
        <v>190.47</v>
      </c>
      <c r="L64" s="123">
        <f>K64/C64</f>
        <v>63.49</v>
      </c>
      <c r="M64" s="125">
        <f>C64*L64</f>
        <v>190.47</v>
      </c>
      <c r="N64" s="131">
        <v>0</v>
      </c>
      <c r="O64" s="118">
        <f>M64*N64</f>
        <v>0</v>
      </c>
      <c r="P64" s="455"/>
      <c r="Q64" s="455"/>
      <c r="R64" s="455"/>
      <c r="S64" s="455"/>
      <c r="T64" s="149"/>
      <c r="U64" s="154"/>
      <c r="V64" s="155"/>
      <c r="W64" s="136"/>
      <c r="X64" s="63"/>
      <c r="Y64" s="63"/>
      <c r="Z64" s="62"/>
      <c r="AA64" s="62"/>
      <c r="AB64" s="103"/>
      <c r="AC64" s="103"/>
    </row>
    <row r="65" spans="1:29" s="70" customFormat="1" ht="14.25" x14ac:dyDescent="0.2">
      <c r="A65" s="60"/>
      <c r="B65" s="421" t="s">
        <v>466</v>
      </c>
      <c r="C65" s="424">
        <v>2</v>
      </c>
      <c r="D65" s="423" t="s">
        <v>60</v>
      </c>
      <c r="E65" s="390">
        <v>0.09</v>
      </c>
      <c r="F65" s="122">
        <f>C65*E65</f>
        <v>0.18</v>
      </c>
      <c r="G65" s="122">
        <f>$H$11*E65</f>
        <v>4.5</v>
      </c>
      <c r="H65" s="123">
        <f>F65*$H$11</f>
        <v>9</v>
      </c>
      <c r="I65" s="393">
        <v>5.28</v>
      </c>
      <c r="J65" s="123">
        <f>C65*I65</f>
        <v>10.56</v>
      </c>
      <c r="K65" s="124">
        <f>SUM(H65,J65)</f>
        <v>19.560000000000002</v>
      </c>
      <c r="L65" s="123">
        <f>K65/C65</f>
        <v>9.7800000000000011</v>
      </c>
      <c r="M65" s="125">
        <f>C65*L65</f>
        <v>19.560000000000002</v>
      </c>
      <c r="N65" s="131">
        <v>0</v>
      </c>
      <c r="O65" s="118">
        <f>M65*N65</f>
        <v>0</v>
      </c>
      <c r="P65" s="455"/>
      <c r="Q65" s="455"/>
      <c r="R65" s="455"/>
      <c r="S65" s="455"/>
      <c r="T65" s="149"/>
      <c r="U65" s="154"/>
      <c r="V65" s="155"/>
      <c r="W65" s="136"/>
      <c r="X65" s="63"/>
      <c r="Y65" s="63"/>
      <c r="Z65" s="62"/>
      <c r="AA65" s="62"/>
      <c r="AB65" s="103"/>
      <c r="AC65" s="103"/>
    </row>
    <row r="66" spans="1:29" s="70" customFormat="1" ht="14.25" x14ac:dyDescent="0.2">
      <c r="A66" s="60"/>
      <c r="B66" s="421" t="s">
        <v>504</v>
      </c>
      <c r="C66" s="424">
        <v>2</v>
      </c>
      <c r="D66" s="423" t="s">
        <v>60</v>
      </c>
      <c r="E66" s="390">
        <v>0</v>
      </c>
      <c r="F66" s="122">
        <f>C66*E66</f>
        <v>0</v>
      </c>
      <c r="G66" s="122">
        <f>$H$11*E66</f>
        <v>0</v>
      </c>
      <c r="H66" s="123">
        <f>F66*$H$11</f>
        <v>0</v>
      </c>
      <c r="I66" s="393">
        <v>5.28</v>
      </c>
      <c r="J66" s="123">
        <f>C66*I66</f>
        <v>10.56</v>
      </c>
      <c r="K66" s="124">
        <f>SUM(H66,J66)</f>
        <v>10.56</v>
      </c>
      <c r="L66" s="123">
        <f>K66/C66</f>
        <v>5.28</v>
      </c>
      <c r="M66" s="125">
        <f>C66*L66</f>
        <v>10.56</v>
      </c>
      <c r="N66" s="131">
        <v>0</v>
      </c>
      <c r="O66" s="118">
        <f>M66*N66</f>
        <v>0</v>
      </c>
      <c r="P66" s="455"/>
      <c r="Q66" s="455"/>
      <c r="R66" s="455"/>
      <c r="S66" s="455"/>
      <c r="T66" s="149"/>
      <c r="U66" s="154"/>
      <c r="V66" s="155"/>
      <c r="W66" s="136"/>
      <c r="X66" s="63"/>
      <c r="Y66" s="63"/>
      <c r="Z66" s="62"/>
      <c r="AA66" s="62"/>
      <c r="AB66" s="103"/>
      <c r="AC66" s="103"/>
    </row>
    <row r="67" spans="1:29" s="70" customFormat="1" ht="14.25" x14ac:dyDescent="0.2">
      <c r="A67" s="60"/>
      <c r="B67" s="421" t="s">
        <v>457</v>
      </c>
      <c r="C67" s="422">
        <v>2</v>
      </c>
      <c r="D67" s="423" t="s">
        <v>60</v>
      </c>
      <c r="E67" s="310">
        <v>0.25</v>
      </c>
      <c r="F67" s="122">
        <f>C67*E67</f>
        <v>0.5</v>
      </c>
      <c r="G67" s="122">
        <f>$H$11*E67</f>
        <v>12.5</v>
      </c>
      <c r="H67" s="123">
        <f>F67*$H$11</f>
        <v>25</v>
      </c>
      <c r="I67" s="135">
        <v>224.29</v>
      </c>
      <c r="J67" s="123">
        <f>C67*I67</f>
        <v>448.58</v>
      </c>
      <c r="K67" s="124">
        <f>SUM(H67,J67)</f>
        <v>473.58</v>
      </c>
      <c r="L67" s="123">
        <f>K67/C67</f>
        <v>236.79</v>
      </c>
      <c r="M67" s="125">
        <f>C67*L67</f>
        <v>473.58</v>
      </c>
      <c r="N67" s="131">
        <v>0</v>
      </c>
      <c r="O67" s="118">
        <f>M67*N67</f>
        <v>0</v>
      </c>
      <c r="P67" s="455"/>
      <c r="Q67" s="455"/>
      <c r="R67" s="455"/>
      <c r="S67" s="455"/>
      <c r="T67" s="149"/>
      <c r="U67" s="154"/>
      <c r="V67" s="155"/>
      <c r="W67" s="136"/>
      <c r="X67" s="63"/>
      <c r="Y67" s="63"/>
      <c r="Z67" s="62"/>
      <c r="AA67" s="62"/>
      <c r="AB67" s="103"/>
      <c r="AC67" s="103"/>
    </row>
    <row r="68" spans="1:29" s="70" customFormat="1" ht="14.25" x14ac:dyDescent="0.2">
      <c r="A68" s="60"/>
      <c r="B68" s="421" t="s">
        <v>458</v>
      </c>
      <c r="C68" s="422">
        <v>2</v>
      </c>
      <c r="D68" s="423" t="s">
        <v>60</v>
      </c>
      <c r="E68" s="122">
        <v>0.12</v>
      </c>
      <c r="F68" s="122">
        <f>C68*E68</f>
        <v>0.24</v>
      </c>
      <c r="G68" s="122">
        <f>$H$11*E68</f>
        <v>6</v>
      </c>
      <c r="H68" s="123">
        <f>F68*$H$11</f>
        <v>12</v>
      </c>
      <c r="I68" s="135">
        <v>15.29</v>
      </c>
      <c r="J68" s="123">
        <f>C68*I68</f>
        <v>30.58</v>
      </c>
      <c r="K68" s="124">
        <f>SUM(H68,J68)</f>
        <v>42.58</v>
      </c>
      <c r="L68" s="123">
        <f>K68/C68</f>
        <v>21.29</v>
      </c>
      <c r="M68" s="125">
        <f>C68*L68</f>
        <v>42.58</v>
      </c>
      <c r="N68" s="131">
        <v>0</v>
      </c>
      <c r="O68" s="118">
        <f>M68*N68</f>
        <v>0</v>
      </c>
      <c r="P68" s="455"/>
      <c r="Q68" s="455"/>
      <c r="R68" s="455"/>
      <c r="S68" s="455"/>
      <c r="T68" s="149"/>
      <c r="U68" s="154"/>
      <c r="V68" s="155"/>
      <c r="W68" s="136"/>
      <c r="X68" s="63"/>
      <c r="Y68" s="63"/>
      <c r="Z68" s="62"/>
      <c r="AA68" s="62"/>
      <c r="AB68" s="103"/>
      <c r="AC68" s="103"/>
    </row>
    <row r="69" spans="1:29" s="70" customFormat="1" ht="14.25" x14ac:dyDescent="0.2">
      <c r="A69" s="60"/>
      <c r="B69" s="166"/>
      <c r="C69" s="152"/>
      <c r="D69" s="153"/>
      <c r="E69" s="122"/>
      <c r="F69" s="122"/>
      <c r="G69" s="122"/>
      <c r="H69" s="123"/>
      <c r="I69" s="135"/>
      <c r="J69" s="123"/>
      <c r="K69" s="124"/>
      <c r="L69" s="123"/>
      <c r="M69" s="125"/>
      <c r="N69" s="131"/>
      <c r="O69" s="118"/>
      <c r="P69" s="455"/>
      <c r="Q69" s="455"/>
      <c r="R69" s="455"/>
      <c r="S69" s="455"/>
      <c r="T69" s="149"/>
      <c r="U69" s="154"/>
      <c r="V69" s="155"/>
      <c r="W69" s="136"/>
      <c r="X69" s="63"/>
      <c r="Y69" s="63"/>
      <c r="Z69" s="62"/>
      <c r="AA69" s="62"/>
      <c r="AB69" s="103"/>
      <c r="AC69" s="103"/>
    </row>
    <row r="70" spans="1:29" s="70" customFormat="1" ht="14.25" x14ac:dyDescent="0.2">
      <c r="A70" s="60"/>
      <c r="B70" s="166" t="s">
        <v>75</v>
      </c>
      <c r="C70" s="157" t="s">
        <v>89</v>
      </c>
      <c r="D70" s="153"/>
      <c r="E70" s="122"/>
      <c r="F70" s="122"/>
      <c r="G70" s="122"/>
      <c r="H70" s="123"/>
      <c r="I70" s="135"/>
      <c r="J70" s="123"/>
      <c r="K70" s="124"/>
      <c r="L70" s="123"/>
      <c r="M70" s="125"/>
      <c r="N70" s="131"/>
      <c r="O70" s="118"/>
      <c r="P70" s="452">
        <f>SUM(M35:M69)</f>
        <v>13545</v>
      </c>
      <c r="Q70" s="450">
        <f>P70*SUM($L$357:$L$363)</f>
        <v>1286.7750000000001</v>
      </c>
      <c r="R70" s="266"/>
      <c r="S70" s="266"/>
      <c r="T70" s="149"/>
      <c r="U70" s="154"/>
      <c r="V70" s="155"/>
      <c r="W70" s="136"/>
      <c r="X70" s="63"/>
      <c r="Y70" s="63"/>
      <c r="Z70" s="62"/>
      <c r="AA70" s="62"/>
      <c r="AB70" s="103"/>
      <c r="AC70" s="103"/>
    </row>
    <row r="71" spans="1:29" s="70" customFormat="1" ht="14.25" x14ac:dyDescent="0.2">
      <c r="A71" s="60"/>
      <c r="B71" s="166"/>
      <c r="C71" s="152"/>
      <c r="D71" s="153"/>
      <c r="E71" s="122"/>
      <c r="F71" s="122"/>
      <c r="G71" s="122"/>
      <c r="H71" s="123"/>
      <c r="I71" s="135"/>
      <c r="J71" s="123"/>
      <c r="K71" s="124"/>
      <c r="L71" s="123"/>
      <c r="M71" s="125"/>
      <c r="N71" s="131"/>
      <c r="O71" s="118"/>
      <c r="P71" s="451">
        <f>P70/$M$354</f>
        <v>2.5763385893852915E-2</v>
      </c>
      <c r="Q71" s="452">
        <f>P71*$M$365</f>
        <v>162.62496481270543</v>
      </c>
      <c r="R71" s="452">
        <f>SUM(P70,Q70,Q71)</f>
        <v>14994.399964812705</v>
      </c>
      <c r="S71" s="452">
        <f>R71*1.08</f>
        <v>16193.951961997722</v>
      </c>
      <c r="T71" s="149"/>
      <c r="U71" s="154"/>
      <c r="V71" s="155"/>
      <c r="W71" s="136"/>
      <c r="X71" s="63"/>
      <c r="Y71" s="63"/>
      <c r="Z71" s="62"/>
      <c r="AA71" s="62"/>
      <c r="AB71" s="103"/>
      <c r="AC71" s="103"/>
    </row>
    <row r="72" spans="1:29" s="70" customFormat="1" ht="14.25" x14ac:dyDescent="0.2">
      <c r="A72" s="60"/>
      <c r="B72" s="166"/>
      <c r="C72" s="152"/>
      <c r="D72" s="153"/>
      <c r="E72" s="122"/>
      <c r="F72" s="122"/>
      <c r="G72" s="122"/>
      <c r="H72" s="123"/>
      <c r="I72" s="135"/>
      <c r="J72" s="123"/>
      <c r="K72" s="124"/>
      <c r="L72" s="123"/>
      <c r="M72" s="125"/>
      <c r="N72" s="131"/>
      <c r="O72" s="118"/>
      <c r="P72" s="455"/>
      <c r="Q72" s="455"/>
      <c r="R72" s="455"/>
      <c r="S72" s="455"/>
      <c r="T72" s="149"/>
      <c r="U72" s="154"/>
      <c r="V72" s="155"/>
      <c r="W72" s="136"/>
      <c r="X72" s="63"/>
      <c r="Y72" s="63"/>
      <c r="Z72" s="62"/>
      <c r="AA72" s="62"/>
      <c r="AB72" s="103"/>
      <c r="AC72" s="103"/>
    </row>
    <row r="73" spans="1:29" s="70" customFormat="1" ht="14.25" x14ac:dyDescent="0.2">
      <c r="A73" s="60"/>
      <c r="B73" s="166"/>
      <c r="C73" s="152"/>
      <c r="D73" s="153"/>
      <c r="E73" s="122"/>
      <c r="F73" s="122"/>
      <c r="G73" s="122"/>
      <c r="H73" s="123"/>
      <c r="I73" s="135"/>
      <c r="J73" s="123"/>
      <c r="K73" s="124"/>
      <c r="L73" s="123"/>
      <c r="M73" s="125"/>
      <c r="N73" s="131"/>
      <c r="O73" s="118"/>
      <c r="P73" s="455"/>
      <c r="Q73" s="455"/>
      <c r="R73" s="455"/>
      <c r="S73" s="455"/>
      <c r="T73" s="149"/>
      <c r="U73" s="154"/>
      <c r="V73" s="155"/>
      <c r="W73" s="136"/>
      <c r="X73" s="63"/>
      <c r="Y73" s="63"/>
      <c r="Z73" s="62"/>
      <c r="AA73" s="62"/>
      <c r="AB73" s="103"/>
      <c r="AC73" s="103"/>
    </row>
    <row r="74" spans="1:29" s="70" customFormat="1" ht="15" x14ac:dyDescent="0.2">
      <c r="A74" s="60"/>
      <c r="B74" s="169" t="s">
        <v>67</v>
      </c>
      <c r="C74" s="152"/>
      <c r="D74" s="153"/>
      <c r="E74" s="122"/>
      <c r="F74" s="122"/>
      <c r="G74" s="122"/>
      <c r="H74" s="123"/>
      <c r="I74" s="135"/>
      <c r="J74" s="123"/>
      <c r="K74" s="124"/>
      <c r="L74" s="123"/>
      <c r="M74" s="125"/>
      <c r="N74" s="131"/>
      <c r="O74" s="118"/>
      <c r="P74" s="455"/>
      <c r="Q74" s="455"/>
      <c r="R74" s="455"/>
      <c r="S74" s="455"/>
      <c r="T74" s="149"/>
      <c r="U74" s="154"/>
      <c r="V74" s="155"/>
      <c r="W74" s="136"/>
      <c r="X74" s="63"/>
      <c r="Y74" s="63"/>
      <c r="Z74" s="62"/>
      <c r="AA74" s="62"/>
      <c r="AB74" s="103"/>
      <c r="AC74" s="103"/>
    </row>
    <row r="75" spans="1:29" s="70" customFormat="1" ht="14.25" x14ac:dyDescent="0.2">
      <c r="A75" s="60"/>
      <c r="B75" s="165" t="s">
        <v>56</v>
      </c>
      <c r="C75" s="152"/>
      <c r="D75" s="153"/>
      <c r="E75" s="122"/>
      <c r="F75" s="122"/>
      <c r="G75" s="122"/>
      <c r="H75" s="123"/>
      <c r="I75" s="135"/>
      <c r="J75" s="123"/>
      <c r="K75" s="124"/>
      <c r="L75" s="123"/>
      <c r="M75" s="125"/>
      <c r="N75" s="131"/>
      <c r="O75" s="118"/>
      <c r="P75" s="455"/>
      <c r="Q75" s="455"/>
      <c r="R75" s="455"/>
      <c r="S75" s="455"/>
      <c r="T75" s="149"/>
      <c r="U75" s="154"/>
      <c r="V75" s="155"/>
      <c r="W75" s="136"/>
      <c r="X75" s="63"/>
      <c r="Y75" s="63"/>
      <c r="Z75" s="62"/>
      <c r="AA75" s="62"/>
      <c r="AB75" s="103"/>
      <c r="AC75" s="103"/>
    </row>
    <row r="76" spans="1:29" s="70" customFormat="1" ht="14.25" x14ac:dyDescent="0.2">
      <c r="A76" s="60"/>
      <c r="B76" s="146" t="s">
        <v>76</v>
      </c>
      <c r="C76" s="61">
        <v>296</v>
      </c>
      <c r="D76" s="72" t="s">
        <v>45</v>
      </c>
      <c r="E76" s="122">
        <v>0.32</v>
      </c>
      <c r="F76" s="122">
        <f>C76*E76</f>
        <v>94.72</v>
      </c>
      <c r="G76" s="122">
        <f>$H$11*E76</f>
        <v>16</v>
      </c>
      <c r="H76" s="123">
        <f>F76*$H$11</f>
        <v>4736</v>
      </c>
      <c r="I76" s="135">
        <v>15.51</v>
      </c>
      <c r="J76" s="123">
        <f>C76*I76</f>
        <v>4590.96</v>
      </c>
      <c r="K76" s="124">
        <f>SUM(H76,J76)</f>
        <v>9326.9599999999991</v>
      </c>
      <c r="L76" s="123">
        <f>K76/C76</f>
        <v>31.509999999999998</v>
      </c>
      <c r="M76" s="125">
        <f>C76*L76</f>
        <v>9326.9599999999991</v>
      </c>
      <c r="N76" s="131">
        <v>0</v>
      </c>
      <c r="O76" s="118">
        <f>M76*N76</f>
        <v>0</v>
      </c>
      <c r="P76" s="455"/>
      <c r="Q76" s="455"/>
      <c r="R76" s="455"/>
      <c r="S76" s="455"/>
      <c r="T76" s="149"/>
      <c r="U76" s="154"/>
      <c r="V76" s="155"/>
      <c r="W76" s="136"/>
      <c r="X76" s="63"/>
      <c r="Y76" s="63"/>
      <c r="Z76" s="62"/>
      <c r="AA76" s="62"/>
      <c r="AB76" s="103"/>
      <c r="AC76" s="103"/>
    </row>
    <row r="77" spans="1:29" s="70" customFormat="1" ht="14.25" x14ac:dyDescent="0.2">
      <c r="A77" s="60"/>
      <c r="B77" s="1" t="s">
        <v>47</v>
      </c>
      <c r="C77" s="113">
        <v>249</v>
      </c>
      <c r="D77" s="72" t="s">
        <v>46</v>
      </c>
      <c r="E77" s="122"/>
      <c r="F77" s="122"/>
      <c r="G77" s="122"/>
      <c r="H77" s="123"/>
      <c r="I77" s="135"/>
      <c r="J77" s="123"/>
      <c r="K77" s="124"/>
      <c r="L77" s="123"/>
      <c r="M77" s="125"/>
      <c r="N77" s="131"/>
      <c r="O77" s="118"/>
      <c r="P77" s="455"/>
      <c r="Q77" s="455"/>
      <c r="R77" s="455"/>
      <c r="S77" s="455"/>
      <c r="T77" s="149"/>
      <c r="U77" s="149"/>
      <c r="V77" s="155"/>
      <c r="W77" s="136"/>
      <c r="X77" s="63"/>
      <c r="Y77" s="63"/>
      <c r="Z77" s="62"/>
      <c r="AA77" s="62"/>
      <c r="AB77" s="103"/>
      <c r="AC77" s="103"/>
    </row>
    <row r="78" spans="1:29" s="70" customFormat="1" ht="14.25" x14ac:dyDescent="0.2">
      <c r="A78" s="60"/>
      <c r="B78" s="151" t="s">
        <v>90</v>
      </c>
      <c r="C78" s="152">
        <v>1</v>
      </c>
      <c r="D78" s="153" t="s">
        <v>59</v>
      </c>
      <c r="E78" s="122">
        <v>0</v>
      </c>
      <c r="F78" s="122">
        <f>C78*E78</f>
        <v>0</v>
      </c>
      <c r="G78" s="122">
        <f>$H$11*E78</f>
        <v>0</v>
      </c>
      <c r="H78" s="123">
        <f>F78*$H$11</f>
        <v>0</v>
      </c>
      <c r="I78" s="135">
        <v>500</v>
      </c>
      <c r="J78" s="123">
        <f>C78*I78</f>
        <v>500</v>
      </c>
      <c r="K78" s="124">
        <f>SUM(H78,J78)</f>
        <v>500</v>
      </c>
      <c r="L78" s="123">
        <f>K78/C78</f>
        <v>500</v>
      </c>
      <c r="M78" s="125">
        <f>C78*L78</f>
        <v>500</v>
      </c>
      <c r="N78" s="131">
        <v>0</v>
      </c>
      <c r="O78" s="118">
        <f>M78*N78</f>
        <v>0</v>
      </c>
      <c r="P78" s="455"/>
      <c r="Q78" s="455"/>
      <c r="R78" s="455"/>
      <c r="S78" s="455"/>
      <c r="T78" s="149"/>
      <c r="U78" s="154"/>
      <c r="V78" s="155"/>
      <c r="W78" s="136"/>
      <c r="X78" s="63"/>
      <c r="Y78" s="63"/>
      <c r="Z78" s="62"/>
      <c r="AA78" s="62"/>
      <c r="AB78" s="103"/>
      <c r="AC78" s="103"/>
    </row>
    <row r="79" spans="1:29" s="70" customFormat="1" ht="14.25" x14ac:dyDescent="0.2">
      <c r="A79" s="60"/>
      <c r="B79" s="1"/>
      <c r="C79" s="113"/>
      <c r="D79" s="72"/>
      <c r="E79" s="122"/>
      <c r="F79" s="122"/>
      <c r="G79" s="122"/>
      <c r="H79" s="123"/>
      <c r="I79" s="135"/>
      <c r="J79" s="123"/>
      <c r="K79" s="124"/>
      <c r="L79" s="123"/>
      <c r="M79" s="125"/>
      <c r="N79" s="131"/>
      <c r="O79" s="118"/>
      <c r="P79" s="455"/>
      <c r="Q79" s="455"/>
      <c r="R79" s="455"/>
      <c r="S79" s="455"/>
      <c r="T79" s="149"/>
      <c r="U79" s="154"/>
      <c r="V79" s="155"/>
      <c r="W79" s="136"/>
      <c r="X79" s="63"/>
      <c r="Y79" s="63"/>
      <c r="Z79" s="62"/>
      <c r="AA79" s="62"/>
      <c r="AB79" s="103"/>
      <c r="AC79" s="103"/>
    </row>
    <row r="80" spans="1:29" s="70" customFormat="1" ht="14.25" x14ac:dyDescent="0.2">
      <c r="A80" s="60"/>
      <c r="B80" s="1" t="s">
        <v>79</v>
      </c>
      <c r="C80" s="113">
        <v>2</v>
      </c>
      <c r="D80" s="72" t="s">
        <v>45</v>
      </c>
      <c r="E80" s="122"/>
      <c r="F80" s="122">
        <f>C80*E80</f>
        <v>0</v>
      </c>
      <c r="G80" s="122">
        <f>$H$11*E80</f>
        <v>0</v>
      </c>
      <c r="H80" s="123">
        <f>F80*$H$11</f>
        <v>0</v>
      </c>
      <c r="I80" s="135"/>
      <c r="J80" s="123">
        <f>C80*I80</f>
        <v>0</v>
      </c>
      <c r="K80" s="124">
        <f>SUM(H80,J80)</f>
        <v>0</v>
      </c>
      <c r="L80" s="123">
        <f>K80/C80</f>
        <v>0</v>
      </c>
      <c r="M80" s="125">
        <f>C80*L80</f>
        <v>0</v>
      </c>
      <c r="N80" s="131">
        <v>0</v>
      </c>
      <c r="O80" s="118">
        <f>M80*N80</f>
        <v>0</v>
      </c>
      <c r="P80" s="455"/>
      <c r="Q80" s="455"/>
      <c r="R80" s="455"/>
      <c r="S80" s="455"/>
      <c r="T80" s="149"/>
      <c r="U80" s="154"/>
      <c r="V80" s="155"/>
      <c r="W80" s="136"/>
      <c r="X80" s="63"/>
      <c r="Y80" s="63"/>
      <c r="Z80" s="62"/>
      <c r="AA80" s="62"/>
      <c r="AB80" s="103"/>
      <c r="AC80" s="103"/>
    </row>
    <row r="81" spans="1:29" s="70" customFormat="1" ht="14.25" x14ac:dyDescent="0.2">
      <c r="A81" s="60"/>
      <c r="B81" s="1"/>
      <c r="C81" s="113"/>
      <c r="D81" s="72"/>
      <c r="E81" s="122"/>
      <c r="F81" s="122"/>
      <c r="G81" s="122"/>
      <c r="H81" s="123"/>
      <c r="I81" s="135"/>
      <c r="J81" s="123"/>
      <c r="K81" s="124"/>
      <c r="L81" s="123"/>
      <c r="M81" s="125"/>
      <c r="N81" s="131"/>
      <c r="O81" s="118"/>
      <c r="P81" s="455"/>
      <c r="Q81" s="455"/>
      <c r="R81" s="455"/>
      <c r="S81" s="455"/>
      <c r="T81" s="149"/>
      <c r="U81" s="154"/>
      <c r="V81" s="155"/>
      <c r="W81" s="136"/>
      <c r="X81" s="63"/>
      <c r="Y81" s="63"/>
      <c r="Z81" s="62"/>
      <c r="AA81" s="62"/>
      <c r="AB81" s="103"/>
      <c r="AC81" s="103"/>
    </row>
    <row r="82" spans="1:29" s="70" customFormat="1" ht="14.25" x14ac:dyDescent="0.2">
      <c r="A82" s="60"/>
      <c r="B82" s="151" t="s">
        <v>87</v>
      </c>
      <c r="C82" s="157" t="s">
        <v>85</v>
      </c>
      <c r="D82" s="72"/>
      <c r="E82" s="122"/>
      <c r="F82" s="122"/>
      <c r="G82" s="122"/>
      <c r="H82" s="123"/>
      <c r="I82" s="135"/>
      <c r="J82" s="123"/>
      <c r="K82" s="124"/>
      <c r="L82" s="123"/>
      <c r="M82" s="125"/>
      <c r="N82" s="131"/>
      <c r="O82" s="118"/>
      <c r="P82" s="455"/>
      <c r="Q82" s="455"/>
      <c r="R82" s="455"/>
      <c r="S82" s="455"/>
      <c r="T82" s="149"/>
      <c r="U82" s="154"/>
      <c r="V82" s="155"/>
      <c r="W82" s="136"/>
      <c r="X82" s="63"/>
      <c r="Y82" s="63"/>
      <c r="Z82" s="62"/>
      <c r="AA82" s="62"/>
      <c r="AB82" s="103"/>
      <c r="AC82" s="103"/>
    </row>
    <row r="83" spans="1:29" s="70" customFormat="1" ht="14.25" x14ac:dyDescent="0.2">
      <c r="A83" s="60"/>
      <c r="B83" s="151"/>
      <c r="C83" s="157"/>
      <c r="D83" s="72"/>
      <c r="E83" s="122"/>
      <c r="F83" s="122"/>
      <c r="G83" s="122"/>
      <c r="H83" s="123"/>
      <c r="I83" s="135"/>
      <c r="J83" s="123"/>
      <c r="K83" s="124"/>
      <c r="L83" s="123"/>
      <c r="M83" s="125"/>
      <c r="N83" s="131"/>
      <c r="O83" s="118"/>
      <c r="P83" s="455"/>
      <c r="Q83" s="455"/>
      <c r="R83" s="455"/>
      <c r="S83" s="455"/>
      <c r="T83" s="149"/>
      <c r="U83" s="154"/>
      <c r="V83" s="155"/>
      <c r="W83" s="136"/>
      <c r="X83" s="63"/>
      <c r="Y83" s="63"/>
      <c r="Z83" s="62"/>
      <c r="AA83" s="62"/>
      <c r="AB83" s="103"/>
      <c r="AC83" s="103"/>
    </row>
    <row r="84" spans="1:29" s="70" customFormat="1" ht="14.25" x14ac:dyDescent="0.2">
      <c r="A84" s="60"/>
      <c r="B84" s="151" t="s">
        <v>364</v>
      </c>
      <c r="C84" s="157" t="s">
        <v>365</v>
      </c>
      <c r="D84" s="72"/>
      <c r="E84" s="122"/>
      <c r="F84" s="122"/>
      <c r="G84" s="122"/>
      <c r="H84" s="123"/>
      <c r="I84" s="135"/>
      <c r="J84" s="123"/>
      <c r="K84" s="124"/>
      <c r="L84" s="123"/>
      <c r="M84" s="125"/>
      <c r="N84" s="131"/>
      <c r="O84" s="118"/>
      <c r="P84" s="455"/>
      <c r="Q84" s="455"/>
      <c r="R84" s="455"/>
      <c r="S84" s="455"/>
      <c r="T84" s="149"/>
      <c r="U84" s="154"/>
      <c r="V84" s="155"/>
      <c r="W84" s="136"/>
      <c r="X84" s="63"/>
      <c r="Y84" s="63"/>
      <c r="Z84" s="62"/>
      <c r="AA84" s="62"/>
      <c r="AB84" s="103"/>
      <c r="AC84" s="103"/>
    </row>
    <row r="85" spans="1:29" s="70" customFormat="1" ht="14.25" x14ac:dyDescent="0.2">
      <c r="A85" s="60"/>
      <c r="B85" s="166"/>
      <c r="C85" s="152"/>
      <c r="D85" s="153"/>
      <c r="E85" s="122"/>
      <c r="F85" s="122"/>
      <c r="G85" s="122"/>
      <c r="H85" s="123"/>
      <c r="I85" s="135"/>
      <c r="J85" s="123"/>
      <c r="K85" s="124"/>
      <c r="L85" s="123"/>
      <c r="M85" s="125"/>
      <c r="N85" s="131"/>
      <c r="O85" s="118"/>
      <c r="P85" s="455"/>
      <c r="Q85" s="455"/>
      <c r="R85" s="455"/>
      <c r="S85" s="455"/>
      <c r="T85" s="149"/>
      <c r="U85" s="154"/>
      <c r="V85" s="155"/>
      <c r="W85" s="136"/>
      <c r="X85" s="63"/>
      <c r="Y85" s="63"/>
      <c r="Z85" s="62"/>
      <c r="AA85" s="62"/>
      <c r="AB85" s="103"/>
      <c r="AC85" s="103"/>
    </row>
    <row r="86" spans="1:29" s="70" customFormat="1" ht="14.25" x14ac:dyDescent="0.2">
      <c r="A86" s="60"/>
      <c r="B86" s="165" t="s">
        <v>58</v>
      </c>
      <c r="C86" s="152"/>
      <c r="D86" s="153"/>
      <c r="E86" s="122"/>
      <c r="F86" s="122"/>
      <c r="G86" s="122"/>
      <c r="H86" s="123"/>
      <c r="I86" s="135"/>
      <c r="J86" s="123"/>
      <c r="K86" s="124"/>
      <c r="L86" s="123"/>
      <c r="M86" s="125"/>
      <c r="N86" s="131"/>
      <c r="O86" s="118"/>
      <c r="P86" s="455"/>
      <c r="Q86" s="455"/>
      <c r="R86" s="455"/>
      <c r="S86" s="455"/>
      <c r="T86" s="149"/>
      <c r="U86" s="154"/>
      <c r="V86" s="155"/>
      <c r="W86" s="136"/>
      <c r="X86" s="63"/>
      <c r="Y86" s="63"/>
      <c r="Z86" s="62"/>
      <c r="AA86" s="62"/>
      <c r="AB86" s="103"/>
      <c r="AC86" s="103"/>
    </row>
    <row r="87" spans="1:29" s="70" customFormat="1" ht="25.5" x14ac:dyDescent="0.2">
      <c r="A87" s="60"/>
      <c r="B87" s="1" t="s">
        <v>425</v>
      </c>
      <c r="C87" s="152">
        <v>722</v>
      </c>
      <c r="D87" s="153" t="s">
        <v>45</v>
      </c>
      <c r="E87" s="122">
        <v>0.21</v>
      </c>
      <c r="F87" s="122">
        <f>C87*E87</f>
        <v>151.62</v>
      </c>
      <c r="G87" s="122">
        <f>$H$11*E87</f>
        <v>10.5</v>
      </c>
      <c r="H87" s="123">
        <f>F87*$H$11</f>
        <v>7581</v>
      </c>
      <c r="I87" s="135">
        <v>11.51</v>
      </c>
      <c r="J87" s="123">
        <f>C87*I87</f>
        <v>8310.2199999999993</v>
      </c>
      <c r="K87" s="124">
        <f>SUM(H87,J87)</f>
        <v>15891.22</v>
      </c>
      <c r="L87" s="123">
        <f>K87/C87</f>
        <v>22.009999999999998</v>
      </c>
      <c r="M87" s="125">
        <f>C87*L87</f>
        <v>15891.22</v>
      </c>
      <c r="N87" s="131">
        <v>0</v>
      </c>
      <c r="O87" s="118">
        <f>M87*N87</f>
        <v>0</v>
      </c>
      <c r="P87" s="455"/>
      <c r="Q87" s="455"/>
      <c r="R87" s="455"/>
      <c r="S87" s="455"/>
      <c r="T87" s="149"/>
      <c r="U87" s="154"/>
      <c r="V87" s="155"/>
      <c r="W87" s="136"/>
      <c r="X87" s="63"/>
      <c r="Y87" s="63"/>
      <c r="Z87" s="62"/>
      <c r="AA87" s="62"/>
      <c r="AB87" s="103"/>
      <c r="AC87" s="103"/>
    </row>
    <row r="88" spans="1:29" s="70" customFormat="1" ht="14.25" x14ac:dyDescent="0.2">
      <c r="A88" s="60"/>
      <c r="B88" s="1" t="s">
        <v>47</v>
      </c>
      <c r="C88" s="152">
        <v>181</v>
      </c>
      <c r="D88" s="153" t="s">
        <v>46</v>
      </c>
      <c r="E88" s="122">
        <v>0.1</v>
      </c>
      <c r="F88" s="122">
        <f>C88*E88</f>
        <v>18.100000000000001</v>
      </c>
      <c r="G88" s="122">
        <f>$H$11*E88</f>
        <v>5</v>
      </c>
      <c r="H88" s="123">
        <f>F88*$H$11</f>
        <v>905.00000000000011</v>
      </c>
      <c r="I88" s="135">
        <v>2.5299999999999998</v>
      </c>
      <c r="J88" s="123">
        <f>C88*I88</f>
        <v>457.92999999999995</v>
      </c>
      <c r="K88" s="124">
        <f>SUM(H88,J88)</f>
        <v>1362.93</v>
      </c>
      <c r="L88" s="123">
        <f>K88/C88</f>
        <v>7.53</v>
      </c>
      <c r="M88" s="125">
        <f>C88*L88</f>
        <v>1362.93</v>
      </c>
      <c r="N88" s="131">
        <v>0</v>
      </c>
      <c r="O88" s="118">
        <f>M88*N88</f>
        <v>0</v>
      </c>
      <c r="P88" s="455"/>
      <c r="Q88" s="455"/>
      <c r="R88" s="455"/>
      <c r="S88" s="455"/>
      <c r="T88" s="149"/>
      <c r="U88" s="154"/>
      <c r="V88" s="155"/>
      <c r="W88" s="136"/>
      <c r="X88" s="63"/>
      <c r="Y88" s="63"/>
      <c r="Z88" s="62"/>
      <c r="AA88" s="62"/>
      <c r="AB88" s="103"/>
      <c r="AC88" s="103"/>
    </row>
    <row r="89" spans="1:29" s="70" customFormat="1" ht="14.25" x14ac:dyDescent="0.2">
      <c r="A89" s="60"/>
      <c r="B89" s="1" t="s">
        <v>98</v>
      </c>
      <c r="C89" s="152">
        <v>13</v>
      </c>
      <c r="D89" s="153" t="s">
        <v>60</v>
      </c>
      <c r="E89" s="122">
        <v>0.75</v>
      </c>
      <c r="F89" s="122">
        <f>C89*E89</f>
        <v>9.75</v>
      </c>
      <c r="G89" s="122">
        <f>$H$11*E89</f>
        <v>37.5</v>
      </c>
      <c r="H89" s="123">
        <f>F89*$H$11</f>
        <v>487.5</v>
      </c>
      <c r="I89" s="135">
        <v>25</v>
      </c>
      <c r="J89" s="123">
        <f>C89*I89</f>
        <v>325</v>
      </c>
      <c r="K89" s="124">
        <f>SUM(H89,J89)</f>
        <v>812.5</v>
      </c>
      <c r="L89" s="123">
        <f>K89/C89</f>
        <v>62.5</v>
      </c>
      <c r="M89" s="125">
        <f>C89*L89</f>
        <v>812.5</v>
      </c>
      <c r="N89" s="131">
        <v>0</v>
      </c>
      <c r="O89" s="118">
        <f>M89*N89</f>
        <v>0</v>
      </c>
      <c r="P89" s="455"/>
      <c r="Q89" s="455"/>
      <c r="R89" s="455"/>
      <c r="S89" s="455"/>
      <c r="T89" s="149"/>
      <c r="U89" s="154"/>
      <c r="V89" s="155"/>
      <c r="W89" s="136"/>
      <c r="X89" s="63"/>
      <c r="Y89" s="63"/>
      <c r="Z89" s="62"/>
      <c r="AA89" s="62"/>
      <c r="AB89" s="103"/>
      <c r="AC89" s="103"/>
    </row>
    <row r="90" spans="1:29" s="70" customFormat="1" ht="25.5" x14ac:dyDescent="0.2">
      <c r="A90" s="60"/>
      <c r="B90" s="1" t="s">
        <v>426</v>
      </c>
      <c r="C90" s="152">
        <v>722</v>
      </c>
      <c r="D90" s="153" t="s">
        <v>45</v>
      </c>
      <c r="E90" s="122">
        <v>0.1</v>
      </c>
      <c r="F90" s="122">
        <f>C90*E90</f>
        <v>72.2</v>
      </c>
      <c r="G90" s="122">
        <f>$H$11*E90</f>
        <v>5</v>
      </c>
      <c r="H90" s="123">
        <f>F90*$H$11</f>
        <v>3610</v>
      </c>
      <c r="I90" s="135">
        <v>36.36</v>
      </c>
      <c r="J90" s="123">
        <f>C90*I90</f>
        <v>26251.919999999998</v>
      </c>
      <c r="K90" s="124">
        <f>SUM(H90,J90)</f>
        <v>29861.919999999998</v>
      </c>
      <c r="L90" s="123">
        <f>K90/C90</f>
        <v>41.36</v>
      </c>
      <c r="M90" s="125">
        <f>C90*L90</f>
        <v>29861.919999999998</v>
      </c>
      <c r="N90" s="131">
        <v>0</v>
      </c>
      <c r="O90" s="118">
        <f>M90*N90</f>
        <v>0</v>
      </c>
      <c r="P90" s="455"/>
      <c r="Q90" s="455"/>
      <c r="R90" s="455"/>
      <c r="S90" s="455"/>
      <c r="T90" s="149"/>
      <c r="U90" s="149">
        <f>SUM(L87,L90)</f>
        <v>63.37</v>
      </c>
      <c r="V90" s="155"/>
      <c r="W90" s="136"/>
      <c r="X90" s="63"/>
      <c r="Y90" s="63"/>
      <c r="Z90" s="62"/>
      <c r="AA90" s="62"/>
      <c r="AB90" s="103"/>
      <c r="AC90" s="103"/>
    </row>
    <row r="91" spans="1:29" s="70" customFormat="1" ht="14.25" x14ac:dyDescent="0.2">
      <c r="A91" s="60"/>
      <c r="B91" s="1" t="s">
        <v>436</v>
      </c>
      <c r="C91" s="152">
        <v>186</v>
      </c>
      <c r="D91" s="153" t="s">
        <v>60</v>
      </c>
      <c r="E91" s="122">
        <v>0</v>
      </c>
      <c r="F91" s="122">
        <f>C91*E91</f>
        <v>0</v>
      </c>
      <c r="G91" s="122">
        <f>$H$11*E91</f>
        <v>0</v>
      </c>
      <c r="H91" s="123">
        <f>F91*$H$11</f>
        <v>0</v>
      </c>
      <c r="I91" s="135">
        <v>5.79</v>
      </c>
      <c r="J91" s="123">
        <f>C91*I91</f>
        <v>1076.94</v>
      </c>
      <c r="K91" s="124">
        <f>SUM(H91,J91)</f>
        <v>1076.94</v>
      </c>
      <c r="L91" s="123">
        <f>K91/C91</f>
        <v>5.79</v>
      </c>
      <c r="M91" s="125">
        <f>C91*L91</f>
        <v>1076.94</v>
      </c>
      <c r="N91" s="131">
        <v>0</v>
      </c>
      <c r="O91" s="118">
        <f>M91*N91</f>
        <v>0</v>
      </c>
      <c r="P91" s="455"/>
      <c r="Q91" s="455"/>
      <c r="R91" s="455"/>
      <c r="S91" s="455"/>
      <c r="T91" s="149"/>
      <c r="U91" s="149"/>
      <c r="V91" s="155"/>
      <c r="W91" s="136"/>
      <c r="X91" s="63"/>
      <c r="Y91" s="63"/>
      <c r="Z91" s="62"/>
      <c r="AA91" s="62"/>
      <c r="AB91" s="103"/>
      <c r="AC91" s="103"/>
    </row>
    <row r="92" spans="1:29" s="70" customFormat="1" ht="14.25" x14ac:dyDescent="0.2">
      <c r="A92" s="60"/>
      <c r="B92" s="1"/>
      <c r="C92" s="152"/>
      <c r="D92" s="153"/>
      <c r="E92" s="122"/>
      <c r="F92" s="122"/>
      <c r="G92" s="122"/>
      <c r="H92" s="123"/>
      <c r="I92" s="135"/>
      <c r="J92" s="123"/>
      <c r="K92" s="124"/>
      <c r="L92" s="123"/>
      <c r="M92" s="125"/>
      <c r="N92" s="131"/>
      <c r="O92" s="118"/>
      <c r="P92" s="455"/>
      <c r="Q92" s="455"/>
      <c r="R92" s="455"/>
      <c r="S92" s="455"/>
      <c r="T92" s="149"/>
      <c r="U92" s="149"/>
      <c r="V92" s="155"/>
      <c r="W92" s="136"/>
      <c r="X92" s="63"/>
      <c r="Y92" s="63"/>
      <c r="Z92" s="62"/>
      <c r="AA92" s="62"/>
      <c r="AB92" s="103"/>
      <c r="AC92" s="103"/>
    </row>
    <row r="93" spans="1:29" s="70" customFormat="1" ht="14.25" x14ac:dyDescent="0.2">
      <c r="A93" s="60"/>
      <c r="B93" s="151" t="s">
        <v>90</v>
      </c>
      <c r="C93" s="152">
        <v>1</v>
      </c>
      <c r="D93" s="153" t="s">
        <v>59</v>
      </c>
      <c r="E93" s="122">
        <v>0</v>
      </c>
      <c r="F93" s="122">
        <f>C93*E93</f>
        <v>0</v>
      </c>
      <c r="G93" s="122">
        <f>$H$11*E93</f>
        <v>0</v>
      </c>
      <c r="H93" s="123">
        <f>F93*$H$11</f>
        <v>0</v>
      </c>
      <c r="I93" s="135">
        <v>500</v>
      </c>
      <c r="J93" s="123">
        <f>C93*I93</f>
        <v>500</v>
      </c>
      <c r="K93" s="124">
        <f>SUM(H93,J93)</f>
        <v>500</v>
      </c>
      <c r="L93" s="123">
        <f>K93/C93</f>
        <v>500</v>
      </c>
      <c r="M93" s="125">
        <f>C93*L93</f>
        <v>500</v>
      </c>
      <c r="N93" s="131">
        <v>0</v>
      </c>
      <c r="O93" s="118">
        <f>M93*N93</f>
        <v>0</v>
      </c>
      <c r="P93" s="455"/>
      <c r="Q93" s="455"/>
      <c r="R93" s="455"/>
      <c r="S93" s="455"/>
      <c r="T93" s="149"/>
      <c r="U93" s="154"/>
      <c r="V93" s="155"/>
      <c r="W93" s="136"/>
      <c r="X93" s="63"/>
      <c r="Y93" s="63"/>
      <c r="Z93" s="62"/>
      <c r="AA93" s="62"/>
      <c r="AB93" s="103"/>
      <c r="AC93" s="103"/>
    </row>
    <row r="94" spans="1:29" s="70" customFormat="1" ht="14.25" x14ac:dyDescent="0.2">
      <c r="A94" s="60"/>
      <c r="B94" s="151"/>
      <c r="C94" s="152"/>
      <c r="D94" s="153"/>
      <c r="E94" s="122"/>
      <c r="F94" s="122"/>
      <c r="G94" s="122"/>
      <c r="H94" s="123"/>
      <c r="I94" s="135"/>
      <c r="J94" s="123"/>
      <c r="K94" s="124"/>
      <c r="L94" s="123"/>
      <c r="M94" s="125"/>
      <c r="N94" s="131"/>
      <c r="O94" s="118"/>
      <c r="P94" s="455"/>
      <c r="Q94" s="455"/>
      <c r="R94" s="455"/>
      <c r="S94" s="455"/>
      <c r="T94" s="149"/>
      <c r="U94" s="154"/>
      <c r="V94" s="155"/>
      <c r="W94" s="136"/>
      <c r="X94" s="63"/>
      <c r="Y94" s="63"/>
      <c r="Z94" s="62"/>
      <c r="AA94" s="62"/>
      <c r="AB94" s="103"/>
      <c r="AC94" s="103"/>
    </row>
    <row r="95" spans="1:29" s="70" customFormat="1" ht="14.25" x14ac:dyDescent="0.2">
      <c r="A95" s="60"/>
      <c r="B95" s="421" t="s">
        <v>489</v>
      </c>
      <c r="C95" s="157"/>
      <c r="D95" s="153"/>
      <c r="E95" s="122"/>
      <c r="F95" s="122"/>
      <c r="G95" s="122"/>
      <c r="H95" s="123"/>
      <c r="I95" s="135"/>
      <c r="J95" s="123"/>
      <c r="K95" s="124"/>
      <c r="L95" s="123"/>
      <c r="M95" s="125"/>
      <c r="N95" s="131"/>
      <c r="O95" s="118"/>
      <c r="P95" s="455"/>
      <c r="Q95" s="455"/>
      <c r="R95" s="455"/>
      <c r="S95" s="455"/>
      <c r="T95" s="149"/>
      <c r="U95" s="154"/>
      <c r="V95" s="155"/>
      <c r="W95" s="136"/>
      <c r="X95" s="63"/>
      <c r="Y95" s="63"/>
      <c r="Z95" s="62"/>
      <c r="AA95" s="62"/>
      <c r="AB95" s="103"/>
      <c r="AC95" s="103"/>
    </row>
    <row r="96" spans="1:29" s="70" customFormat="1" ht="14.25" x14ac:dyDescent="0.2">
      <c r="A96" s="60"/>
      <c r="B96" s="151"/>
      <c r="C96" s="157"/>
      <c r="D96" s="153"/>
      <c r="E96" s="122"/>
      <c r="F96" s="122"/>
      <c r="G96" s="122"/>
      <c r="H96" s="123"/>
      <c r="I96" s="135"/>
      <c r="J96" s="123"/>
      <c r="K96" s="124"/>
      <c r="L96" s="123"/>
      <c r="M96" s="125"/>
      <c r="N96" s="131"/>
      <c r="O96" s="118"/>
      <c r="P96" s="455"/>
      <c r="Q96" s="455"/>
      <c r="R96" s="455"/>
      <c r="S96" s="455"/>
      <c r="T96" s="149"/>
      <c r="U96" s="154"/>
      <c r="V96" s="155"/>
      <c r="W96" s="136"/>
      <c r="X96" s="63"/>
      <c r="Y96" s="63"/>
      <c r="Z96" s="62"/>
      <c r="AA96" s="62"/>
      <c r="AB96" s="103"/>
      <c r="AC96" s="103"/>
    </row>
    <row r="97" spans="1:29" s="70" customFormat="1" ht="14.25" x14ac:dyDescent="0.2">
      <c r="A97" s="60"/>
      <c r="B97" s="151" t="s">
        <v>455</v>
      </c>
      <c r="C97" s="152">
        <v>18</v>
      </c>
      <c r="D97" s="153" t="s">
        <v>46</v>
      </c>
      <c r="E97" s="122"/>
      <c r="F97" s="122"/>
      <c r="G97" s="122"/>
      <c r="H97" s="123"/>
      <c r="I97" s="135"/>
      <c r="J97" s="123"/>
      <c r="K97" s="124"/>
      <c r="L97" s="123"/>
      <c r="M97" s="125"/>
      <c r="N97" s="131"/>
      <c r="O97" s="118"/>
      <c r="P97" s="455"/>
      <c r="Q97" s="455"/>
      <c r="R97" s="455"/>
      <c r="S97" s="455"/>
      <c r="T97" s="149"/>
      <c r="U97" s="154"/>
      <c r="V97" s="155"/>
      <c r="W97" s="136"/>
      <c r="X97" s="63"/>
      <c r="Y97" s="63"/>
      <c r="Z97" s="62"/>
      <c r="AA97" s="62"/>
      <c r="AB97" s="103"/>
      <c r="AC97" s="103"/>
    </row>
    <row r="98" spans="1:29" s="70" customFormat="1" ht="14.25" x14ac:dyDescent="0.2">
      <c r="A98" s="60"/>
      <c r="B98" s="421" t="s">
        <v>467</v>
      </c>
      <c r="C98" s="422">
        <v>0</v>
      </c>
      <c r="D98" s="423"/>
      <c r="E98" s="122"/>
      <c r="F98" s="122"/>
      <c r="G98" s="122"/>
      <c r="H98" s="123"/>
      <c r="I98" s="135"/>
      <c r="J98" s="123"/>
      <c r="K98" s="124"/>
      <c r="L98" s="123"/>
      <c r="M98" s="125"/>
      <c r="N98" s="131"/>
      <c r="O98" s="118"/>
      <c r="P98" s="455"/>
      <c r="Q98" s="455"/>
      <c r="R98" s="455"/>
      <c r="S98" s="455"/>
      <c r="T98" s="149"/>
      <c r="U98" s="154"/>
      <c r="V98" s="155"/>
      <c r="W98" s="136"/>
      <c r="X98" s="63"/>
      <c r="Y98" s="63"/>
      <c r="Z98" s="62"/>
      <c r="AA98" s="62"/>
      <c r="AB98" s="103"/>
      <c r="AC98" s="103"/>
    </row>
    <row r="99" spans="1:29" s="70" customFormat="1" ht="14.25" x14ac:dyDescent="0.2">
      <c r="A99" s="60"/>
      <c r="B99" s="421" t="s">
        <v>468</v>
      </c>
      <c r="C99" s="422">
        <v>18</v>
      </c>
      <c r="D99" s="423" t="s">
        <v>46</v>
      </c>
      <c r="E99" s="122">
        <v>0.09</v>
      </c>
      <c r="F99" s="122">
        <f>C99*E99</f>
        <v>1.6199999999999999</v>
      </c>
      <c r="G99" s="122">
        <f>$H$11*E99</f>
        <v>4.5</v>
      </c>
      <c r="H99" s="123">
        <f>F99*$H$11</f>
        <v>81</v>
      </c>
      <c r="I99" s="135">
        <v>2.82</v>
      </c>
      <c r="J99" s="123">
        <f>C99*I99</f>
        <v>50.76</v>
      </c>
      <c r="K99" s="124">
        <f>SUM(H99,J99)</f>
        <v>131.76</v>
      </c>
      <c r="L99" s="123">
        <f>K99/C99</f>
        <v>7.3199999999999994</v>
      </c>
      <c r="M99" s="125">
        <f>C99*L99</f>
        <v>131.76</v>
      </c>
      <c r="N99" s="131"/>
      <c r="O99" s="118"/>
      <c r="P99" s="455"/>
      <c r="Q99" s="455"/>
      <c r="R99" s="455"/>
      <c r="S99" s="455"/>
      <c r="T99" s="149"/>
      <c r="U99" s="154"/>
      <c r="V99" s="155"/>
      <c r="W99" s="136"/>
      <c r="X99" s="63"/>
      <c r="Y99" s="63"/>
      <c r="Z99" s="62"/>
      <c r="AA99" s="62"/>
      <c r="AB99" s="103"/>
      <c r="AC99" s="103"/>
    </row>
    <row r="100" spans="1:29" s="70" customFormat="1" ht="14.25" x14ac:dyDescent="0.2">
      <c r="A100" s="60"/>
      <c r="B100" s="151"/>
      <c r="C100" s="152"/>
      <c r="D100" s="153"/>
      <c r="E100" s="122"/>
      <c r="F100" s="122"/>
      <c r="G100" s="122"/>
      <c r="H100" s="123"/>
      <c r="I100" s="135"/>
      <c r="J100" s="123"/>
      <c r="K100" s="124"/>
      <c r="L100" s="123"/>
      <c r="M100" s="125"/>
      <c r="N100" s="131"/>
      <c r="O100" s="118"/>
      <c r="P100" s="455"/>
      <c r="Q100" s="455"/>
      <c r="R100" s="455"/>
      <c r="S100" s="455"/>
      <c r="T100" s="149"/>
      <c r="U100" s="154"/>
      <c r="V100" s="155"/>
      <c r="W100" s="136"/>
      <c r="X100" s="63"/>
      <c r="Y100" s="63"/>
      <c r="Z100" s="62"/>
      <c r="AA100" s="62"/>
      <c r="AB100" s="103"/>
      <c r="AC100" s="103"/>
    </row>
    <row r="101" spans="1:29" s="70" customFormat="1" ht="14.25" x14ac:dyDescent="0.2">
      <c r="A101" s="60"/>
      <c r="B101" s="151" t="s">
        <v>463</v>
      </c>
      <c r="C101" s="152">
        <v>62</v>
      </c>
      <c r="D101" s="153" t="s">
        <v>46</v>
      </c>
      <c r="E101" s="390">
        <v>0.25</v>
      </c>
      <c r="F101" s="122">
        <f>C101*E101</f>
        <v>15.5</v>
      </c>
      <c r="G101" s="122">
        <f>$H$11*E101</f>
        <v>12.5</v>
      </c>
      <c r="H101" s="123">
        <f>F101*$H$11</f>
        <v>775</v>
      </c>
      <c r="I101" s="393">
        <v>27.16</v>
      </c>
      <c r="J101" s="123">
        <f>C101*I101</f>
        <v>1683.92</v>
      </c>
      <c r="K101" s="124">
        <f>SUM(H101,J101)</f>
        <v>2458.92</v>
      </c>
      <c r="L101" s="123">
        <f>K101/C101</f>
        <v>39.660000000000004</v>
      </c>
      <c r="M101" s="125">
        <f>C101*L101</f>
        <v>2458.92</v>
      </c>
      <c r="N101" s="131">
        <v>0.95</v>
      </c>
      <c r="O101" s="118">
        <f>M101*N101</f>
        <v>2335.9740000000002</v>
      </c>
      <c r="P101" s="455"/>
      <c r="Q101" s="455"/>
      <c r="R101" s="455"/>
      <c r="S101" s="455"/>
      <c r="T101" s="149"/>
      <c r="U101" s="154"/>
      <c r="V101" s="155"/>
      <c r="W101" s="136"/>
      <c r="X101" s="63"/>
      <c r="Y101" s="63"/>
      <c r="Z101" s="62"/>
      <c r="AA101" s="62"/>
      <c r="AB101" s="103"/>
      <c r="AC101" s="103"/>
    </row>
    <row r="102" spans="1:29" s="70" customFormat="1" ht="14.25" x14ac:dyDescent="0.2">
      <c r="A102" s="60"/>
      <c r="B102" s="421" t="s">
        <v>466</v>
      </c>
      <c r="C102" s="424">
        <f>C101/1.5</f>
        <v>41.333333333333336</v>
      </c>
      <c r="D102" s="423" t="s">
        <v>60</v>
      </c>
      <c r="E102" s="390">
        <v>0.09</v>
      </c>
      <c r="F102" s="122">
        <f>C102*E102</f>
        <v>3.72</v>
      </c>
      <c r="G102" s="122">
        <f>$H$11*E102</f>
        <v>4.5</v>
      </c>
      <c r="H102" s="123">
        <f>F102*$H$11</f>
        <v>186</v>
      </c>
      <c r="I102" s="393">
        <v>5.28</v>
      </c>
      <c r="J102" s="123">
        <f>C102*I102</f>
        <v>218.24</v>
      </c>
      <c r="K102" s="124">
        <f>SUM(H102,J102)</f>
        <v>404.24</v>
      </c>
      <c r="L102" s="123">
        <f>K102/C102</f>
        <v>9.7799999999999994</v>
      </c>
      <c r="M102" s="125">
        <f>C102*L102</f>
        <v>404.24</v>
      </c>
      <c r="N102" s="131">
        <v>0.95</v>
      </c>
      <c r="O102" s="118">
        <f>M102*N102</f>
        <v>384.02799999999996</v>
      </c>
      <c r="P102" s="455"/>
      <c r="Q102" s="455"/>
      <c r="R102" s="455"/>
      <c r="S102" s="455"/>
      <c r="T102" s="149"/>
      <c r="U102" s="265">
        <f>SUM(C101,C107,C114,C126,C163,C173,C205,C215,C249,C259,C291,C301,C338)</f>
        <v>1108</v>
      </c>
      <c r="V102" s="155"/>
      <c r="W102" s="136"/>
      <c r="X102" s="63"/>
      <c r="Y102" s="63"/>
      <c r="Z102" s="62"/>
      <c r="AA102" s="62"/>
      <c r="AB102" s="103"/>
      <c r="AC102" s="103"/>
    </row>
    <row r="103" spans="1:29" s="70" customFormat="1" ht="14.25" x14ac:dyDescent="0.2">
      <c r="A103" s="60"/>
      <c r="B103" s="421" t="s">
        <v>504</v>
      </c>
      <c r="C103" s="424">
        <f>C101/1.8</f>
        <v>34.444444444444443</v>
      </c>
      <c r="D103" s="423" t="s">
        <v>60</v>
      </c>
      <c r="E103" s="390">
        <v>0</v>
      </c>
      <c r="F103" s="122">
        <f>C103*E103</f>
        <v>0</v>
      </c>
      <c r="G103" s="122">
        <f>$H$11*E103</f>
        <v>0</v>
      </c>
      <c r="H103" s="123">
        <f>F103*$H$11</f>
        <v>0</v>
      </c>
      <c r="I103" s="393">
        <v>5.28</v>
      </c>
      <c r="J103" s="123">
        <f>C103*I103</f>
        <v>181.86666666666667</v>
      </c>
      <c r="K103" s="124">
        <f>SUM(H103,J103)</f>
        <v>181.86666666666667</v>
      </c>
      <c r="L103" s="123">
        <f>K103/C103</f>
        <v>5.28</v>
      </c>
      <c r="M103" s="125">
        <f>C103*L103</f>
        <v>181.86666666666667</v>
      </c>
      <c r="N103" s="131">
        <v>0.95</v>
      </c>
      <c r="O103" s="118">
        <f>M103*N103</f>
        <v>172.77333333333334</v>
      </c>
      <c r="P103" s="455"/>
      <c r="Q103" s="455"/>
      <c r="R103" s="455"/>
      <c r="S103" s="455"/>
      <c r="T103" s="149"/>
      <c r="U103" s="154"/>
      <c r="V103" s="155"/>
      <c r="W103" s="136"/>
      <c r="X103" s="63"/>
      <c r="Y103" s="63"/>
      <c r="Z103" s="62"/>
      <c r="AA103" s="62"/>
      <c r="AB103" s="103"/>
      <c r="AC103" s="103"/>
    </row>
    <row r="104" spans="1:29" s="70" customFormat="1" ht="14.25" x14ac:dyDescent="0.2">
      <c r="A104" s="60"/>
      <c r="B104" s="421" t="s">
        <v>457</v>
      </c>
      <c r="C104" s="422">
        <v>35</v>
      </c>
      <c r="D104" s="423" t="s">
        <v>60</v>
      </c>
      <c r="E104" s="310">
        <v>0.25</v>
      </c>
      <c r="F104" s="122">
        <f>C104*E104</f>
        <v>8.75</v>
      </c>
      <c r="G104" s="122">
        <f>$H$11*E104</f>
        <v>12.5</v>
      </c>
      <c r="H104" s="123">
        <f>F104*$H$11</f>
        <v>437.5</v>
      </c>
      <c r="I104" s="135">
        <v>17.05</v>
      </c>
      <c r="J104" s="123">
        <f>C104*I104</f>
        <v>596.75</v>
      </c>
      <c r="K104" s="124">
        <f>SUM(H104,J104)</f>
        <v>1034.25</v>
      </c>
      <c r="L104" s="123">
        <f>K104/C104</f>
        <v>29.55</v>
      </c>
      <c r="M104" s="125">
        <f>C104*L104</f>
        <v>1034.25</v>
      </c>
      <c r="N104" s="131">
        <v>0.95</v>
      </c>
      <c r="O104" s="118">
        <f>M104*N104</f>
        <v>982.53749999999991</v>
      </c>
      <c r="P104" s="455"/>
      <c r="Q104" s="455"/>
      <c r="R104" s="455"/>
      <c r="S104" s="455"/>
      <c r="T104" s="149"/>
      <c r="U104" s="154"/>
      <c r="V104" s="155"/>
      <c r="W104" s="136"/>
      <c r="X104" s="63"/>
      <c r="Y104" s="63"/>
      <c r="Z104" s="62"/>
      <c r="AA104" s="62"/>
      <c r="AB104" s="103"/>
      <c r="AC104" s="103"/>
    </row>
    <row r="105" spans="1:29" s="70" customFormat="1" ht="14.25" x14ac:dyDescent="0.2">
      <c r="A105" s="60"/>
      <c r="B105" s="421" t="s">
        <v>458</v>
      </c>
      <c r="C105" s="422">
        <v>35</v>
      </c>
      <c r="D105" s="423" t="s">
        <v>60</v>
      </c>
      <c r="E105" s="122">
        <v>0.12</v>
      </c>
      <c r="F105" s="122">
        <f>C105*E105</f>
        <v>4.2</v>
      </c>
      <c r="G105" s="122">
        <f>$H$11*E105</f>
        <v>6</v>
      </c>
      <c r="H105" s="123">
        <f>F105*$H$11</f>
        <v>210</v>
      </c>
      <c r="I105" s="135">
        <v>8.06</v>
      </c>
      <c r="J105" s="123">
        <f>C105*I105</f>
        <v>282.10000000000002</v>
      </c>
      <c r="K105" s="124">
        <f>SUM(H105,J105)</f>
        <v>492.1</v>
      </c>
      <c r="L105" s="123">
        <f>K105/C105</f>
        <v>14.06</v>
      </c>
      <c r="M105" s="125">
        <f>C105*L105</f>
        <v>492.1</v>
      </c>
      <c r="N105" s="131">
        <v>0.95</v>
      </c>
      <c r="O105" s="118">
        <f>M105*N105</f>
        <v>467.495</v>
      </c>
      <c r="P105" s="455"/>
      <c r="Q105" s="455">
        <f>SUM(O101:O105)</f>
        <v>4342.8078333333333</v>
      </c>
      <c r="R105" s="455"/>
      <c r="S105" s="455"/>
      <c r="T105" s="149"/>
      <c r="U105" s="154"/>
      <c r="V105" s="155"/>
      <c r="W105" s="136"/>
      <c r="X105" s="63"/>
      <c r="Y105" s="63"/>
      <c r="Z105" s="62"/>
      <c r="AA105" s="62"/>
      <c r="AB105" s="103"/>
      <c r="AC105" s="103"/>
    </row>
    <row r="106" spans="1:29" s="70" customFormat="1" ht="14.25" x14ac:dyDescent="0.2">
      <c r="A106" s="60"/>
      <c r="B106" s="151"/>
      <c r="C106" s="152"/>
      <c r="D106" s="153"/>
      <c r="E106" s="122"/>
      <c r="F106" s="122"/>
      <c r="G106" s="122"/>
      <c r="H106" s="123"/>
      <c r="I106" s="135"/>
      <c r="J106" s="123"/>
      <c r="K106" s="124"/>
      <c r="L106" s="123"/>
      <c r="M106" s="125"/>
      <c r="N106" s="131"/>
      <c r="O106" s="118"/>
      <c r="P106" s="455"/>
      <c r="Q106" s="455"/>
      <c r="R106" s="455"/>
      <c r="S106" s="455"/>
      <c r="T106" s="149"/>
      <c r="U106" s="154"/>
      <c r="V106" s="155"/>
      <c r="W106" s="136"/>
      <c r="X106" s="63"/>
      <c r="Y106" s="63"/>
      <c r="Z106" s="62"/>
      <c r="AA106" s="62"/>
      <c r="AB106" s="103"/>
      <c r="AC106" s="103"/>
    </row>
    <row r="107" spans="1:29" s="70" customFormat="1" ht="14.25" x14ac:dyDescent="0.2">
      <c r="A107" s="60"/>
      <c r="B107" s="151" t="s">
        <v>462</v>
      </c>
      <c r="C107" s="152">
        <v>32</v>
      </c>
      <c r="D107" s="153" t="s">
        <v>46</v>
      </c>
      <c r="E107" s="390">
        <v>0.25</v>
      </c>
      <c r="F107" s="122">
        <f t="shared" ref="F107:F112" si="0">C107*E107</f>
        <v>8</v>
      </c>
      <c r="G107" s="122">
        <f t="shared" ref="G107:G112" si="1">$H$11*E107</f>
        <v>12.5</v>
      </c>
      <c r="H107" s="123">
        <f t="shared" ref="H107:H112" si="2">F107*$H$11</f>
        <v>400</v>
      </c>
      <c r="I107" s="393">
        <v>26.56</v>
      </c>
      <c r="J107" s="123">
        <f t="shared" ref="J107:J112" si="3">C107*I107</f>
        <v>849.92</v>
      </c>
      <c r="K107" s="124">
        <f t="shared" ref="K107:K112" si="4">SUM(H107,J107)</f>
        <v>1249.92</v>
      </c>
      <c r="L107" s="123">
        <f t="shared" ref="L107:L112" si="5">K107/C107</f>
        <v>39.06</v>
      </c>
      <c r="M107" s="125">
        <f t="shared" ref="M107:M112" si="6">C107*L107</f>
        <v>1249.92</v>
      </c>
      <c r="N107" s="131">
        <v>0</v>
      </c>
      <c r="O107" s="118">
        <f>M107*N107</f>
        <v>0</v>
      </c>
      <c r="P107" s="455"/>
      <c r="Q107" s="455"/>
      <c r="R107" s="455"/>
      <c r="S107" s="455"/>
      <c r="T107" s="149"/>
      <c r="U107" s="154"/>
      <c r="V107" s="155"/>
      <c r="W107" s="136"/>
      <c r="X107" s="63"/>
      <c r="Y107" s="63"/>
      <c r="Z107" s="62"/>
      <c r="AA107" s="62"/>
      <c r="AB107" s="103"/>
      <c r="AC107" s="103"/>
    </row>
    <row r="108" spans="1:29" s="70" customFormat="1" ht="14.25" x14ac:dyDescent="0.2">
      <c r="A108" s="60"/>
      <c r="B108" s="421" t="s">
        <v>466</v>
      </c>
      <c r="C108" s="424">
        <f>C107/1.2</f>
        <v>26.666666666666668</v>
      </c>
      <c r="D108" s="423" t="s">
        <v>60</v>
      </c>
      <c r="E108" s="390">
        <v>0.09</v>
      </c>
      <c r="F108" s="122">
        <f t="shared" si="0"/>
        <v>2.4</v>
      </c>
      <c r="G108" s="122">
        <f t="shared" si="1"/>
        <v>4.5</v>
      </c>
      <c r="H108" s="123">
        <f t="shared" si="2"/>
        <v>120</v>
      </c>
      <c r="I108" s="393">
        <v>5.28</v>
      </c>
      <c r="J108" s="123">
        <f t="shared" si="3"/>
        <v>140.80000000000001</v>
      </c>
      <c r="K108" s="124">
        <f t="shared" si="4"/>
        <v>260.8</v>
      </c>
      <c r="L108" s="123">
        <f t="shared" si="5"/>
        <v>9.7799999999999994</v>
      </c>
      <c r="M108" s="125">
        <f t="shared" si="6"/>
        <v>260.8</v>
      </c>
      <c r="N108" s="131">
        <v>0</v>
      </c>
      <c r="O108" s="118">
        <f>M108*N108</f>
        <v>0</v>
      </c>
      <c r="P108" s="455"/>
      <c r="Q108" s="455"/>
      <c r="R108" s="455"/>
      <c r="S108" s="455"/>
      <c r="T108" s="149"/>
      <c r="U108" s="154"/>
      <c r="V108" s="155"/>
      <c r="W108" s="136"/>
      <c r="X108" s="63"/>
      <c r="Y108" s="63"/>
      <c r="Z108" s="62"/>
      <c r="AA108" s="62"/>
      <c r="AB108" s="103"/>
      <c r="AC108" s="103"/>
    </row>
    <row r="109" spans="1:29" s="70" customFormat="1" ht="14.25" x14ac:dyDescent="0.2">
      <c r="A109" s="60"/>
      <c r="B109" s="421" t="s">
        <v>504</v>
      </c>
      <c r="C109" s="424">
        <f>C107/2.4</f>
        <v>13.333333333333334</v>
      </c>
      <c r="D109" s="423" t="s">
        <v>60</v>
      </c>
      <c r="E109" s="390">
        <v>0</v>
      </c>
      <c r="F109" s="122">
        <f t="shared" si="0"/>
        <v>0</v>
      </c>
      <c r="G109" s="122">
        <f t="shared" si="1"/>
        <v>0</v>
      </c>
      <c r="H109" s="123">
        <f t="shared" si="2"/>
        <v>0</v>
      </c>
      <c r="I109" s="393">
        <v>5.28</v>
      </c>
      <c r="J109" s="123">
        <f t="shared" si="3"/>
        <v>70.400000000000006</v>
      </c>
      <c r="K109" s="124">
        <f t="shared" si="4"/>
        <v>70.400000000000006</v>
      </c>
      <c r="L109" s="123">
        <f t="shared" si="5"/>
        <v>5.28</v>
      </c>
      <c r="M109" s="125">
        <f t="shared" si="6"/>
        <v>70.400000000000006</v>
      </c>
      <c r="N109" s="131">
        <v>0</v>
      </c>
      <c r="O109" s="118">
        <f>M109*N109</f>
        <v>0</v>
      </c>
      <c r="P109" s="455"/>
      <c r="Q109" s="455"/>
      <c r="R109" s="455"/>
      <c r="S109" s="455"/>
      <c r="T109" s="149"/>
      <c r="U109" s="154"/>
      <c r="V109" s="155"/>
      <c r="W109" s="136"/>
      <c r="X109" s="63"/>
      <c r="Y109" s="63"/>
      <c r="Z109" s="62"/>
      <c r="AA109" s="62"/>
      <c r="AB109" s="103"/>
      <c r="AC109" s="103"/>
    </row>
    <row r="110" spans="1:29" s="70" customFormat="1" ht="14.25" x14ac:dyDescent="0.2">
      <c r="A110" s="60"/>
      <c r="B110" s="421" t="s">
        <v>457</v>
      </c>
      <c r="C110" s="422">
        <v>14</v>
      </c>
      <c r="D110" s="423" t="s">
        <v>60</v>
      </c>
      <c r="E110" s="310">
        <v>0.25</v>
      </c>
      <c r="F110" s="122">
        <f t="shared" si="0"/>
        <v>3.5</v>
      </c>
      <c r="G110" s="122">
        <f t="shared" si="1"/>
        <v>12.5</v>
      </c>
      <c r="H110" s="123">
        <f t="shared" si="2"/>
        <v>175</v>
      </c>
      <c r="I110" s="135">
        <v>17.05</v>
      </c>
      <c r="J110" s="123">
        <f t="shared" si="3"/>
        <v>238.70000000000002</v>
      </c>
      <c r="K110" s="124">
        <f t="shared" si="4"/>
        <v>413.70000000000005</v>
      </c>
      <c r="L110" s="123">
        <f t="shared" si="5"/>
        <v>29.550000000000004</v>
      </c>
      <c r="M110" s="125">
        <f t="shared" si="6"/>
        <v>413.70000000000005</v>
      </c>
      <c r="N110" s="131">
        <v>0</v>
      </c>
      <c r="O110" s="118">
        <f>M110*N110</f>
        <v>0</v>
      </c>
      <c r="P110" s="455"/>
      <c r="Q110" s="455"/>
      <c r="R110" s="455"/>
      <c r="S110" s="455"/>
      <c r="T110" s="149"/>
      <c r="U110" s="154"/>
      <c r="V110" s="155"/>
      <c r="W110" s="136"/>
      <c r="X110" s="63"/>
      <c r="Y110" s="63"/>
      <c r="Z110" s="62"/>
      <c r="AA110" s="62"/>
      <c r="AB110" s="103"/>
      <c r="AC110" s="103"/>
    </row>
    <row r="111" spans="1:29" s="70" customFormat="1" ht="14.25" x14ac:dyDescent="0.2">
      <c r="A111" s="60"/>
      <c r="B111" s="421" t="s">
        <v>458</v>
      </c>
      <c r="C111" s="422">
        <v>14</v>
      </c>
      <c r="D111" s="423" t="s">
        <v>60</v>
      </c>
      <c r="E111" s="122">
        <v>0.12</v>
      </c>
      <c r="F111" s="122">
        <f t="shared" si="0"/>
        <v>1.68</v>
      </c>
      <c r="G111" s="122">
        <f t="shared" si="1"/>
        <v>6</v>
      </c>
      <c r="H111" s="123">
        <f t="shared" si="2"/>
        <v>84</v>
      </c>
      <c r="I111" s="135">
        <v>8.06</v>
      </c>
      <c r="J111" s="123">
        <f t="shared" si="3"/>
        <v>112.84</v>
      </c>
      <c r="K111" s="124">
        <f t="shared" si="4"/>
        <v>196.84</v>
      </c>
      <c r="L111" s="123">
        <f t="shared" si="5"/>
        <v>14.06</v>
      </c>
      <c r="M111" s="125">
        <f t="shared" si="6"/>
        <v>196.84</v>
      </c>
      <c r="N111" s="131">
        <v>0</v>
      </c>
      <c r="O111" s="118">
        <f>M111*N111</f>
        <v>0</v>
      </c>
      <c r="P111" s="455"/>
      <c r="Q111" s="455"/>
      <c r="R111" s="455"/>
      <c r="S111" s="455"/>
      <c r="T111" s="149"/>
      <c r="U111" s="154"/>
      <c r="V111" s="155"/>
      <c r="W111" s="136"/>
      <c r="X111" s="63"/>
      <c r="Y111" s="63"/>
      <c r="Z111" s="62"/>
      <c r="AA111" s="62"/>
      <c r="AB111" s="103"/>
      <c r="AC111" s="103"/>
    </row>
    <row r="112" spans="1:29" s="70" customFormat="1" ht="14.25" x14ac:dyDescent="0.2">
      <c r="A112" s="60"/>
      <c r="B112" s="421" t="s">
        <v>513</v>
      </c>
      <c r="C112" s="422">
        <v>18</v>
      </c>
      <c r="D112" s="423" t="s">
        <v>46</v>
      </c>
      <c r="E112" s="122">
        <v>0.1</v>
      </c>
      <c r="F112" s="122">
        <f t="shared" si="0"/>
        <v>1.8</v>
      </c>
      <c r="G112" s="122">
        <f t="shared" si="1"/>
        <v>5</v>
      </c>
      <c r="H112" s="123">
        <f t="shared" si="2"/>
        <v>90</v>
      </c>
      <c r="I112" s="135">
        <v>14.88</v>
      </c>
      <c r="J112" s="123">
        <f t="shared" si="3"/>
        <v>267.84000000000003</v>
      </c>
      <c r="K112" s="124">
        <f t="shared" si="4"/>
        <v>357.84000000000003</v>
      </c>
      <c r="L112" s="123">
        <f t="shared" si="5"/>
        <v>19.880000000000003</v>
      </c>
      <c r="M112" s="125">
        <f t="shared" si="6"/>
        <v>357.84000000000003</v>
      </c>
      <c r="N112" s="131"/>
      <c r="O112" s="118"/>
      <c r="P112" s="455"/>
      <c r="Q112" s="455"/>
      <c r="R112" s="455"/>
      <c r="S112" s="455"/>
      <c r="T112" s="149"/>
      <c r="U112" s="154"/>
      <c r="V112" s="155"/>
      <c r="W112" s="136"/>
      <c r="X112" s="63"/>
      <c r="Y112" s="63"/>
      <c r="Z112" s="62"/>
      <c r="AA112" s="62"/>
      <c r="AB112" s="103"/>
      <c r="AC112" s="103"/>
    </row>
    <row r="113" spans="1:29" s="70" customFormat="1" ht="14.25" x14ac:dyDescent="0.2">
      <c r="A113" s="60"/>
      <c r="B113" s="151"/>
      <c r="C113" s="152"/>
      <c r="D113" s="153"/>
      <c r="E113" s="122"/>
      <c r="F113" s="122"/>
      <c r="G113" s="122"/>
      <c r="H113" s="123"/>
      <c r="I113" s="135"/>
      <c r="J113" s="123"/>
      <c r="K113" s="124"/>
      <c r="L113" s="123"/>
      <c r="M113" s="125"/>
      <c r="N113" s="131"/>
      <c r="O113" s="118"/>
      <c r="P113" s="455"/>
      <c r="Q113" s="455"/>
      <c r="R113" s="455"/>
      <c r="S113" s="455"/>
      <c r="T113" s="149"/>
      <c r="U113" s="154"/>
      <c r="V113" s="155"/>
      <c r="W113" s="136"/>
      <c r="X113" s="63"/>
      <c r="Y113" s="63"/>
      <c r="Z113" s="62"/>
      <c r="AA113" s="62"/>
      <c r="AB113" s="103"/>
      <c r="AC113" s="103"/>
    </row>
    <row r="114" spans="1:29" s="70" customFormat="1" ht="14.25" x14ac:dyDescent="0.2">
      <c r="A114" s="60"/>
      <c r="B114" s="151" t="s">
        <v>461</v>
      </c>
      <c r="C114" s="152">
        <v>16</v>
      </c>
      <c r="D114" s="153" t="s">
        <v>46</v>
      </c>
      <c r="E114" s="390">
        <v>0.45</v>
      </c>
      <c r="F114" s="122">
        <f>C114*E114</f>
        <v>7.2</v>
      </c>
      <c r="G114" s="122">
        <f>$H$11*E114</f>
        <v>22.5</v>
      </c>
      <c r="H114" s="123">
        <f>F114*$H$11</f>
        <v>360</v>
      </c>
      <c r="I114" s="393">
        <v>26.56</v>
      </c>
      <c r="J114" s="123">
        <f>C114*I114</f>
        <v>424.96</v>
      </c>
      <c r="K114" s="124">
        <f>SUM(H114,J114)</f>
        <v>784.96</v>
      </c>
      <c r="L114" s="123">
        <f>K114/C114</f>
        <v>49.06</v>
      </c>
      <c r="M114" s="125">
        <f>C114*L114</f>
        <v>784.96</v>
      </c>
      <c r="N114" s="131">
        <v>0</v>
      </c>
      <c r="O114" s="118">
        <f>M114*N114</f>
        <v>0</v>
      </c>
      <c r="P114" s="455"/>
      <c r="Q114" s="455"/>
      <c r="R114" s="455"/>
      <c r="S114" s="455"/>
      <c r="T114" s="149"/>
      <c r="U114" s="154"/>
      <c r="V114" s="155"/>
      <c r="W114" s="136"/>
      <c r="X114" s="63"/>
      <c r="Y114" s="63"/>
      <c r="Z114" s="62"/>
      <c r="AA114" s="62"/>
      <c r="AB114" s="103"/>
      <c r="AC114" s="103"/>
    </row>
    <row r="115" spans="1:29" s="70" customFormat="1" ht="14.25" x14ac:dyDescent="0.2">
      <c r="A115" s="60"/>
      <c r="B115" s="421" t="s">
        <v>466</v>
      </c>
      <c r="C115" s="424">
        <f>C114/1.2</f>
        <v>13.333333333333334</v>
      </c>
      <c r="D115" s="423" t="s">
        <v>60</v>
      </c>
      <c r="E115" s="390">
        <v>0.09</v>
      </c>
      <c r="F115" s="122">
        <f>C115*E115</f>
        <v>1.2</v>
      </c>
      <c r="G115" s="122">
        <f>$H$11*E115</f>
        <v>4.5</v>
      </c>
      <c r="H115" s="123">
        <f>F115*$H$11</f>
        <v>60</v>
      </c>
      <c r="I115" s="393">
        <v>5.28</v>
      </c>
      <c r="J115" s="123">
        <f>C115*I115</f>
        <v>70.400000000000006</v>
      </c>
      <c r="K115" s="124">
        <f>SUM(H115,J115)</f>
        <v>130.4</v>
      </c>
      <c r="L115" s="123">
        <f>K115/C115</f>
        <v>9.7799999999999994</v>
      </c>
      <c r="M115" s="125">
        <f>C115*L115</f>
        <v>130.4</v>
      </c>
      <c r="N115" s="131">
        <v>0</v>
      </c>
      <c r="O115" s="118">
        <f>M115*N115</f>
        <v>0</v>
      </c>
      <c r="P115" s="455"/>
      <c r="Q115" s="455"/>
      <c r="R115" s="455"/>
      <c r="S115" s="455"/>
      <c r="T115" s="149"/>
      <c r="U115" s="154"/>
      <c r="V115" s="155"/>
      <c r="W115" s="136"/>
      <c r="X115" s="63"/>
      <c r="Y115" s="63"/>
      <c r="Z115" s="62"/>
      <c r="AA115" s="62"/>
      <c r="AB115" s="103"/>
      <c r="AC115" s="103"/>
    </row>
    <row r="116" spans="1:29" s="70" customFormat="1" ht="14.25" x14ac:dyDescent="0.2">
      <c r="A116" s="60"/>
      <c r="B116" s="421" t="s">
        <v>504</v>
      </c>
      <c r="C116" s="424">
        <f>C114/2.4</f>
        <v>6.666666666666667</v>
      </c>
      <c r="D116" s="423" t="s">
        <v>60</v>
      </c>
      <c r="E116" s="390">
        <v>0</v>
      </c>
      <c r="F116" s="122">
        <f>C116*E116</f>
        <v>0</v>
      </c>
      <c r="G116" s="122">
        <f>$H$11*E116</f>
        <v>0</v>
      </c>
      <c r="H116" s="123">
        <f>F116*$H$11</f>
        <v>0</v>
      </c>
      <c r="I116" s="393">
        <v>5.28</v>
      </c>
      <c r="J116" s="123">
        <f>C116*I116</f>
        <v>35.200000000000003</v>
      </c>
      <c r="K116" s="124">
        <f>SUM(H116,J116)</f>
        <v>35.200000000000003</v>
      </c>
      <c r="L116" s="123">
        <f>K116/C116</f>
        <v>5.28</v>
      </c>
      <c r="M116" s="125">
        <f>C116*L116</f>
        <v>35.200000000000003</v>
      </c>
      <c r="N116" s="131">
        <v>0</v>
      </c>
      <c r="O116" s="118">
        <f>M116*N116</f>
        <v>0</v>
      </c>
      <c r="P116" s="455"/>
      <c r="Q116" s="455"/>
      <c r="R116" s="455"/>
      <c r="S116" s="455"/>
      <c r="T116" s="149"/>
      <c r="U116" s="154"/>
      <c r="V116" s="155"/>
      <c r="W116" s="136"/>
      <c r="X116" s="63"/>
      <c r="Y116" s="63"/>
      <c r="Z116" s="62"/>
      <c r="AA116" s="62"/>
      <c r="AB116" s="103"/>
      <c r="AC116" s="103"/>
    </row>
    <row r="117" spans="1:29" s="70" customFormat="1" ht="14.25" x14ac:dyDescent="0.2">
      <c r="A117" s="60"/>
      <c r="B117" s="421" t="s">
        <v>457</v>
      </c>
      <c r="C117" s="422">
        <v>35</v>
      </c>
      <c r="D117" s="423" t="s">
        <v>60</v>
      </c>
      <c r="E117" s="310">
        <v>0.25</v>
      </c>
      <c r="F117" s="122">
        <f>C117*E117</f>
        <v>8.75</v>
      </c>
      <c r="G117" s="122">
        <f>$H$11*E117</f>
        <v>12.5</v>
      </c>
      <c r="H117" s="123">
        <f>F117*$H$11</f>
        <v>437.5</v>
      </c>
      <c r="I117" s="135">
        <v>17.05</v>
      </c>
      <c r="J117" s="123">
        <f>C117*I117</f>
        <v>596.75</v>
      </c>
      <c r="K117" s="124">
        <f>SUM(H117,J117)</f>
        <v>1034.25</v>
      </c>
      <c r="L117" s="123">
        <f>K117/C117</f>
        <v>29.55</v>
      </c>
      <c r="M117" s="125">
        <f>C117*L117</f>
        <v>1034.25</v>
      </c>
      <c r="N117" s="131">
        <v>0</v>
      </c>
      <c r="O117" s="118">
        <f>M117*N117</f>
        <v>0</v>
      </c>
      <c r="P117" s="455"/>
      <c r="Q117" s="455"/>
      <c r="R117" s="455"/>
      <c r="S117" s="455"/>
      <c r="T117" s="149"/>
      <c r="U117" s="154"/>
      <c r="V117" s="155"/>
      <c r="W117" s="136"/>
      <c r="X117" s="63"/>
      <c r="Y117" s="63"/>
      <c r="Z117" s="62"/>
      <c r="AA117" s="62"/>
      <c r="AB117" s="103"/>
      <c r="AC117" s="103"/>
    </row>
    <row r="118" spans="1:29" s="70" customFormat="1" ht="14.25" x14ac:dyDescent="0.2">
      <c r="A118" s="60"/>
      <c r="B118" s="421" t="s">
        <v>458</v>
      </c>
      <c r="C118" s="422">
        <v>35</v>
      </c>
      <c r="D118" s="423" t="s">
        <v>60</v>
      </c>
      <c r="E118" s="122">
        <v>0.12</v>
      </c>
      <c r="F118" s="122">
        <f>C118*E118</f>
        <v>4.2</v>
      </c>
      <c r="G118" s="122">
        <f>$H$11*E118</f>
        <v>6</v>
      </c>
      <c r="H118" s="123">
        <f>F118*$H$11</f>
        <v>210</v>
      </c>
      <c r="I118" s="135">
        <v>8.06</v>
      </c>
      <c r="J118" s="123">
        <f>C118*I118</f>
        <v>282.10000000000002</v>
      </c>
      <c r="K118" s="124">
        <f>SUM(H118,J118)</f>
        <v>492.1</v>
      </c>
      <c r="L118" s="123">
        <f>K118/C118</f>
        <v>14.06</v>
      </c>
      <c r="M118" s="125">
        <f>C118*L118</f>
        <v>492.1</v>
      </c>
      <c r="N118" s="131">
        <v>0</v>
      </c>
      <c r="O118" s="118">
        <f>M118*N118</f>
        <v>0</v>
      </c>
      <c r="P118" s="455"/>
      <c r="Q118" s="455"/>
      <c r="R118" s="455"/>
      <c r="S118" s="455"/>
      <c r="T118" s="149"/>
      <c r="U118" s="154"/>
      <c r="V118" s="155"/>
      <c r="W118" s="136"/>
      <c r="X118" s="63"/>
      <c r="Y118" s="63"/>
      <c r="Z118" s="62"/>
      <c r="AA118" s="62"/>
      <c r="AB118" s="103"/>
      <c r="AC118" s="103"/>
    </row>
    <row r="119" spans="1:29" s="70" customFormat="1" ht="14.25" x14ac:dyDescent="0.2">
      <c r="A119" s="60"/>
      <c r="B119" s="151"/>
      <c r="C119" s="157"/>
      <c r="D119" s="153"/>
      <c r="E119" s="122"/>
      <c r="F119" s="122"/>
      <c r="G119" s="122"/>
      <c r="H119" s="123"/>
      <c r="I119" s="135"/>
      <c r="J119" s="123"/>
      <c r="K119" s="124"/>
      <c r="L119" s="123"/>
      <c r="M119" s="125"/>
      <c r="N119" s="131"/>
      <c r="O119" s="118"/>
      <c r="P119" s="455"/>
      <c r="Q119" s="455"/>
      <c r="R119" s="455"/>
      <c r="S119" s="455"/>
      <c r="T119" s="149"/>
      <c r="U119" s="154"/>
      <c r="V119" s="155"/>
      <c r="W119" s="136"/>
      <c r="X119" s="63"/>
      <c r="Y119" s="63"/>
      <c r="Z119" s="62"/>
      <c r="AA119" s="62"/>
      <c r="AB119" s="103"/>
      <c r="AC119" s="103"/>
    </row>
    <row r="120" spans="1:29" s="70" customFormat="1" ht="14.25" x14ac:dyDescent="0.2">
      <c r="A120" s="60"/>
      <c r="B120" s="166" t="s">
        <v>57</v>
      </c>
      <c r="C120" s="152"/>
      <c r="D120" s="153"/>
      <c r="E120" s="122"/>
      <c r="F120" s="122"/>
      <c r="G120" s="122"/>
      <c r="H120" s="123"/>
      <c r="I120" s="135"/>
      <c r="J120" s="123"/>
      <c r="K120" s="124"/>
      <c r="L120" s="123"/>
      <c r="M120" s="125"/>
      <c r="N120" s="131"/>
      <c r="O120" s="118"/>
      <c r="P120" s="455"/>
      <c r="Q120" s="455"/>
      <c r="R120" s="455"/>
      <c r="S120" s="455"/>
      <c r="T120" s="149"/>
      <c r="U120" s="154"/>
      <c r="V120" s="155"/>
      <c r="W120" s="136"/>
      <c r="X120" s="63"/>
      <c r="Y120" s="63"/>
      <c r="Z120" s="62"/>
      <c r="AA120" s="62"/>
      <c r="AB120" s="103"/>
      <c r="AC120" s="103"/>
    </row>
    <row r="121" spans="1:29" s="70" customFormat="1" ht="14.25" x14ac:dyDescent="0.2">
      <c r="A121" s="60"/>
      <c r="B121" s="151" t="s">
        <v>373</v>
      </c>
      <c r="C121" s="170" t="s">
        <v>145</v>
      </c>
      <c r="D121" s="72"/>
      <c r="E121" s="122"/>
      <c r="F121" s="122"/>
      <c r="G121" s="122"/>
      <c r="H121" s="123"/>
      <c r="I121" s="135"/>
      <c r="J121" s="123"/>
      <c r="K121" s="124"/>
      <c r="L121" s="123"/>
      <c r="M121" s="125"/>
      <c r="N121" s="131"/>
      <c r="O121" s="118"/>
      <c r="P121" s="455"/>
      <c r="Q121" s="455"/>
      <c r="R121" s="455"/>
      <c r="S121" s="455"/>
      <c r="T121" s="149"/>
      <c r="U121" s="154"/>
      <c r="V121" s="155"/>
      <c r="W121" s="136"/>
      <c r="X121" s="63"/>
      <c r="Y121" s="63"/>
      <c r="Z121" s="62"/>
      <c r="AA121" s="62"/>
      <c r="AB121" s="103"/>
      <c r="AC121" s="103"/>
    </row>
    <row r="122" spans="1:29" s="70" customFormat="1" ht="14.25" x14ac:dyDescent="0.2">
      <c r="A122" s="60"/>
      <c r="B122" s="1"/>
      <c r="C122" s="113"/>
      <c r="D122" s="72"/>
      <c r="E122" s="122"/>
      <c r="F122" s="122"/>
      <c r="G122" s="122"/>
      <c r="H122" s="123"/>
      <c r="I122" s="135"/>
      <c r="J122" s="123"/>
      <c r="K122" s="124"/>
      <c r="L122" s="123"/>
      <c r="M122" s="125"/>
      <c r="N122" s="131"/>
      <c r="O122" s="118"/>
      <c r="P122" s="455"/>
      <c r="Q122" s="455"/>
      <c r="R122" s="455"/>
      <c r="S122" s="455"/>
      <c r="T122" s="149"/>
      <c r="U122" s="154"/>
      <c r="V122" s="155"/>
      <c r="W122" s="136"/>
      <c r="X122" s="63"/>
      <c r="Y122" s="63"/>
      <c r="Z122" s="62"/>
      <c r="AA122" s="62"/>
      <c r="AB122" s="103"/>
      <c r="AC122" s="103"/>
    </row>
    <row r="123" spans="1:29" s="70" customFormat="1" ht="14.25" x14ac:dyDescent="0.2">
      <c r="A123" s="60"/>
      <c r="B123" s="1" t="s">
        <v>88</v>
      </c>
      <c r="C123" s="157" t="s">
        <v>85</v>
      </c>
      <c r="D123" s="72"/>
      <c r="E123" s="122"/>
      <c r="F123" s="122"/>
      <c r="G123" s="122"/>
      <c r="H123" s="123"/>
      <c r="I123" s="135"/>
      <c r="J123" s="123"/>
      <c r="K123" s="124"/>
      <c r="L123" s="123"/>
      <c r="M123" s="125"/>
      <c r="N123" s="131"/>
      <c r="O123" s="118"/>
      <c r="P123" s="455"/>
      <c r="Q123" s="455"/>
      <c r="R123" s="455"/>
      <c r="S123" s="455"/>
      <c r="T123" s="149"/>
      <c r="U123" s="154"/>
      <c r="V123" s="155"/>
      <c r="W123" s="136"/>
      <c r="X123" s="63"/>
      <c r="Y123" s="63"/>
      <c r="Z123" s="62"/>
      <c r="AA123" s="62"/>
      <c r="AB123" s="103"/>
      <c r="AC123" s="103"/>
    </row>
    <row r="124" spans="1:29" s="70" customFormat="1" ht="14.25" x14ac:dyDescent="0.2">
      <c r="A124" s="60"/>
      <c r="B124" s="1"/>
      <c r="C124" s="152"/>
      <c r="D124" s="153"/>
      <c r="E124" s="122"/>
      <c r="F124" s="122"/>
      <c r="G124" s="122"/>
      <c r="H124" s="123"/>
      <c r="I124" s="135"/>
      <c r="J124" s="123"/>
      <c r="K124" s="124"/>
      <c r="L124" s="123"/>
      <c r="M124" s="125"/>
      <c r="N124" s="131"/>
      <c r="O124" s="118"/>
      <c r="P124" s="455"/>
      <c r="Q124" s="455"/>
      <c r="R124" s="455"/>
      <c r="S124" s="455"/>
      <c r="T124" s="149"/>
      <c r="U124" s="154"/>
      <c r="V124" s="155"/>
      <c r="W124" s="136"/>
      <c r="X124" s="63"/>
      <c r="Y124" s="63"/>
      <c r="Z124" s="62"/>
      <c r="AA124" s="62"/>
      <c r="AB124" s="103"/>
      <c r="AC124" s="103"/>
    </row>
    <row r="125" spans="1:29" s="70" customFormat="1" ht="24" x14ac:dyDescent="0.2">
      <c r="A125" s="60"/>
      <c r="B125" s="166" t="s">
        <v>75</v>
      </c>
      <c r="C125" s="152"/>
      <c r="D125" s="153"/>
      <c r="E125" s="122"/>
      <c r="F125" s="122"/>
      <c r="G125" s="122"/>
      <c r="H125" s="123"/>
      <c r="I125" s="135"/>
      <c r="J125" s="123"/>
      <c r="K125" s="124"/>
      <c r="L125" s="123"/>
      <c r="M125" s="125"/>
      <c r="N125" s="131"/>
      <c r="O125" s="118"/>
      <c r="P125" s="455"/>
      <c r="Q125" s="455"/>
      <c r="R125" s="455"/>
      <c r="S125" s="455"/>
      <c r="T125" s="149"/>
      <c r="U125" s="154"/>
      <c r="V125" s="155"/>
      <c r="W125" s="136"/>
      <c r="X125" s="63">
        <v>0.3</v>
      </c>
      <c r="Y125" s="63"/>
      <c r="Z125" s="62"/>
      <c r="AA125" s="62"/>
      <c r="AB125" s="103"/>
      <c r="AC125" s="103"/>
    </row>
    <row r="126" spans="1:29" s="70" customFormat="1" ht="14.25" x14ac:dyDescent="0.2">
      <c r="A126" s="60"/>
      <c r="B126" s="151" t="s">
        <v>91</v>
      </c>
      <c r="C126" s="152">
        <v>93</v>
      </c>
      <c r="D126" s="153" t="s">
        <v>46</v>
      </c>
      <c r="E126" s="122">
        <f>$X$125</f>
        <v>0.3</v>
      </c>
      <c r="F126" s="122">
        <f>C126*E126</f>
        <v>27.9</v>
      </c>
      <c r="G126" s="122">
        <f>$H$11*E126</f>
        <v>15</v>
      </c>
      <c r="H126" s="123">
        <f>F126*$H$11</f>
        <v>1395</v>
      </c>
      <c r="I126" s="135">
        <v>122.5</v>
      </c>
      <c r="J126" s="123">
        <f>C126*I126</f>
        <v>11392.5</v>
      </c>
      <c r="K126" s="124">
        <f>SUM(H126,J126)</f>
        <v>12787.5</v>
      </c>
      <c r="L126" s="123">
        <f>K126/C126</f>
        <v>137.5</v>
      </c>
      <c r="M126" s="125">
        <f>C126*L126</f>
        <v>12787.5</v>
      </c>
      <c r="N126" s="131">
        <v>0</v>
      </c>
      <c r="O126" s="118">
        <f>M126*N126</f>
        <v>0</v>
      </c>
      <c r="P126" s="455"/>
      <c r="Q126" s="455"/>
      <c r="R126" s="455"/>
      <c r="S126" s="455"/>
      <c r="T126" s="149"/>
      <c r="U126" s="154"/>
      <c r="V126" s="155"/>
      <c r="W126" s="136"/>
      <c r="X126" s="63"/>
      <c r="Y126" s="63"/>
      <c r="Z126" s="62"/>
      <c r="AA126" s="62"/>
      <c r="AB126" s="103"/>
      <c r="AC126" s="103"/>
    </row>
    <row r="127" spans="1:29" s="70" customFormat="1" ht="14.25" x14ac:dyDescent="0.2">
      <c r="A127" s="60"/>
      <c r="B127" s="151" t="s">
        <v>93</v>
      </c>
      <c r="C127" s="152">
        <v>93</v>
      </c>
      <c r="D127" s="153" t="s">
        <v>46</v>
      </c>
      <c r="E127" s="390">
        <v>0.32</v>
      </c>
      <c r="F127" s="122">
        <f>C127*E127</f>
        <v>29.76</v>
      </c>
      <c r="G127" s="122">
        <f>$H$11*E127</f>
        <v>16</v>
      </c>
      <c r="H127" s="123">
        <f>F127*$H$11</f>
        <v>1488</v>
      </c>
      <c r="I127" s="393">
        <v>40</v>
      </c>
      <c r="J127" s="123">
        <f>C127*I127</f>
        <v>3720</v>
      </c>
      <c r="K127" s="124">
        <f>SUM(H127,J127)</f>
        <v>5208</v>
      </c>
      <c r="L127" s="123">
        <f>K127/C127</f>
        <v>56</v>
      </c>
      <c r="M127" s="125">
        <f>C127*L127</f>
        <v>5208</v>
      </c>
      <c r="N127" s="131">
        <v>0</v>
      </c>
      <c r="O127" s="118">
        <f>M127*N127</f>
        <v>0</v>
      </c>
      <c r="P127" s="455"/>
      <c r="Q127" s="455"/>
      <c r="R127" s="455"/>
      <c r="S127" s="455"/>
      <c r="T127" s="149"/>
      <c r="U127" s="154"/>
      <c r="V127" s="155"/>
      <c r="W127" s="136"/>
      <c r="X127" s="63"/>
      <c r="Y127" s="63"/>
      <c r="Z127" s="62"/>
      <c r="AA127" s="62"/>
      <c r="AB127" s="103"/>
      <c r="AC127" s="103"/>
    </row>
    <row r="128" spans="1:29" s="70" customFormat="1" ht="14.25" x14ac:dyDescent="0.2">
      <c r="A128" s="60"/>
      <c r="B128" s="421" t="s">
        <v>504</v>
      </c>
      <c r="C128" s="424">
        <f>C126/1.8</f>
        <v>51.666666666666664</v>
      </c>
      <c r="D128" s="423" t="s">
        <v>60</v>
      </c>
      <c r="E128" s="390">
        <v>0</v>
      </c>
      <c r="F128" s="122">
        <f>C128*E128</f>
        <v>0</v>
      </c>
      <c r="G128" s="122">
        <f>$H$11*E128</f>
        <v>0</v>
      </c>
      <c r="H128" s="123">
        <f>F128*$H$11</f>
        <v>0</v>
      </c>
      <c r="I128" s="393">
        <v>5.28</v>
      </c>
      <c r="J128" s="123">
        <f>C128*I128</f>
        <v>272.8</v>
      </c>
      <c r="K128" s="124">
        <f>SUM(H128,J128)</f>
        <v>272.8</v>
      </c>
      <c r="L128" s="123">
        <f>K128/C128</f>
        <v>5.28</v>
      </c>
      <c r="M128" s="125">
        <f>C128*L128</f>
        <v>272.8</v>
      </c>
      <c r="N128" s="131">
        <v>0</v>
      </c>
      <c r="O128" s="118">
        <f>M128*N128</f>
        <v>0</v>
      </c>
      <c r="P128" s="455"/>
      <c r="Q128" s="455"/>
      <c r="R128" s="455"/>
      <c r="S128" s="455"/>
      <c r="T128" s="149"/>
      <c r="U128" s="154"/>
      <c r="V128" s="155"/>
      <c r="W128" s="136"/>
      <c r="X128" s="63"/>
      <c r="Y128" s="63"/>
      <c r="Z128" s="62"/>
      <c r="AA128" s="62"/>
      <c r="AB128" s="103"/>
      <c r="AC128" s="103"/>
    </row>
    <row r="129" spans="1:29" s="70" customFormat="1" ht="14.25" x14ac:dyDescent="0.2">
      <c r="A129" s="60"/>
      <c r="B129" s="146" t="s">
        <v>371</v>
      </c>
      <c r="C129" s="152">
        <v>52</v>
      </c>
      <c r="D129" s="153" t="s">
        <v>60</v>
      </c>
      <c r="E129" s="310">
        <v>0.25</v>
      </c>
      <c r="F129" s="122">
        <f>C129*E129</f>
        <v>13</v>
      </c>
      <c r="G129" s="122">
        <f>$H$11*E129</f>
        <v>12.5</v>
      </c>
      <c r="H129" s="123">
        <f>F129*$H$11</f>
        <v>650</v>
      </c>
      <c r="I129" s="135">
        <v>17.05</v>
      </c>
      <c r="J129" s="123">
        <f>C129*I129</f>
        <v>886.6</v>
      </c>
      <c r="K129" s="124">
        <f>SUM(H129,J129)</f>
        <v>1536.6</v>
      </c>
      <c r="L129" s="123">
        <f>K129/C129</f>
        <v>29.549999999999997</v>
      </c>
      <c r="M129" s="125">
        <f>C129*L129</f>
        <v>1536.6</v>
      </c>
      <c r="N129" s="131">
        <v>0</v>
      </c>
      <c r="O129" s="118">
        <f>M129*N129</f>
        <v>0</v>
      </c>
      <c r="P129" s="455"/>
      <c r="Q129" s="455"/>
      <c r="R129" s="455"/>
      <c r="S129" s="455"/>
      <c r="T129" s="149"/>
      <c r="U129" s="154"/>
      <c r="V129" s="155"/>
      <c r="W129" s="136"/>
      <c r="X129" s="63"/>
      <c r="Y129" s="63"/>
      <c r="Z129" s="62"/>
      <c r="AA129" s="62"/>
      <c r="AB129" s="103"/>
      <c r="AC129" s="103"/>
    </row>
    <row r="130" spans="1:29" s="70" customFormat="1" ht="14.25" x14ac:dyDescent="0.2">
      <c r="A130" s="60"/>
      <c r="B130" s="146" t="s">
        <v>372</v>
      </c>
      <c r="C130" s="152">
        <v>52</v>
      </c>
      <c r="D130" s="153" t="s">
        <v>60</v>
      </c>
      <c r="E130" s="122">
        <v>0.12</v>
      </c>
      <c r="F130" s="122">
        <f>C130*E130</f>
        <v>6.24</v>
      </c>
      <c r="G130" s="122">
        <f>$H$11*E130</f>
        <v>6</v>
      </c>
      <c r="H130" s="123">
        <f>F130*$H$11</f>
        <v>312</v>
      </c>
      <c r="I130" s="135">
        <v>8.06</v>
      </c>
      <c r="J130" s="123">
        <f>C130*I130</f>
        <v>419.12</v>
      </c>
      <c r="K130" s="124">
        <f>SUM(H130,J130)</f>
        <v>731.12</v>
      </c>
      <c r="L130" s="123">
        <f>K130/C130</f>
        <v>14.06</v>
      </c>
      <c r="M130" s="125">
        <f>C130*L130</f>
        <v>731.12</v>
      </c>
      <c r="N130" s="131">
        <v>0</v>
      </c>
      <c r="O130" s="118">
        <f>M130*N130</f>
        <v>0</v>
      </c>
      <c r="P130" s="455"/>
      <c r="Q130" s="455">
        <f>SUM(M127:M130)</f>
        <v>7748.5199999999995</v>
      </c>
      <c r="R130" s="455"/>
      <c r="S130" s="455"/>
      <c r="T130" s="149"/>
      <c r="U130" s="154"/>
      <c r="V130" s="155"/>
      <c r="W130" s="136"/>
      <c r="X130" s="63"/>
      <c r="Y130" s="63"/>
      <c r="Z130" s="62"/>
      <c r="AA130" s="62"/>
      <c r="AB130" s="103"/>
      <c r="AC130" s="103"/>
    </row>
    <row r="131" spans="1:29" s="70" customFormat="1" ht="14.25" x14ac:dyDescent="0.2">
      <c r="A131" s="60"/>
      <c r="B131" s="166"/>
      <c r="C131" s="152"/>
      <c r="D131" s="153"/>
      <c r="E131" s="122"/>
      <c r="F131" s="122"/>
      <c r="G131" s="122"/>
      <c r="H131" s="123"/>
      <c r="I131" s="135"/>
      <c r="J131" s="123"/>
      <c r="K131" s="124"/>
      <c r="L131" s="123"/>
      <c r="M131" s="125"/>
      <c r="N131" s="131"/>
      <c r="O131" s="118"/>
      <c r="P131" s="455"/>
      <c r="Q131" s="455"/>
      <c r="R131" s="455"/>
      <c r="S131" s="455"/>
      <c r="T131" s="149"/>
      <c r="U131" s="154"/>
      <c r="V131" s="155"/>
      <c r="W131" s="136"/>
      <c r="X131" s="63"/>
      <c r="Y131" s="63"/>
      <c r="Z131" s="62"/>
      <c r="AA131" s="62"/>
      <c r="AB131" s="103"/>
      <c r="AC131" s="103"/>
    </row>
    <row r="132" spans="1:29" s="70" customFormat="1" ht="14.25" x14ac:dyDescent="0.2">
      <c r="A132" s="60"/>
      <c r="B132" s="166"/>
      <c r="C132" s="152"/>
      <c r="D132" s="153"/>
      <c r="E132" s="122"/>
      <c r="F132" s="122"/>
      <c r="G132" s="122"/>
      <c r="H132" s="123"/>
      <c r="I132" s="135"/>
      <c r="J132" s="123"/>
      <c r="K132" s="124"/>
      <c r="L132" s="123"/>
      <c r="M132" s="125"/>
      <c r="N132" s="131"/>
      <c r="O132" s="118"/>
      <c r="P132" s="455"/>
      <c r="Q132" s="455"/>
      <c r="R132" s="455"/>
      <c r="S132" s="455"/>
      <c r="T132" s="149"/>
      <c r="U132" s="154"/>
      <c r="V132" s="155"/>
      <c r="W132" s="136"/>
      <c r="X132" s="63"/>
      <c r="Y132" s="63"/>
      <c r="Z132" s="62"/>
      <c r="AA132" s="62"/>
      <c r="AB132" s="103"/>
      <c r="AC132" s="103"/>
    </row>
    <row r="133" spans="1:29" s="70" customFormat="1" ht="25.5" x14ac:dyDescent="0.2">
      <c r="A133" s="60"/>
      <c r="B133" s="151" t="s">
        <v>92</v>
      </c>
      <c r="C133" s="152">
        <v>17</v>
      </c>
      <c r="D133" s="153" t="s">
        <v>46</v>
      </c>
      <c r="E133" s="122">
        <f>$X$125</f>
        <v>0.3</v>
      </c>
      <c r="F133" s="122">
        <f>C133*E133</f>
        <v>5.0999999999999996</v>
      </c>
      <c r="G133" s="122">
        <f>$H$11*E133</f>
        <v>15</v>
      </c>
      <c r="H133" s="123">
        <f>F133*$H$11</f>
        <v>254.99999999999997</v>
      </c>
      <c r="I133" s="135">
        <v>122.5</v>
      </c>
      <c r="J133" s="123">
        <f>C133*I133</f>
        <v>2082.5</v>
      </c>
      <c r="K133" s="124">
        <f>SUM(H133,J133)</f>
        <v>2337.5</v>
      </c>
      <c r="L133" s="123">
        <f>K133/C133</f>
        <v>137.5</v>
      </c>
      <c r="M133" s="125">
        <f>C133*L133</f>
        <v>2337.5</v>
      </c>
      <c r="N133" s="131">
        <v>0</v>
      </c>
      <c r="O133" s="118">
        <f>M133*N133</f>
        <v>0</v>
      </c>
      <c r="P133" s="455"/>
      <c r="Q133" s="455">
        <f>SUM(M76:M137)</f>
        <v>93275.32666666666</v>
      </c>
      <c r="R133" s="465">
        <f>Q105/Q133</f>
        <v>4.6559020359724999E-2</v>
      </c>
      <c r="S133" s="455"/>
      <c r="T133" s="149"/>
      <c r="U133" s="154"/>
      <c r="V133" s="155"/>
      <c r="W133" s="136"/>
      <c r="X133" s="63"/>
      <c r="Y133" s="63"/>
      <c r="Z133" s="62"/>
      <c r="AA133" s="62"/>
      <c r="AB133" s="103"/>
      <c r="AC133" s="103"/>
    </row>
    <row r="134" spans="1:29" s="70" customFormat="1" ht="14.25" x14ac:dyDescent="0.2">
      <c r="A134" s="60"/>
      <c r="B134" s="1" t="s">
        <v>93</v>
      </c>
      <c r="C134" s="152">
        <v>17</v>
      </c>
      <c r="D134" s="153" t="s">
        <v>46</v>
      </c>
      <c r="E134" s="122">
        <v>0.45</v>
      </c>
      <c r="F134" s="122">
        <f>C134*E134</f>
        <v>7.65</v>
      </c>
      <c r="G134" s="122">
        <f>$H$11*E134</f>
        <v>22.5</v>
      </c>
      <c r="H134" s="123">
        <f>F134*$H$11</f>
        <v>382.5</v>
      </c>
      <c r="I134" s="135">
        <v>41</v>
      </c>
      <c r="J134" s="123">
        <f>C134*I134</f>
        <v>697</v>
      </c>
      <c r="K134" s="124">
        <f>SUM(H134,J134)</f>
        <v>1079.5</v>
      </c>
      <c r="L134" s="123">
        <f>K134/C134</f>
        <v>63.5</v>
      </c>
      <c r="M134" s="125">
        <f>C134*L134</f>
        <v>1079.5</v>
      </c>
      <c r="N134" s="131">
        <v>0</v>
      </c>
      <c r="O134" s="118">
        <f>M134*N134</f>
        <v>0</v>
      </c>
      <c r="P134" s="455"/>
      <c r="Q134" s="455"/>
      <c r="R134" s="455"/>
      <c r="S134" s="455"/>
      <c r="T134" s="149"/>
      <c r="U134" s="154"/>
      <c r="V134" s="155"/>
      <c r="W134" s="136"/>
      <c r="X134" s="63"/>
      <c r="Y134" s="63"/>
      <c r="Z134" s="62"/>
      <c r="AA134" s="62"/>
      <c r="AB134" s="103"/>
      <c r="AC134" s="103"/>
    </row>
    <row r="135" spans="1:29" s="70" customFormat="1" ht="14.25" x14ac:dyDescent="0.2">
      <c r="A135" s="60"/>
      <c r="B135" s="151" t="s">
        <v>504</v>
      </c>
      <c r="C135" s="446">
        <v>8</v>
      </c>
      <c r="D135" s="153" t="s">
        <v>60</v>
      </c>
      <c r="E135" s="390">
        <v>0</v>
      </c>
      <c r="F135" s="122">
        <f>C135*E135</f>
        <v>0</v>
      </c>
      <c r="G135" s="122">
        <f>$H$11*E135</f>
        <v>0</v>
      </c>
      <c r="H135" s="123">
        <f>F135*$H$11</f>
        <v>0</v>
      </c>
      <c r="I135" s="393">
        <v>5.28</v>
      </c>
      <c r="J135" s="123">
        <f>C135*I135</f>
        <v>42.24</v>
      </c>
      <c r="K135" s="124">
        <f>SUM(H135,J135)</f>
        <v>42.24</v>
      </c>
      <c r="L135" s="123">
        <f>K135/C135</f>
        <v>5.28</v>
      </c>
      <c r="M135" s="125">
        <f>C135*L135</f>
        <v>42.24</v>
      </c>
      <c r="N135" s="131">
        <v>0</v>
      </c>
      <c r="O135" s="118">
        <f>M135*N135</f>
        <v>0</v>
      </c>
      <c r="P135" s="455"/>
      <c r="Q135" s="455"/>
      <c r="R135" s="455"/>
      <c r="S135" s="455"/>
      <c r="T135" s="149"/>
      <c r="U135" s="154"/>
      <c r="V135" s="155"/>
      <c r="W135" s="136"/>
      <c r="X135" s="63"/>
      <c r="Y135" s="63"/>
      <c r="Z135" s="62"/>
      <c r="AA135" s="62"/>
      <c r="AB135" s="103"/>
      <c r="AC135" s="103"/>
    </row>
    <row r="136" spans="1:29" s="70" customFormat="1" ht="14.25" x14ac:dyDescent="0.2">
      <c r="A136" s="60"/>
      <c r="B136" s="146" t="s">
        <v>371</v>
      </c>
      <c r="C136" s="152">
        <v>5</v>
      </c>
      <c r="D136" s="153" t="s">
        <v>60</v>
      </c>
      <c r="E136" s="310">
        <v>0.25</v>
      </c>
      <c r="F136" s="122">
        <f>C136*E136</f>
        <v>1.25</v>
      </c>
      <c r="G136" s="122">
        <f>$H$11*E136</f>
        <v>12.5</v>
      </c>
      <c r="H136" s="123">
        <f>F136*$H$11</f>
        <v>62.5</v>
      </c>
      <c r="I136" s="135">
        <v>17.05</v>
      </c>
      <c r="J136" s="123">
        <f>C136*I136</f>
        <v>85.25</v>
      </c>
      <c r="K136" s="124">
        <f>SUM(H136,J136)</f>
        <v>147.75</v>
      </c>
      <c r="L136" s="123">
        <f>K136/C136</f>
        <v>29.55</v>
      </c>
      <c r="M136" s="125">
        <f>C136*L136</f>
        <v>147.75</v>
      </c>
      <c r="N136" s="131">
        <v>0</v>
      </c>
      <c r="O136" s="118">
        <f>M136*N136</f>
        <v>0</v>
      </c>
      <c r="P136" s="455"/>
      <c r="Q136" s="455"/>
      <c r="R136" s="455"/>
      <c r="S136" s="455"/>
      <c r="T136" s="149"/>
      <c r="U136" s="154"/>
      <c r="V136" s="155"/>
      <c r="W136" s="136"/>
      <c r="X136" s="63"/>
      <c r="Y136" s="63"/>
      <c r="Z136" s="62"/>
      <c r="AA136" s="62"/>
      <c r="AB136" s="103"/>
      <c r="AC136" s="103"/>
    </row>
    <row r="137" spans="1:29" s="70" customFormat="1" ht="14.25" x14ac:dyDescent="0.2">
      <c r="A137" s="60"/>
      <c r="B137" s="146" t="s">
        <v>372</v>
      </c>
      <c r="C137" s="152">
        <v>5</v>
      </c>
      <c r="D137" s="153" t="s">
        <v>60</v>
      </c>
      <c r="E137" s="122">
        <v>0.12</v>
      </c>
      <c r="F137" s="122">
        <f>C137*E137</f>
        <v>0.6</v>
      </c>
      <c r="G137" s="122">
        <f>$H$11*E137</f>
        <v>6</v>
      </c>
      <c r="H137" s="123">
        <f>F137*$H$11</f>
        <v>30</v>
      </c>
      <c r="I137" s="135">
        <v>8.06</v>
      </c>
      <c r="J137" s="123">
        <f>C137*I137</f>
        <v>40.300000000000004</v>
      </c>
      <c r="K137" s="124">
        <f>SUM(H137,J137)</f>
        <v>70.300000000000011</v>
      </c>
      <c r="L137" s="123">
        <f>K137/C137</f>
        <v>14.060000000000002</v>
      </c>
      <c r="M137" s="125">
        <f>C137*L137</f>
        <v>70.300000000000011</v>
      </c>
      <c r="N137" s="131">
        <v>0</v>
      </c>
      <c r="O137" s="118">
        <f>M137*N137</f>
        <v>0</v>
      </c>
      <c r="P137" s="455"/>
      <c r="Q137" s="455"/>
      <c r="R137" s="455"/>
      <c r="S137" s="455"/>
      <c r="T137" s="149"/>
      <c r="U137" s="154"/>
      <c r="V137" s="155"/>
      <c r="W137" s="136"/>
      <c r="X137" s="63"/>
      <c r="Y137" s="63"/>
      <c r="Z137" s="62"/>
      <c r="AA137" s="62"/>
      <c r="AB137" s="103"/>
      <c r="AC137" s="103"/>
    </row>
    <row r="138" spans="1:29" s="70" customFormat="1" ht="14.25" x14ac:dyDescent="0.2">
      <c r="A138" s="60"/>
      <c r="B138" s="146"/>
      <c r="C138" s="152"/>
      <c r="D138" s="153"/>
      <c r="E138" s="122"/>
      <c r="F138" s="122"/>
      <c r="G138" s="122"/>
      <c r="H138" s="123"/>
      <c r="I138" s="135"/>
      <c r="J138" s="123"/>
      <c r="K138" s="124"/>
      <c r="L138" s="123"/>
      <c r="M138" s="125"/>
      <c r="N138" s="131"/>
      <c r="O138" s="118"/>
      <c r="P138" s="452">
        <f>SUM(M76:M137)+R383</f>
        <v>94559.894774639673</v>
      </c>
      <c r="Q138" s="450">
        <f>P138*SUM($L$357:$L$363)</f>
        <v>8983.1900035907693</v>
      </c>
      <c r="R138" s="266"/>
      <c r="S138" s="266"/>
      <c r="T138" s="149"/>
      <c r="U138" s="154"/>
      <c r="V138" s="155"/>
      <c r="W138" s="136"/>
      <c r="X138" s="63"/>
      <c r="Y138" s="63"/>
      <c r="Z138" s="62"/>
      <c r="AA138" s="62"/>
      <c r="AB138" s="103"/>
      <c r="AC138" s="103"/>
    </row>
    <row r="139" spans="1:29" s="70" customFormat="1" ht="14.25" x14ac:dyDescent="0.2">
      <c r="A139" s="60"/>
      <c r="B139" s="146"/>
      <c r="C139" s="152"/>
      <c r="D139" s="153"/>
      <c r="E139" s="122"/>
      <c r="F139" s="122"/>
      <c r="G139" s="122"/>
      <c r="H139" s="123"/>
      <c r="I139" s="135"/>
      <c r="J139" s="123"/>
      <c r="K139" s="124"/>
      <c r="L139" s="123"/>
      <c r="M139" s="125"/>
      <c r="N139" s="131"/>
      <c r="O139" s="118"/>
      <c r="P139" s="451">
        <f>P138/$M$354</f>
        <v>0.17985847612854688</v>
      </c>
      <c r="Q139" s="452">
        <f>P139*$M$365</f>
        <v>1135.3118907655153</v>
      </c>
      <c r="R139" s="452">
        <f>SUM(P138,Q138,Q139)</f>
        <v>104678.39666899596</v>
      </c>
      <c r="S139" s="452">
        <f>R139*1.08</f>
        <v>113052.66840251564</v>
      </c>
      <c r="T139" s="149"/>
      <c r="U139" s="154"/>
      <c r="V139" s="155"/>
      <c r="W139" s="136"/>
      <c r="X139" s="63"/>
      <c r="Y139" s="63"/>
      <c r="Z139" s="62"/>
      <c r="AA139" s="62"/>
      <c r="AB139" s="103"/>
      <c r="AC139" s="103"/>
    </row>
    <row r="140" spans="1:29" s="70" customFormat="1" ht="14.25" x14ac:dyDescent="0.2">
      <c r="A140" s="60"/>
      <c r="B140" s="166"/>
      <c r="C140" s="152"/>
      <c r="D140" s="153"/>
      <c r="E140" s="122"/>
      <c r="F140" s="122"/>
      <c r="G140" s="122"/>
      <c r="H140" s="123"/>
      <c r="I140" s="135"/>
      <c r="J140" s="123"/>
      <c r="K140" s="124"/>
      <c r="L140" s="123"/>
      <c r="M140" s="125"/>
      <c r="N140" s="131"/>
      <c r="O140" s="118"/>
      <c r="P140" s="455"/>
      <c r="Q140" s="455"/>
      <c r="R140" s="455"/>
      <c r="S140" s="455"/>
      <c r="T140" s="149"/>
      <c r="U140" s="154"/>
      <c r="V140" s="155"/>
      <c r="W140" s="136"/>
      <c r="X140" s="63"/>
      <c r="Y140" s="63"/>
      <c r="Z140" s="62"/>
      <c r="AA140" s="62"/>
      <c r="AB140" s="103"/>
      <c r="AC140" s="103"/>
    </row>
    <row r="141" spans="1:29" s="70" customFormat="1" ht="15" x14ac:dyDescent="0.2">
      <c r="A141" s="60"/>
      <c r="B141" s="169" t="s">
        <v>68</v>
      </c>
      <c r="C141" s="152"/>
      <c r="D141" s="153"/>
      <c r="E141" s="122"/>
      <c r="F141" s="122"/>
      <c r="G141" s="122"/>
      <c r="H141" s="123"/>
      <c r="I141" s="135"/>
      <c r="J141" s="123"/>
      <c r="K141" s="124"/>
      <c r="L141" s="123"/>
      <c r="M141" s="125"/>
      <c r="N141" s="131"/>
      <c r="O141" s="118"/>
      <c r="P141" s="455"/>
      <c r="Q141" s="455"/>
      <c r="R141" s="455"/>
      <c r="S141" s="455"/>
      <c r="T141" s="149"/>
      <c r="U141" s="154"/>
      <c r="V141" s="155"/>
      <c r="W141" s="136"/>
      <c r="X141" s="63"/>
      <c r="Y141" s="63"/>
      <c r="Z141" s="62"/>
      <c r="AA141" s="62"/>
      <c r="AB141" s="103"/>
      <c r="AC141" s="103"/>
    </row>
    <row r="142" spans="1:29" s="70" customFormat="1" ht="14.25" x14ac:dyDescent="0.2">
      <c r="A142" s="60"/>
      <c r="B142" s="165" t="s">
        <v>56</v>
      </c>
      <c r="C142" s="152"/>
      <c r="D142" s="153"/>
      <c r="E142" s="122"/>
      <c r="F142" s="122"/>
      <c r="G142" s="122"/>
      <c r="H142" s="123"/>
      <c r="I142" s="135"/>
      <c r="J142" s="123"/>
      <c r="K142" s="124"/>
      <c r="L142" s="123"/>
      <c r="M142" s="125"/>
      <c r="N142" s="131"/>
      <c r="O142" s="118"/>
      <c r="P142" s="455"/>
      <c r="Q142" s="455"/>
      <c r="R142" s="455"/>
      <c r="S142" s="455"/>
      <c r="T142" s="149"/>
      <c r="U142" s="154"/>
      <c r="V142" s="155"/>
      <c r="W142" s="136"/>
      <c r="X142" s="63"/>
      <c r="Y142" s="63"/>
      <c r="Z142" s="62"/>
      <c r="AA142" s="62"/>
      <c r="AB142" s="103"/>
      <c r="AC142" s="103"/>
    </row>
    <row r="143" spans="1:29" s="70" customFormat="1" ht="14.25" x14ac:dyDescent="0.2">
      <c r="A143" s="60"/>
      <c r="B143" s="146" t="s">
        <v>76</v>
      </c>
      <c r="C143" s="61">
        <v>90</v>
      </c>
      <c r="D143" s="72" t="s">
        <v>45</v>
      </c>
      <c r="E143" s="122">
        <v>0.32</v>
      </c>
      <c r="F143" s="122">
        <f>C143*E143</f>
        <v>28.8</v>
      </c>
      <c r="G143" s="122">
        <f>$H$11*E143</f>
        <v>16</v>
      </c>
      <c r="H143" s="123">
        <f>F143*$H$11</f>
        <v>1440</v>
      </c>
      <c r="I143" s="135">
        <v>15.51</v>
      </c>
      <c r="J143" s="123">
        <f>C143*I143</f>
        <v>1395.9</v>
      </c>
      <c r="K143" s="124">
        <f>SUM(H143,J143)</f>
        <v>2835.9</v>
      </c>
      <c r="L143" s="123">
        <f>K143/C143</f>
        <v>31.51</v>
      </c>
      <c r="M143" s="125">
        <f>C143*L143</f>
        <v>2835.9</v>
      </c>
      <c r="N143" s="131">
        <v>0</v>
      </c>
      <c r="O143" s="118">
        <f>M143*N143</f>
        <v>0</v>
      </c>
      <c r="P143" s="455"/>
      <c r="Q143" s="455"/>
      <c r="R143" s="455"/>
      <c r="S143" s="455"/>
      <c r="T143" s="149"/>
      <c r="U143" s="154"/>
      <c r="V143" s="155"/>
      <c r="W143" s="136"/>
      <c r="X143" s="63"/>
      <c r="Y143" s="63"/>
      <c r="Z143" s="62"/>
      <c r="AA143" s="62"/>
      <c r="AB143" s="103"/>
      <c r="AC143" s="103"/>
    </row>
    <row r="144" spans="1:29" s="70" customFormat="1" ht="14.25" x14ac:dyDescent="0.2">
      <c r="A144" s="60"/>
      <c r="B144" s="1" t="s">
        <v>47</v>
      </c>
      <c r="C144" s="113">
        <v>156</v>
      </c>
      <c r="D144" s="72" t="s">
        <v>46</v>
      </c>
      <c r="E144" s="122"/>
      <c r="F144" s="122"/>
      <c r="G144" s="122"/>
      <c r="H144" s="123"/>
      <c r="I144" s="135"/>
      <c r="J144" s="123"/>
      <c r="K144" s="124"/>
      <c r="L144" s="123"/>
      <c r="M144" s="125"/>
      <c r="N144" s="131"/>
      <c r="O144" s="118"/>
      <c r="P144" s="455"/>
      <c r="Q144" s="455"/>
      <c r="R144" s="455"/>
      <c r="S144" s="455"/>
      <c r="T144" s="149"/>
      <c r="U144" s="154"/>
      <c r="V144" s="155"/>
      <c r="W144" s="136"/>
      <c r="X144" s="63"/>
      <c r="Y144" s="63"/>
      <c r="Z144" s="62"/>
      <c r="AA144" s="62"/>
      <c r="AB144" s="103"/>
      <c r="AC144" s="103"/>
    </row>
    <row r="145" spans="1:29" s="70" customFormat="1" ht="14.25" x14ac:dyDescent="0.2">
      <c r="A145" s="60"/>
      <c r="B145" s="166"/>
      <c r="C145" s="152"/>
      <c r="D145" s="153"/>
      <c r="E145" s="122"/>
      <c r="F145" s="122"/>
      <c r="G145" s="122"/>
      <c r="H145" s="123"/>
      <c r="I145" s="135"/>
      <c r="J145" s="123"/>
      <c r="K145" s="124"/>
      <c r="L145" s="123"/>
      <c r="M145" s="125"/>
      <c r="N145" s="131"/>
      <c r="O145" s="118"/>
      <c r="P145" s="455"/>
      <c r="Q145" s="455"/>
      <c r="R145" s="455"/>
      <c r="S145" s="455"/>
      <c r="T145" s="149"/>
      <c r="U145" s="154"/>
      <c r="V145" s="155"/>
      <c r="W145" s="136"/>
      <c r="X145" s="63"/>
      <c r="Y145" s="63"/>
      <c r="Z145" s="62"/>
      <c r="AA145" s="62"/>
      <c r="AB145" s="103"/>
      <c r="AC145" s="103"/>
    </row>
    <row r="146" spans="1:29" s="70" customFormat="1" ht="14.25" x14ac:dyDescent="0.2">
      <c r="A146" s="60"/>
      <c r="B146" s="151" t="s">
        <v>87</v>
      </c>
      <c r="C146" s="157" t="s">
        <v>85</v>
      </c>
      <c r="D146" s="153"/>
      <c r="E146" s="122"/>
      <c r="F146" s="122"/>
      <c r="G146" s="122"/>
      <c r="H146" s="123"/>
      <c r="I146" s="135"/>
      <c r="J146" s="123"/>
      <c r="K146" s="124"/>
      <c r="L146" s="123"/>
      <c r="M146" s="125"/>
      <c r="N146" s="131"/>
      <c r="O146" s="118"/>
      <c r="P146" s="455"/>
      <c r="Q146" s="455"/>
      <c r="R146" s="455"/>
      <c r="S146" s="455"/>
      <c r="T146" s="149"/>
      <c r="U146" s="154"/>
      <c r="V146" s="155"/>
      <c r="W146" s="136"/>
      <c r="X146" s="63"/>
      <c r="Y146" s="63"/>
      <c r="Z146" s="62"/>
      <c r="AA146" s="62"/>
      <c r="AB146" s="103"/>
      <c r="AC146" s="103"/>
    </row>
    <row r="147" spans="1:29" s="70" customFormat="1" ht="14.25" x14ac:dyDescent="0.2">
      <c r="A147" s="60"/>
      <c r="B147" s="166"/>
      <c r="C147" s="152"/>
      <c r="D147" s="153"/>
      <c r="E147" s="122"/>
      <c r="F147" s="122"/>
      <c r="G147" s="122"/>
      <c r="H147" s="123"/>
      <c r="I147" s="135"/>
      <c r="J147" s="123"/>
      <c r="K147" s="124"/>
      <c r="L147" s="123"/>
      <c r="M147" s="125"/>
      <c r="N147" s="131"/>
      <c r="O147" s="118"/>
      <c r="P147" s="455"/>
      <c r="Q147" s="455"/>
      <c r="R147" s="455"/>
      <c r="S147" s="455"/>
      <c r="T147" s="149"/>
      <c r="U147" s="154"/>
      <c r="V147" s="155"/>
      <c r="W147" s="136"/>
      <c r="X147" s="63"/>
      <c r="Y147" s="63"/>
      <c r="Z147" s="62"/>
      <c r="AA147" s="62"/>
      <c r="AB147" s="103"/>
      <c r="AC147" s="103"/>
    </row>
    <row r="148" spans="1:29" s="70" customFormat="1" ht="14.25" x14ac:dyDescent="0.2">
      <c r="A148" s="60"/>
      <c r="B148" s="165" t="s">
        <v>58</v>
      </c>
      <c r="C148" s="152"/>
      <c r="D148" s="153"/>
      <c r="E148" s="122"/>
      <c r="F148" s="122"/>
      <c r="G148" s="122"/>
      <c r="H148" s="123"/>
      <c r="I148" s="135"/>
      <c r="J148" s="123"/>
      <c r="K148" s="124"/>
      <c r="L148" s="123"/>
      <c r="M148" s="125"/>
      <c r="N148" s="131"/>
      <c r="O148" s="118"/>
      <c r="P148" s="455"/>
      <c r="Q148" s="455"/>
      <c r="R148" s="455"/>
      <c r="S148" s="455"/>
      <c r="T148" s="149"/>
      <c r="U148" s="154"/>
      <c r="V148" s="155"/>
      <c r="W148" s="136"/>
      <c r="X148" s="63"/>
      <c r="Y148" s="63"/>
      <c r="Z148" s="62"/>
      <c r="AA148" s="62"/>
      <c r="AB148" s="103"/>
      <c r="AC148" s="103"/>
    </row>
    <row r="149" spans="1:29" s="70" customFormat="1" ht="25.5" x14ac:dyDescent="0.2">
      <c r="A149" s="60"/>
      <c r="B149" s="1" t="s">
        <v>425</v>
      </c>
      <c r="C149" s="152">
        <v>935</v>
      </c>
      <c r="D149" s="153" t="s">
        <v>45</v>
      </c>
      <c r="E149" s="122">
        <v>0.21</v>
      </c>
      <c r="F149" s="122">
        <f>C149*E149</f>
        <v>196.35</v>
      </c>
      <c r="G149" s="122">
        <f>$H$11*E149</f>
        <v>10.5</v>
      </c>
      <c r="H149" s="123">
        <f>F149*$H$11</f>
        <v>9817.5</v>
      </c>
      <c r="I149" s="135">
        <v>11.51</v>
      </c>
      <c r="J149" s="123">
        <f>C149*I149</f>
        <v>10761.85</v>
      </c>
      <c r="K149" s="124">
        <f>SUM(H149,J149)</f>
        <v>20579.349999999999</v>
      </c>
      <c r="L149" s="123">
        <f>K149/C149</f>
        <v>22.009999999999998</v>
      </c>
      <c r="M149" s="125">
        <f>C149*L149</f>
        <v>20579.349999999999</v>
      </c>
      <c r="N149" s="131">
        <v>0</v>
      </c>
      <c r="O149" s="118">
        <f>M149*N149</f>
        <v>0</v>
      </c>
      <c r="P149" s="455"/>
      <c r="Q149" s="455"/>
      <c r="R149" s="455"/>
      <c r="S149" s="455"/>
      <c r="T149" s="149"/>
      <c r="U149" s="154"/>
      <c r="V149" s="155"/>
      <c r="W149" s="136"/>
      <c r="X149" s="63"/>
      <c r="Y149" s="63"/>
      <c r="Z149" s="62"/>
      <c r="AA149" s="62"/>
      <c r="AB149" s="103"/>
      <c r="AC149" s="103"/>
    </row>
    <row r="150" spans="1:29" s="70" customFormat="1" ht="14.25" x14ac:dyDescent="0.2">
      <c r="A150" s="60"/>
      <c r="B150" s="1" t="s">
        <v>47</v>
      </c>
      <c r="C150" s="152">
        <v>240</v>
      </c>
      <c r="D150" s="153" t="s">
        <v>46</v>
      </c>
      <c r="E150" s="122">
        <v>0.1</v>
      </c>
      <c r="F150" s="122">
        <f>C150*E150</f>
        <v>24</v>
      </c>
      <c r="G150" s="122">
        <f>$H$11*E150</f>
        <v>5</v>
      </c>
      <c r="H150" s="123">
        <f>F150*$H$11</f>
        <v>1200</v>
      </c>
      <c r="I150" s="135">
        <v>2.5299999999999998</v>
      </c>
      <c r="J150" s="123">
        <f>C150*I150</f>
        <v>607.19999999999993</v>
      </c>
      <c r="K150" s="124">
        <f>SUM(H150,J150)</f>
        <v>1807.1999999999998</v>
      </c>
      <c r="L150" s="123">
        <f>K150/C150</f>
        <v>7.5299999999999994</v>
      </c>
      <c r="M150" s="125">
        <f>C150*L150</f>
        <v>1807.1999999999998</v>
      </c>
      <c r="N150" s="131">
        <v>0</v>
      </c>
      <c r="O150" s="118">
        <f>M150*N150</f>
        <v>0</v>
      </c>
      <c r="P150" s="455"/>
      <c r="Q150" s="455"/>
      <c r="R150" s="455"/>
      <c r="S150" s="455"/>
      <c r="T150" s="149"/>
      <c r="U150" s="154"/>
      <c r="V150" s="155"/>
      <c r="W150" s="136"/>
      <c r="X150" s="63"/>
      <c r="Y150" s="63"/>
      <c r="Z150" s="62"/>
      <c r="AA150" s="62"/>
      <c r="AB150" s="103"/>
      <c r="AC150" s="103"/>
    </row>
    <row r="151" spans="1:29" s="70" customFormat="1" ht="14.25" x14ac:dyDescent="0.2">
      <c r="A151" s="60"/>
      <c r="B151" s="1" t="s">
        <v>98</v>
      </c>
      <c r="C151" s="152">
        <v>19</v>
      </c>
      <c r="D151" s="153" t="s">
        <v>60</v>
      </c>
      <c r="E151" s="122">
        <v>0.75</v>
      </c>
      <c r="F151" s="122">
        <f>C151*E151</f>
        <v>14.25</v>
      </c>
      <c r="G151" s="122">
        <f>$H$11*E151</f>
        <v>37.5</v>
      </c>
      <c r="H151" s="123">
        <f>F151*$H$11</f>
        <v>712.5</v>
      </c>
      <c r="I151" s="135">
        <v>25</v>
      </c>
      <c r="J151" s="123">
        <f>C151*I151</f>
        <v>475</v>
      </c>
      <c r="K151" s="124">
        <f>SUM(H151,J151)</f>
        <v>1187.5</v>
      </c>
      <c r="L151" s="123">
        <f>K151/C151</f>
        <v>62.5</v>
      </c>
      <c r="M151" s="125">
        <f>C151*L151</f>
        <v>1187.5</v>
      </c>
      <c r="N151" s="131">
        <v>0</v>
      </c>
      <c r="O151" s="118">
        <f>M151*N151</f>
        <v>0</v>
      </c>
      <c r="P151" s="455"/>
      <c r="Q151" s="455"/>
      <c r="R151" s="455"/>
      <c r="S151" s="455"/>
      <c r="T151" s="149"/>
      <c r="U151" s="154"/>
      <c r="V151" s="155"/>
      <c r="W151" s="136"/>
      <c r="X151" s="63"/>
      <c r="Y151" s="63"/>
      <c r="Z151" s="62"/>
      <c r="AA151" s="62"/>
      <c r="AB151" s="103"/>
      <c r="AC151" s="103"/>
    </row>
    <row r="152" spans="1:29" s="70" customFormat="1" ht="25.5" x14ac:dyDescent="0.2">
      <c r="A152" s="60"/>
      <c r="B152" s="1" t="s">
        <v>426</v>
      </c>
      <c r="C152" s="152">
        <v>935</v>
      </c>
      <c r="D152" s="153" t="s">
        <v>45</v>
      </c>
      <c r="E152" s="122">
        <v>0.1</v>
      </c>
      <c r="F152" s="122">
        <f>C152*E152</f>
        <v>93.5</v>
      </c>
      <c r="G152" s="122">
        <f>$H$11*E152</f>
        <v>5</v>
      </c>
      <c r="H152" s="123">
        <f>F152*$H$11</f>
        <v>4675</v>
      </c>
      <c r="I152" s="135">
        <v>36.36</v>
      </c>
      <c r="J152" s="123">
        <f>C152*I152</f>
        <v>33996.6</v>
      </c>
      <c r="K152" s="124">
        <f>SUM(H152,J152)</f>
        <v>38671.599999999999</v>
      </c>
      <c r="L152" s="123">
        <f>K152/C152</f>
        <v>41.36</v>
      </c>
      <c r="M152" s="125">
        <f>C152*L152</f>
        <v>38671.599999999999</v>
      </c>
      <c r="N152" s="131">
        <v>0</v>
      </c>
      <c r="O152" s="118">
        <f>M152*N152</f>
        <v>0</v>
      </c>
      <c r="P152" s="455"/>
      <c r="Q152" s="455"/>
      <c r="R152" s="455"/>
      <c r="S152" s="455"/>
      <c r="T152" s="149"/>
      <c r="U152" s="154"/>
      <c r="V152" s="155"/>
      <c r="W152" s="136"/>
      <c r="X152" s="63"/>
      <c r="Y152" s="63"/>
      <c r="Z152" s="62"/>
      <c r="AA152" s="62"/>
      <c r="AB152" s="103"/>
      <c r="AC152" s="103"/>
    </row>
    <row r="153" spans="1:29" s="70" customFormat="1" ht="14.25" x14ac:dyDescent="0.2">
      <c r="A153" s="60"/>
      <c r="B153" s="1" t="s">
        <v>436</v>
      </c>
      <c r="C153" s="152">
        <v>272</v>
      </c>
      <c r="D153" s="153" t="s">
        <v>60</v>
      </c>
      <c r="E153" s="122">
        <v>0</v>
      </c>
      <c r="F153" s="122">
        <f>C153*E153</f>
        <v>0</v>
      </c>
      <c r="G153" s="122">
        <f>$H$11*E153</f>
        <v>0</v>
      </c>
      <c r="H153" s="123">
        <f>F153*$H$11</f>
        <v>0</v>
      </c>
      <c r="I153" s="135">
        <v>5.79</v>
      </c>
      <c r="J153" s="123">
        <f>C153*I153</f>
        <v>1574.88</v>
      </c>
      <c r="K153" s="124">
        <f>SUM(H153,J153)</f>
        <v>1574.88</v>
      </c>
      <c r="L153" s="123">
        <f>K153/C153</f>
        <v>5.79</v>
      </c>
      <c r="M153" s="125">
        <f>C153*L153</f>
        <v>1574.88</v>
      </c>
      <c r="N153" s="131">
        <v>0</v>
      </c>
      <c r="O153" s="118">
        <f>M153*N153</f>
        <v>0</v>
      </c>
      <c r="P153" s="455"/>
      <c r="Q153" s="455"/>
      <c r="R153" s="455"/>
      <c r="S153" s="455"/>
      <c r="T153" s="149"/>
      <c r="U153" s="154"/>
      <c r="V153" s="155"/>
      <c r="W153" s="136"/>
      <c r="X153" s="63"/>
      <c r="Y153" s="63"/>
      <c r="Z153" s="62"/>
      <c r="AA153" s="62"/>
      <c r="AB153" s="103"/>
      <c r="AC153" s="103"/>
    </row>
    <row r="154" spans="1:29" s="70" customFormat="1" ht="14.25" x14ac:dyDescent="0.2">
      <c r="A154" s="60"/>
      <c r="B154" s="1"/>
      <c r="C154" s="152"/>
      <c r="D154" s="153"/>
      <c r="E154" s="122"/>
      <c r="F154" s="122"/>
      <c r="G154" s="122"/>
      <c r="H154" s="123"/>
      <c r="I154" s="135"/>
      <c r="J154" s="123"/>
      <c r="K154" s="124"/>
      <c r="L154" s="123"/>
      <c r="M154" s="125"/>
      <c r="N154" s="131"/>
      <c r="O154" s="118"/>
      <c r="P154" s="455"/>
      <c r="Q154" s="455"/>
      <c r="R154" s="455"/>
      <c r="S154" s="455"/>
      <c r="T154" s="149"/>
      <c r="U154" s="154"/>
      <c r="V154" s="155"/>
      <c r="W154" s="136"/>
      <c r="X154" s="63"/>
      <c r="Y154" s="63"/>
      <c r="Z154" s="62"/>
      <c r="AA154" s="62"/>
      <c r="AB154" s="103"/>
      <c r="AC154" s="103"/>
    </row>
    <row r="155" spans="1:29" s="70" customFormat="1" ht="14.25" x14ac:dyDescent="0.2">
      <c r="A155" s="60"/>
      <c r="B155" s="151" t="s">
        <v>90</v>
      </c>
      <c r="C155" s="152">
        <v>1</v>
      </c>
      <c r="D155" s="153" t="s">
        <v>59</v>
      </c>
      <c r="E155" s="122">
        <v>0</v>
      </c>
      <c r="F155" s="122">
        <f>C155*E155</f>
        <v>0</v>
      </c>
      <c r="G155" s="122">
        <f>$H$11*E155</f>
        <v>0</v>
      </c>
      <c r="H155" s="123">
        <f>F155*$H$11</f>
        <v>0</v>
      </c>
      <c r="I155" s="135">
        <v>500</v>
      </c>
      <c r="J155" s="123">
        <f>C155*I155</f>
        <v>500</v>
      </c>
      <c r="K155" s="124">
        <f>SUM(H155,J155)</f>
        <v>500</v>
      </c>
      <c r="L155" s="123">
        <f>K155/C155</f>
        <v>500</v>
      </c>
      <c r="M155" s="125">
        <f>C155*L155</f>
        <v>500</v>
      </c>
      <c r="N155" s="131">
        <v>0</v>
      </c>
      <c r="O155" s="118">
        <f>M155*N155</f>
        <v>0</v>
      </c>
      <c r="P155" s="455"/>
      <c r="Q155" s="455"/>
      <c r="R155" s="455"/>
      <c r="S155" s="455"/>
      <c r="T155" s="149"/>
      <c r="U155" s="154"/>
      <c r="V155" s="155"/>
      <c r="W155" s="136"/>
      <c r="X155" s="63"/>
      <c r="Y155" s="63"/>
      <c r="Z155" s="62"/>
      <c r="AA155" s="62"/>
      <c r="AB155" s="103"/>
      <c r="AC155" s="103"/>
    </row>
    <row r="156" spans="1:29" s="70" customFormat="1" ht="14.25" x14ac:dyDescent="0.2">
      <c r="A156" s="60"/>
      <c r="B156" s="151"/>
      <c r="C156" s="152"/>
      <c r="D156" s="153"/>
      <c r="E156" s="122"/>
      <c r="F156" s="122"/>
      <c r="G156" s="122"/>
      <c r="H156" s="123"/>
      <c r="I156" s="135"/>
      <c r="J156" s="123"/>
      <c r="K156" s="124"/>
      <c r="L156" s="123"/>
      <c r="M156" s="125"/>
      <c r="N156" s="131"/>
      <c r="O156" s="118"/>
      <c r="P156" s="455"/>
      <c r="Q156" s="455"/>
      <c r="R156" s="455"/>
      <c r="S156" s="455"/>
      <c r="T156" s="149"/>
      <c r="U156" s="154"/>
      <c r="V156" s="155"/>
      <c r="W156" s="136"/>
      <c r="X156" s="63"/>
      <c r="Y156" s="63"/>
      <c r="Z156" s="62"/>
      <c r="AA156" s="62"/>
      <c r="AB156" s="103"/>
      <c r="AC156" s="103"/>
    </row>
    <row r="157" spans="1:29" s="70" customFormat="1" ht="14.25" x14ac:dyDescent="0.2">
      <c r="A157" s="60"/>
      <c r="B157" s="421" t="s">
        <v>489</v>
      </c>
      <c r="C157" s="157"/>
      <c r="D157" s="153"/>
      <c r="E157" s="122"/>
      <c r="F157" s="122"/>
      <c r="G157" s="122"/>
      <c r="H157" s="123"/>
      <c r="I157" s="135"/>
      <c r="J157" s="123"/>
      <c r="K157" s="124"/>
      <c r="L157" s="123"/>
      <c r="M157" s="125"/>
      <c r="N157" s="131"/>
      <c r="O157" s="118"/>
      <c r="P157" s="455"/>
      <c r="Q157" s="455"/>
      <c r="R157" s="455"/>
      <c r="S157" s="455"/>
      <c r="T157" s="149"/>
      <c r="U157" s="154"/>
      <c r="V157" s="155"/>
      <c r="W157" s="136"/>
      <c r="X157" s="63"/>
      <c r="Y157" s="63"/>
      <c r="Z157" s="62"/>
      <c r="AA157" s="62"/>
      <c r="AB157" s="103"/>
      <c r="AC157" s="103"/>
    </row>
    <row r="158" spans="1:29" s="70" customFormat="1" ht="14.25" x14ac:dyDescent="0.2">
      <c r="A158" s="60"/>
      <c r="B158" s="151"/>
      <c r="C158" s="157"/>
      <c r="D158" s="153"/>
      <c r="E158" s="122"/>
      <c r="F158" s="122"/>
      <c r="G158" s="122"/>
      <c r="H158" s="123"/>
      <c r="I158" s="135"/>
      <c r="J158" s="123"/>
      <c r="K158" s="124"/>
      <c r="L158" s="123"/>
      <c r="M158" s="125"/>
      <c r="N158" s="131"/>
      <c r="O158" s="118"/>
      <c r="P158" s="455"/>
      <c r="Q158" s="455"/>
      <c r="R158" s="455"/>
      <c r="S158" s="455"/>
      <c r="T158" s="149"/>
      <c r="U158" s="154"/>
      <c r="V158" s="155"/>
      <c r="W158" s="136"/>
      <c r="X158" s="63"/>
      <c r="Y158" s="63"/>
      <c r="Z158" s="62"/>
      <c r="AA158" s="62"/>
      <c r="AB158" s="103"/>
      <c r="AC158" s="103"/>
    </row>
    <row r="159" spans="1:29" s="70" customFormat="1" ht="14.25" x14ac:dyDescent="0.2">
      <c r="A159" s="60"/>
      <c r="B159" s="151" t="s">
        <v>455</v>
      </c>
      <c r="C159" s="152">
        <v>44</v>
      </c>
      <c r="D159" s="153" t="s">
        <v>46</v>
      </c>
      <c r="E159" s="122"/>
      <c r="F159" s="122"/>
      <c r="G159" s="122"/>
      <c r="H159" s="123"/>
      <c r="I159" s="135"/>
      <c r="J159" s="123"/>
      <c r="K159" s="124"/>
      <c r="L159" s="123"/>
      <c r="M159" s="125"/>
      <c r="N159" s="131"/>
      <c r="O159" s="118"/>
      <c r="P159" s="455"/>
      <c r="Q159" s="455"/>
      <c r="R159" s="455"/>
      <c r="S159" s="455"/>
      <c r="T159" s="149"/>
      <c r="U159" s="154"/>
      <c r="V159" s="155"/>
      <c r="W159" s="136"/>
      <c r="X159" s="63"/>
      <c r="Y159" s="63"/>
      <c r="Z159" s="62"/>
      <c r="AA159" s="62"/>
      <c r="AB159" s="103"/>
      <c r="AC159" s="103"/>
    </row>
    <row r="160" spans="1:29" s="70" customFormat="1" ht="14.25" x14ac:dyDescent="0.2">
      <c r="A160" s="60"/>
      <c r="B160" s="421" t="s">
        <v>467</v>
      </c>
      <c r="C160" s="422">
        <v>21</v>
      </c>
      <c r="D160" s="423" t="s">
        <v>46</v>
      </c>
      <c r="E160" s="122">
        <v>0.1</v>
      </c>
      <c r="F160" s="122">
        <f>C160*E160</f>
        <v>2.1</v>
      </c>
      <c r="G160" s="122">
        <f>$H$11*E160</f>
        <v>5</v>
      </c>
      <c r="H160" s="123">
        <f>F160*$H$11</f>
        <v>105</v>
      </c>
      <c r="I160" s="135">
        <v>1.32</v>
      </c>
      <c r="J160" s="123">
        <f>C160*I160</f>
        <v>27.720000000000002</v>
      </c>
      <c r="K160" s="124">
        <f>SUM(H160,J160)</f>
        <v>132.72</v>
      </c>
      <c r="L160" s="123">
        <f>K160/C160</f>
        <v>6.32</v>
      </c>
      <c r="M160" s="125">
        <f>C160*L160</f>
        <v>132.72</v>
      </c>
      <c r="N160" s="131"/>
      <c r="O160" s="118"/>
      <c r="P160" s="455"/>
      <c r="Q160" s="455"/>
      <c r="R160" s="455"/>
      <c r="S160" s="455"/>
      <c r="T160" s="149"/>
      <c r="U160" s="154"/>
      <c r="V160" s="155"/>
      <c r="W160" s="136"/>
      <c r="X160" s="63"/>
      <c r="Y160" s="63"/>
      <c r="Z160" s="62"/>
      <c r="AA160" s="62"/>
      <c r="AB160" s="103"/>
      <c r="AC160" s="103"/>
    </row>
    <row r="161" spans="1:29" s="70" customFormat="1" ht="14.25" x14ac:dyDescent="0.2">
      <c r="A161" s="60"/>
      <c r="B161" s="421" t="s">
        <v>468</v>
      </c>
      <c r="C161" s="422">
        <v>23</v>
      </c>
      <c r="D161" s="423" t="s">
        <v>46</v>
      </c>
      <c r="E161" s="122">
        <v>0.09</v>
      </c>
      <c r="F161" s="122">
        <f>C161*E161</f>
        <v>2.0699999999999998</v>
      </c>
      <c r="G161" s="122">
        <f>$H$11*E161</f>
        <v>4.5</v>
      </c>
      <c r="H161" s="123">
        <f>F161*$H$11</f>
        <v>103.49999999999999</v>
      </c>
      <c r="I161" s="135">
        <v>2.82</v>
      </c>
      <c r="J161" s="123">
        <f>C161*I161</f>
        <v>64.86</v>
      </c>
      <c r="K161" s="124">
        <f>SUM(H161,J161)</f>
        <v>168.35999999999999</v>
      </c>
      <c r="L161" s="123">
        <f>K161/C161</f>
        <v>7.3199999999999994</v>
      </c>
      <c r="M161" s="125">
        <f>C161*L161</f>
        <v>168.35999999999999</v>
      </c>
      <c r="N161" s="131"/>
      <c r="O161" s="118"/>
      <c r="P161" s="455"/>
      <c r="Q161" s="455"/>
      <c r="R161" s="455"/>
      <c r="S161" s="455"/>
      <c r="T161" s="149"/>
      <c r="U161" s="154"/>
      <c r="V161" s="155"/>
      <c r="W161" s="136"/>
      <c r="X161" s="63"/>
      <c r="Y161" s="63"/>
      <c r="Z161" s="62"/>
      <c r="AA161" s="62"/>
      <c r="AB161" s="103"/>
      <c r="AC161" s="103"/>
    </row>
    <row r="162" spans="1:29" s="70" customFormat="1" ht="14.25" x14ac:dyDescent="0.2">
      <c r="A162" s="60"/>
      <c r="C162" s="152"/>
      <c r="D162" s="151"/>
      <c r="E162" s="122"/>
      <c r="F162" s="122"/>
      <c r="G162" s="122"/>
      <c r="H162" s="123"/>
      <c r="I162" s="135"/>
      <c r="J162" s="123"/>
      <c r="K162" s="124"/>
      <c r="L162" s="123"/>
      <c r="M162" s="125"/>
      <c r="N162" s="131"/>
      <c r="O162" s="118"/>
      <c r="P162" s="455"/>
      <c r="Q162" s="455"/>
      <c r="R162" s="455"/>
      <c r="S162" s="455"/>
      <c r="T162" s="149"/>
      <c r="U162" s="154"/>
      <c r="V162" s="155"/>
      <c r="W162" s="136"/>
      <c r="X162" s="63"/>
      <c r="Y162" s="63"/>
      <c r="Z162" s="62"/>
      <c r="AA162" s="62"/>
      <c r="AB162" s="103"/>
      <c r="AC162" s="103"/>
    </row>
    <row r="163" spans="1:29" s="70" customFormat="1" ht="14.25" x14ac:dyDescent="0.2">
      <c r="A163" s="60"/>
      <c r="B163" s="151" t="s">
        <v>463</v>
      </c>
      <c r="C163" s="152">
        <v>89</v>
      </c>
      <c r="D163" s="153" t="s">
        <v>46</v>
      </c>
      <c r="E163" s="390">
        <v>0.25</v>
      </c>
      <c r="F163" s="122">
        <f>C163*E163</f>
        <v>22.25</v>
      </c>
      <c r="G163" s="122">
        <f>$H$11*E163</f>
        <v>12.5</v>
      </c>
      <c r="H163" s="123">
        <f>F163*$H$11</f>
        <v>1112.5</v>
      </c>
      <c r="I163" s="393">
        <v>27.16</v>
      </c>
      <c r="J163" s="123">
        <f>C163*I163</f>
        <v>2417.2400000000002</v>
      </c>
      <c r="K163" s="124">
        <f>SUM(H163,J163)</f>
        <v>3529.7400000000002</v>
      </c>
      <c r="L163" s="123">
        <f>K163/C163</f>
        <v>39.660000000000004</v>
      </c>
      <c r="M163" s="125">
        <f>C163*L163</f>
        <v>3529.7400000000002</v>
      </c>
      <c r="N163" s="131">
        <v>0.95</v>
      </c>
      <c r="O163" s="118">
        <f>M163*N163</f>
        <v>3353.2530000000002</v>
      </c>
      <c r="P163" s="455"/>
      <c r="Q163" s="455"/>
      <c r="R163" s="455"/>
      <c r="S163" s="455"/>
      <c r="T163" s="149"/>
      <c r="U163" s="154"/>
      <c r="V163" s="155"/>
      <c r="W163" s="136"/>
      <c r="X163" s="63"/>
      <c r="Y163" s="63"/>
      <c r="Z163" s="62"/>
      <c r="AA163" s="62"/>
      <c r="AB163" s="103"/>
      <c r="AC163" s="103"/>
    </row>
    <row r="164" spans="1:29" s="70" customFormat="1" ht="14.25" x14ac:dyDescent="0.2">
      <c r="A164" s="60"/>
      <c r="B164" s="421" t="s">
        <v>466</v>
      </c>
      <c r="C164" s="424">
        <f>C163/1.5</f>
        <v>59.333333333333336</v>
      </c>
      <c r="D164" s="423" t="s">
        <v>60</v>
      </c>
      <c r="E164" s="390">
        <v>0.09</v>
      </c>
      <c r="F164" s="122">
        <f>C164*E164</f>
        <v>5.34</v>
      </c>
      <c r="G164" s="122">
        <f>$H$11*E164</f>
        <v>4.5</v>
      </c>
      <c r="H164" s="123">
        <f>F164*$H$11</f>
        <v>267</v>
      </c>
      <c r="I164" s="393">
        <v>5.28</v>
      </c>
      <c r="J164" s="123">
        <f>C164*I164</f>
        <v>313.28000000000003</v>
      </c>
      <c r="K164" s="124">
        <f>SUM(H164,J164)</f>
        <v>580.28</v>
      </c>
      <c r="L164" s="123">
        <f>K164/C164</f>
        <v>9.7799999999999994</v>
      </c>
      <c r="M164" s="125">
        <f>C164*L164</f>
        <v>580.28</v>
      </c>
      <c r="N164" s="131">
        <v>0.95</v>
      </c>
      <c r="O164" s="118">
        <f>M164*N164</f>
        <v>551.26599999999996</v>
      </c>
      <c r="P164" s="455"/>
      <c r="Q164" s="455"/>
      <c r="R164" s="455"/>
      <c r="S164" s="455"/>
      <c r="T164" s="149"/>
      <c r="U164" s="154"/>
      <c r="V164" s="155"/>
      <c r="W164" s="136"/>
      <c r="X164" s="63"/>
      <c r="Y164" s="63"/>
      <c r="Z164" s="62"/>
      <c r="AA164" s="62"/>
      <c r="AB164" s="103"/>
      <c r="AC164" s="103"/>
    </row>
    <row r="165" spans="1:29" s="70" customFormat="1" ht="14.25" x14ac:dyDescent="0.2">
      <c r="A165" s="60"/>
      <c r="B165" s="421" t="s">
        <v>504</v>
      </c>
      <c r="C165" s="424">
        <f>C163/1.8</f>
        <v>49.444444444444443</v>
      </c>
      <c r="D165" s="423" t="s">
        <v>60</v>
      </c>
      <c r="E165" s="390">
        <v>0</v>
      </c>
      <c r="F165" s="122">
        <f>C165*E165</f>
        <v>0</v>
      </c>
      <c r="G165" s="122">
        <f>$H$11*E165</f>
        <v>0</v>
      </c>
      <c r="H165" s="123">
        <f>F165*$H$11</f>
        <v>0</v>
      </c>
      <c r="I165" s="393">
        <v>5.28</v>
      </c>
      <c r="J165" s="123">
        <f>C165*I165</f>
        <v>261.06666666666666</v>
      </c>
      <c r="K165" s="124">
        <f>SUM(H165,J165)</f>
        <v>261.06666666666666</v>
      </c>
      <c r="L165" s="123">
        <f>K165/C165</f>
        <v>5.28</v>
      </c>
      <c r="M165" s="125">
        <f>C165*L165</f>
        <v>261.06666666666666</v>
      </c>
      <c r="N165" s="131">
        <v>0.95</v>
      </c>
      <c r="O165" s="118">
        <f>M165*N165</f>
        <v>248.01333333333332</v>
      </c>
      <c r="P165" s="455"/>
      <c r="Q165" s="455"/>
      <c r="R165" s="455"/>
      <c r="S165" s="455"/>
      <c r="T165" s="149"/>
      <c r="U165" s="154"/>
      <c r="V165" s="155"/>
      <c r="W165" s="136"/>
      <c r="X165" s="63"/>
      <c r="Y165" s="63"/>
      <c r="Z165" s="62"/>
      <c r="AA165" s="62"/>
      <c r="AB165" s="103"/>
      <c r="AC165" s="103"/>
    </row>
    <row r="166" spans="1:29" s="70" customFormat="1" ht="14.25" x14ac:dyDescent="0.2">
      <c r="A166" s="60"/>
      <c r="B166" s="421" t="s">
        <v>457</v>
      </c>
      <c r="C166" s="422">
        <v>50</v>
      </c>
      <c r="D166" s="423" t="s">
        <v>60</v>
      </c>
      <c r="E166" s="310">
        <v>0.25</v>
      </c>
      <c r="F166" s="122">
        <f>C166*E166</f>
        <v>12.5</v>
      </c>
      <c r="G166" s="122">
        <f>$H$11*E166</f>
        <v>12.5</v>
      </c>
      <c r="H166" s="123">
        <f>F166*$H$11</f>
        <v>625</v>
      </c>
      <c r="I166" s="135">
        <v>17.05</v>
      </c>
      <c r="J166" s="123">
        <f>C166*I166</f>
        <v>852.5</v>
      </c>
      <c r="K166" s="124">
        <f>SUM(H166,J166)</f>
        <v>1477.5</v>
      </c>
      <c r="L166" s="123">
        <f>K166/C166</f>
        <v>29.55</v>
      </c>
      <c r="M166" s="125">
        <f>C166*L166</f>
        <v>1477.5</v>
      </c>
      <c r="N166" s="131">
        <v>0.95</v>
      </c>
      <c r="O166" s="118">
        <f>M166*N166</f>
        <v>1403.625</v>
      </c>
      <c r="P166" s="455"/>
      <c r="Q166" s="455"/>
      <c r="R166" s="455"/>
      <c r="S166" s="455"/>
      <c r="T166" s="149"/>
      <c r="U166" s="154"/>
      <c r="V166" s="155"/>
      <c r="W166" s="136"/>
      <c r="X166" s="63"/>
      <c r="Y166" s="63"/>
      <c r="Z166" s="62"/>
      <c r="AA166" s="62"/>
      <c r="AB166" s="103"/>
      <c r="AC166" s="103"/>
    </row>
    <row r="167" spans="1:29" s="70" customFormat="1" ht="14.25" x14ac:dyDescent="0.2">
      <c r="A167" s="60"/>
      <c r="B167" s="421" t="s">
        <v>458</v>
      </c>
      <c r="C167" s="422">
        <v>50</v>
      </c>
      <c r="D167" s="423" t="s">
        <v>60</v>
      </c>
      <c r="E167" s="122">
        <v>0.12</v>
      </c>
      <c r="F167" s="122">
        <f>C167*E167</f>
        <v>6</v>
      </c>
      <c r="G167" s="122">
        <f>$H$11*E167</f>
        <v>6</v>
      </c>
      <c r="H167" s="123">
        <f>F167*$H$11</f>
        <v>300</v>
      </c>
      <c r="I167" s="135">
        <v>8.06</v>
      </c>
      <c r="J167" s="123">
        <f>C167*I167</f>
        <v>403</v>
      </c>
      <c r="K167" s="124">
        <f>SUM(H167,J167)</f>
        <v>703</v>
      </c>
      <c r="L167" s="123">
        <f>K167/C167</f>
        <v>14.06</v>
      </c>
      <c r="M167" s="125">
        <f>C167*L167</f>
        <v>703</v>
      </c>
      <c r="N167" s="131">
        <v>0.95</v>
      </c>
      <c r="O167" s="118">
        <f>M167*N167</f>
        <v>667.85</v>
      </c>
      <c r="P167" s="455"/>
      <c r="Q167" s="455"/>
      <c r="R167" s="455"/>
      <c r="S167" s="455"/>
      <c r="T167" s="149"/>
      <c r="U167" s="154"/>
      <c r="V167" s="155"/>
      <c r="W167" s="136"/>
      <c r="X167" s="63"/>
      <c r="Y167" s="63"/>
      <c r="Z167" s="62"/>
      <c r="AA167" s="62"/>
      <c r="AB167" s="103"/>
      <c r="AC167" s="103"/>
    </row>
    <row r="168" spans="1:29" s="70" customFormat="1" ht="14.25" x14ac:dyDescent="0.2">
      <c r="A168" s="60"/>
      <c r="B168" s="166"/>
      <c r="C168" s="152"/>
      <c r="D168" s="153"/>
      <c r="E168" s="122"/>
      <c r="F168" s="122"/>
      <c r="G168" s="122"/>
      <c r="H168" s="123"/>
      <c r="I168" s="135"/>
      <c r="J168" s="123"/>
      <c r="K168" s="124"/>
      <c r="L168" s="123"/>
      <c r="M168" s="125"/>
      <c r="N168" s="131"/>
      <c r="O168" s="118"/>
      <c r="P168" s="455"/>
      <c r="Q168" s="455"/>
      <c r="R168" s="455"/>
      <c r="S168" s="455"/>
      <c r="T168" s="149"/>
      <c r="U168" s="154"/>
      <c r="V168" s="155"/>
      <c r="W168" s="136"/>
      <c r="X168" s="63"/>
      <c r="Y168" s="63"/>
      <c r="Z168" s="62"/>
      <c r="AA168" s="62"/>
      <c r="AB168" s="103"/>
      <c r="AC168" s="103"/>
    </row>
    <row r="169" spans="1:29" s="70" customFormat="1" ht="14.25" x14ac:dyDescent="0.2">
      <c r="A169" s="60"/>
      <c r="B169" s="166" t="s">
        <v>57</v>
      </c>
      <c r="C169" s="152"/>
      <c r="D169" s="153"/>
      <c r="E169" s="122"/>
      <c r="F169" s="122"/>
      <c r="G169" s="122"/>
      <c r="H169" s="123"/>
      <c r="I169" s="135"/>
      <c r="J169" s="123"/>
      <c r="K169" s="124"/>
      <c r="L169" s="123"/>
      <c r="M169" s="125"/>
      <c r="N169" s="131"/>
      <c r="O169" s="118"/>
      <c r="P169" s="455"/>
      <c r="Q169" s="455"/>
      <c r="R169" s="455"/>
      <c r="S169" s="455"/>
      <c r="T169" s="149"/>
      <c r="U169" s="154"/>
      <c r="V169" s="155"/>
      <c r="W169" s="136"/>
      <c r="X169" s="63"/>
      <c r="Y169" s="63"/>
      <c r="Z169" s="62"/>
      <c r="AA169" s="62"/>
      <c r="AB169" s="103"/>
      <c r="AC169" s="103"/>
    </row>
    <row r="170" spans="1:29" s="70" customFormat="1" ht="14.25" x14ac:dyDescent="0.2">
      <c r="A170" s="60"/>
      <c r="B170" s="1" t="s">
        <v>88</v>
      </c>
      <c r="C170" s="157" t="s">
        <v>85</v>
      </c>
      <c r="D170" s="72"/>
      <c r="E170" s="122"/>
      <c r="F170" s="122"/>
      <c r="G170" s="122"/>
      <c r="H170" s="123"/>
      <c r="I170" s="135"/>
      <c r="J170" s="123"/>
      <c r="K170" s="124"/>
      <c r="L170" s="123"/>
      <c r="M170" s="125"/>
      <c r="N170" s="131"/>
      <c r="O170" s="118"/>
      <c r="P170" s="455"/>
      <c r="Q170" s="455"/>
      <c r="R170" s="455"/>
      <c r="S170" s="455"/>
      <c r="T170" s="149"/>
      <c r="U170" s="154"/>
      <c r="V170" s="155"/>
      <c r="W170" s="136"/>
      <c r="X170" s="63"/>
      <c r="Y170" s="63"/>
      <c r="Z170" s="62"/>
      <c r="AA170" s="62"/>
      <c r="AB170" s="103"/>
      <c r="AC170" s="103"/>
    </row>
    <row r="171" spans="1:29" s="70" customFormat="1" ht="14.25" x14ac:dyDescent="0.2">
      <c r="A171" s="60"/>
      <c r="B171" s="1"/>
      <c r="C171" s="152"/>
      <c r="D171" s="153"/>
      <c r="E171" s="122"/>
      <c r="F171" s="122"/>
      <c r="G171" s="122"/>
      <c r="H171" s="123"/>
      <c r="I171" s="135"/>
      <c r="J171" s="123"/>
      <c r="K171" s="124"/>
      <c r="L171" s="123"/>
      <c r="M171" s="125"/>
      <c r="N171" s="131"/>
      <c r="O171" s="118"/>
      <c r="P171" s="455"/>
      <c r="Q171" s="455"/>
      <c r="R171" s="455"/>
      <c r="S171" s="455"/>
      <c r="T171" s="149"/>
      <c r="U171" s="154"/>
      <c r="V171" s="155"/>
      <c r="W171" s="136"/>
      <c r="X171" s="63"/>
      <c r="Y171" s="63"/>
      <c r="Z171" s="62"/>
      <c r="AA171" s="62"/>
      <c r="AB171" s="103"/>
      <c r="AC171" s="103"/>
    </row>
    <row r="172" spans="1:29" s="70" customFormat="1" ht="14.25" x14ac:dyDescent="0.2">
      <c r="A172" s="60"/>
      <c r="B172" s="166" t="s">
        <v>75</v>
      </c>
      <c r="C172" s="152"/>
      <c r="D172" s="153"/>
      <c r="E172" s="122"/>
      <c r="F172" s="122"/>
      <c r="G172" s="122"/>
      <c r="H172" s="123"/>
      <c r="I172" s="135"/>
      <c r="J172" s="123"/>
      <c r="K172" s="124"/>
      <c r="L172" s="123"/>
      <c r="M172" s="125"/>
      <c r="N172" s="131"/>
      <c r="O172" s="118"/>
      <c r="P172" s="455"/>
      <c r="Q172" s="455"/>
      <c r="R172" s="455"/>
      <c r="S172" s="455"/>
      <c r="T172" s="149"/>
      <c r="U172" s="154"/>
      <c r="V172" s="155"/>
      <c r="W172" s="136"/>
      <c r="X172" s="63"/>
      <c r="Y172" s="63"/>
      <c r="Z172" s="62"/>
      <c r="AA172" s="62"/>
      <c r="AB172" s="103"/>
      <c r="AC172" s="103"/>
    </row>
    <row r="173" spans="1:29" s="70" customFormat="1" ht="14.25" x14ac:dyDescent="0.2">
      <c r="A173" s="60"/>
      <c r="B173" s="151" t="s">
        <v>91</v>
      </c>
      <c r="C173" s="152">
        <v>116</v>
      </c>
      <c r="D173" s="153" t="s">
        <v>46</v>
      </c>
      <c r="E173" s="122">
        <f>$X$125</f>
        <v>0.3</v>
      </c>
      <c r="F173" s="122">
        <f>C173*E173</f>
        <v>34.799999999999997</v>
      </c>
      <c r="G173" s="122">
        <f>$H$11*E173</f>
        <v>15</v>
      </c>
      <c r="H173" s="123">
        <f>F173*$H$11</f>
        <v>1739.9999999999998</v>
      </c>
      <c r="I173" s="135">
        <v>122.5</v>
      </c>
      <c r="J173" s="123">
        <f>C173*I173</f>
        <v>14210</v>
      </c>
      <c r="K173" s="124">
        <f>SUM(H173,J173)</f>
        <v>15950</v>
      </c>
      <c r="L173" s="123">
        <f>K173/C173</f>
        <v>137.5</v>
      </c>
      <c r="M173" s="125">
        <f>C173*L173</f>
        <v>15950</v>
      </c>
      <c r="N173" s="131">
        <v>0</v>
      </c>
      <c r="O173" s="118">
        <f>M173*N173</f>
        <v>0</v>
      </c>
      <c r="P173" s="455"/>
      <c r="Q173" s="455">
        <f>SUM(M143:M177)</f>
        <v>99630.013333333336</v>
      </c>
      <c r="R173" s="465">
        <f>Q167/Q173</f>
        <v>0</v>
      </c>
      <c r="S173" s="455"/>
      <c r="T173" s="149"/>
      <c r="U173" s="154"/>
      <c r="V173" s="155"/>
      <c r="W173" s="136"/>
      <c r="X173" s="63"/>
      <c r="Y173" s="63"/>
      <c r="Z173" s="62"/>
      <c r="AA173" s="62"/>
      <c r="AB173" s="103"/>
      <c r="AC173" s="103"/>
    </row>
    <row r="174" spans="1:29" s="70" customFormat="1" ht="14.25" x14ac:dyDescent="0.2">
      <c r="A174" s="60"/>
      <c r="B174" s="151" t="s">
        <v>93</v>
      </c>
      <c r="C174" s="152">
        <v>116</v>
      </c>
      <c r="D174" s="153" t="s">
        <v>46</v>
      </c>
      <c r="E174" s="390">
        <v>0.32</v>
      </c>
      <c r="F174" s="122">
        <f>C174*E174</f>
        <v>37.119999999999997</v>
      </c>
      <c r="G174" s="122">
        <f>$H$11*E174</f>
        <v>16</v>
      </c>
      <c r="H174" s="123">
        <f>F174*$H$11</f>
        <v>1855.9999999999998</v>
      </c>
      <c r="I174" s="393">
        <v>40</v>
      </c>
      <c r="J174" s="123">
        <f>C174*I174</f>
        <v>4640</v>
      </c>
      <c r="K174" s="124">
        <f>SUM(H174,J174)</f>
        <v>6496</v>
      </c>
      <c r="L174" s="123">
        <f>K174/C174</f>
        <v>56</v>
      </c>
      <c r="M174" s="125">
        <f>C174*L174</f>
        <v>6496</v>
      </c>
      <c r="N174" s="131">
        <v>0</v>
      </c>
      <c r="O174" s="118">
        <f>M174*N174</f>
        <v>0</v>
      </c>
      <c r="P174" s="455"/>
      <c r="Q174" s="455"/>
      <c r="R174" s="455"/>
      <c r="S174" s="455"/>
      <c r="T174" s="149"/>
      <c r="U174" s="154"/>
      <c r="V174" s="155"/>
      <c r="W174" s="136"/>
      <c r="X174" s="63"/>
      <c r="Y174" s="63"/>
      <c r="Z174" s="62"/>
      <c r="AA174" s="62"/>
      <c r="AB174" s="103"/>
      <c r="AC174" s="103"/>
    </row>
    <row r="175" spans="1:29" s="70" customFormat="1" ht="14.25" x14ac:dyDescent="0.2">
      <c r="A175" s="60"/>
      <c r="B175" s="151" t="s">
        <v>504</v>
      </c>
      <c r="C175" s="446">
        <f>C173/1.8</f>
        <v>64.444444444444443</v>
      </c>
      <c r="D175" s="153" t="s">
        <v>60</v>
      </c>
      <c r="E175" s="390">
        <v>0</v>
      </c>
      <c r="F175" s="122">
        <f>C175*E175</f>
        <v>0</v>
      </c>
      <c r="G175" s="122">
        <f>$H$11*E175</f>
        <v>0</v>
      </c>
      <c r="H175" s="123">
        <f>F175*$H$11</f>
        <v>0</v>
      </c>
      <c r="I175" s="393">
        <v>5.28</v>
      </c>
      <c r="J175" s="123">
        <f>C175*I175</f>
        <v>340.26666666666665</v>
      </c>
      <c r="K175" s="124">
        <f>SUM(H175,J175)</f>
        <v>340.26666666666665</v>
      </c>
      <c r="L175" s="123">
        <f>K175/C175</f>
        <v>5.28</v>
      </c>
      <c r="M175" s="125">
        <f>C175*L175</f>
        <v>340.26666666666665</v>
      </c>
      <c r="N175" s="131">
        <v>0</v>
      </c>
      <c r="O175" s="118">
        <f>M175*N175</f>
        <v>0</v>
      </c>
      <c r="P175" s="455"/>
      <c r="Q175" s="455"/>
      <c r="R175" s="455"/>
      <c r="S175" s="455"/>
      <c r="T175" s="149"/>
      <c r="U175" s="154"/>
      <c r="V175" s="155"/>
      <c r="W175" s="136"/>
      <c r="X175" s="63"/>
      <c r="Y175" s="63"/>
      <c r="Z175" s="62"/>
      <c r="AA175" s="62"/>
      <c r="AB175" s="103"/>
      <c r="AC175" s="103"/>
    </row>
    <row r="176" spans="1:29" s="70" customFormat="1" ht="14.25" x14ac:dyDescent="0.2">
      <c r="A176" s="60"/>
      <c r="B176" s="146" t="s">
        <v>371</v>
      </c>
      <c r="C176" s="152">
        <v>65</v>
      </c>
      <c r="D176" s="153" t="s">
        <v>60</v>
      </c>
      <c r="E176" s="310">
        <v>0.25</v>
      </c>
      <c r="F176" s="122">
        <f>C176*E176</f>
        <v>16.25</v>
      </c>
      <c r="G176" s="122">
        <f>$H$11*E176</f>
        <v>12.5</v>
      </c>
      <c r="H176" s="123">
        <f>F176*$H$11</f>
        <v>812.5</v>
      </c>
      <c r="I176" s="135">
        <v>17.05</v>
      </c>
      <c r="J176" s="123">
        <f>C176*I176</f>
        <v>1108.25</v>
      </c>
      <c r="K176" s="124">
        <f>SUM(H176,J176)</f>
        <v>1920.75</v>
      </c>
      <c r="L176" s="123">
        <f>K176/C176</f>
        <v>29.55</v>
      </c>
      <c r="M176" s="125">
        <f>C176*L176</f>
        <v>1920.75</v>
      </c>
      <c r="N176" s="131">
        <v>0</v>
      </c>
      <c r="O176" s="118">
        <f>M176*N176</f>
        <v>0</v>
      </c>
      <c r="P176" s="455"/>
      <c r="Q176" s="455"/>
      <c r="R176" s="455"/>
      <c r="S176" s="455"/>
      <c r="T176" s="149"/>
      <c r="U176" s="154"/>
      <c r="V176" s="155"/>
      <c r="W176" s="136"/>
      <c r="X176" s="63"/>
      <c r="Y176" s="63"/>
      <c r="Z176" s="62"/>
      <c r="AA176" s="62"/>
      <c r="AB176" s="103"/>
      <c r="AC176" s="103"/>
    </row>
    <row r="177" spans="1:29" s="70" customFormat="1" ht="14.25" x14ac:dyDescent="0.2">
      <c r="A177" s="60"/>
      <c r="B177" s="146" t="s">
        <v>372</v>
      </c>
      <c r="C177" s="152">
        <v>65</v>
      </c>
      <c r="D177" s="153" t="s">
        <v>60</v>
      </c>
      <c r="E177" s="122">
        <v>0.12</v>
      </c>
      <c r="F177" s="122">
        <f>C177*E177</f>
        <v>7.8</v>
      </c>
      <c r="G177" s="122">
        <f>$H$11*E177</f>
        <v>6</v>
      </c>
      <c r="H177" s="123">
        <f>F177*$H$11</f>
        <v>390</v>
      </c>
      <c r="I177" s="135">
        <v>8.06</v>
      </c>
      <c r="J177" s="123">
        <f>C177*I177</f>
        <v>523.9</v>
      </c>
      <c r="K177" s="124">
        <f>SUM(H177,J177)</f>
        <v>913.9</v>
      </c>
      <c r="L177" s="123">
        <f>K177/C177</f>
        <v>14.06</v>
      </c>
      <c r="M177" s="125">
        <f>C177*L177</f>
        <v>913.9</v>
      </c>
      <c r="N177" s="131">
        <v>0</v>
      </c>
      <c r="O177" s="118">
        <f>M177*N177</f>
        <v>0</v>
      </c>
      <c r="P177" s="455"/>
      <c r="Q177" s="455"/>
      <c r="R177" s="455"/>
      <c r="S177" s="455"/>
      <c r="T177" s="149">
        <f>SUM(M174:M177)</f>
        <v>9670.9166666666661</v>
      </c>
      <c r="U177" s="154"/>
      <c r="V177" s="155"/>
      <c r="W177" s="136"/>
      <c r="X177" s="63"/>
      <c r="Y177" s="63"/>
      <c r="Z177" s="62"/>
      <c r="AA177" s="62"/>
      <c r="AB177" s="103"/>
      <c r="AC177" s="103"/>
    </row>
    <row r="178" spans="1:29" s="70" customFormat="1" ht="14.25" x14ac:dyDescent="0.2">
      <c r="A178" s="60"/>
      <c r="B178" s="166"/>
      <c r="C178" s="152"/>
      <c r="D178" s="153"/>
      <c r="E178" s="122"/>
      <c r="F178" s="122"/>
      <c r="G178" s="122"/>
      <c r="H178" s="123"/>
      <c r="I178" s="135"/>
      <c r="J178" s="123"/>
      <c r="K178" s="124"/>
      <c r="L178" s="123"/>
      <c r="M178" s="125"/>
      <c r="N178" s="131"/>
      <c r="O178" s="118"/>
      <c r="P178" s="452">
        <f>SUM(M143:M177)+R384</f>
        <v>101293.54682496043</v>
      </c>
      <c r="Q178" s="450">
        <f>P178*SUM($L$357:$L$363)</f>
        <v>9622.8869483712406</v>
      </c>
      <c r="R178" s="266"/>
      <c r="S178" s="266"/>
      <c r="T178" s="149"/>
      <c r="U178" s="154"/>
      <c r="V178" s="155"/>
      <c r="W178" s="136"/>
      <c r="X178" s="63"/>
      <c r="Y178" s="63"/>
      <c r="Z178" s="62"/>
      <c r="AA178" s="62"/>
      <c r="AB178" s="103"/>
      <c r="AC178" s="103"/>
    </row>
    <row r="179" spans="1:29" s="70" customFormat="1" ht="14.25" x14ac:dyDescent="0.2">
      <c r="A179" s="60"/>
      <c r="B179" s="166"/>
      <c r="C179" s="152"/>
      <c r="D179" s="153"/>
      <c r="E179" s="122"/>
      <c r="F179" s="122"/>
      <c r="G179" s="122"/>
      <c r="H179" s="123"/>
      <c r="I179" s="135"/>
      <c r="J179" s="123"/>
      <c r="K179" s="124"/>
      <c r="L179" s="123"/>
      <c r="M179" s="125"/>
      <c r="N179" s="131"/>
      <c r="O179" s="118"/>
      <c r="P179" s="451">
        <f>P178/$M$354</f>
        <v>0.19266627799250757</v>
      </c>
      <c r="Q179" s="452">
        <f>P179*$M$365</f>
        <v>1216.1579540910534</v>
      </c>
      <c r="R179" s="452">
        <f>SUM(P178,Q178,Q179)</f>
        <v>112132.59172742272</v>
      </c>
      <c r="S179" s="452">
        <f>R179*1.08</f>
        <v>121103.19906561656</v>
      </c>
      <c r="T179" s="149"/>
      <c r="U179" s="154"/>
      <c r="V179" s="155"/>
      <c r="W179" s="136"/>
      <c r="X179" s="63"/>
      <c r="Y179" s="63"/>
      <c r="Z179" s="62"/>
      <c r="AA179" s="62"/>
      <c r="AB179" s="103"/>
      <c r="AC179" s="103"/>
    </row>
    <row r="180" spans="1:29" s="70" customFormat="1" ht="14.25" x14ac:dyDescent="0.2">
      <c r="A180" s="60"/>
      <c r="B180" s="166"/>
      <c r="C180" s="152"/>
      <c r="D180" s="153"/>
      <c r="E180" s="122"/>
      <c r="F180" s="122"/>
      <c r="G180" s="122"/>
      <c r="H180" s="123"/>
      <c r="I180" s="135"/>
      <c r="J180" s="123"/>
      <c r="K180" s="124"/>
      <c r="L180" s="123"/>
      <c r="M180" s="125"/>
      <c r="N180" s="131"/>
      <c r="O180" s="118"/>
      <c r="P180" s="455"/>
      <c r="Q180" s="455"/>
      <c r="R180" s="455"/>
      <c r="S180" s="455"/>
      <c r="T180" s="149"/>
      <c r="U180" s="154"/>
      <c r="V180" s="155"/>
      <c r="W180" s="136"/>
      <c r="X180" s="63"/>
      <c r="Y180" s="63"/>
      <c r="Z180" s="62"/>
      <c r="AA180" s="62"/>
      <c r="AB180" s="103"/>
      <c r="AC180" s="103"/>
    </row>
    <row r="181" spans="1:29" s="70" customFormat="1" ht="15" x14ac:dyDescent="0.2">
      <c r="A181" s="60"/>
      <c r="B181" s="169" t="s">
        <v>69</v>
      </c>
      <c r="C181" s="152"/>
      <c r="D181" s="153"/>
      <c r="E181" s="122"/>
      <c r="F181" s="122"/>
      <c r="G181" s="122"/>
      <c r="H181" s="123"/>
      <c r="I181" s="135"/>
      <c r="J181" s="123"/>
      <c r="K181" s="124"/>
      <c r="L181" s="123"/>
      <c r="M181" s="125"/>
      <c r="N181" s="131"/>
      <c r="O181" s="118"/>
      <c r="P181" s="455"/>
      <c r="Q181" s="455"/>
      <c r="R181" s="455"/>
      <c r="S181" s="455"/>
      <c r="T181" s="149"/>
      <c r="U181" s="154"/>
      <c r="V181" s="155"/>
      <c r="W181" s="136"/>
      <c r="X181" s="63"/>
      <c r="Y181" s="63"/>
      <c r="Z181" s="62"/>
      <c r="AA181" s="62"/>
      <c r="AB181" s="103"/>
      <c r="AC181" s="103"/>
    </row>
    <row r="182" spans="1:29" s="70" customFormat="1" ht="14.25" x14ac:dyDescent="0.2">
      <c r="A182" s="60"/>
      <c r="B182" s="165" t="s">
        <v>56</v>
      </c>
      <c r="C182" s="152"/>
      <c r="D182" s="153"/>
      <c r="E182" s="122"/>
      <c r="F182" s="122"/>
      <c r="G182" s="122"/>
      <c r="H182" s="123"/>
      <c r="I182" s="135"/>
      <c r="J182" s="123"/>
      <c r="K182" s="124"/>
      <c r="L182" s="123"/>
      <c r="M182" s="125"/>
      <c r="N182" s="131"/>
      <c r="O182" s="118"/>
      <c r="P182" s="455"/>
      <c r="Q182" s="455"/>
      <c r="R182" s="455"/>
      <c r="S182" s="455"/>
      <c r="T182" s="149"/>
      <c r="U182" s="154"/>
      <c r="V182" s="155"/>
      <c r="W182" s="136"/>
      <c r="X182" s="63"/>
      <c r="Y182" s="63"/>
      <c r="Z182" s="62"/>
      <c r="AA182" s="62"/>
      <c r="AB182" s="103"/>
      <c r="AC182" s="103"/>
    </row>
    <row r="183" spans="1:29" s="70" customFormat="1" ht="14.25" x14ac:dyDescent="0.2">
      <c r="A183" s="60"/>
      <c r="B183" s="146" t="s">
        <v>76</v>
      </c>
      <c r="C183" s="61">
        <v>58</v>
      </c>
      <c r="D183" s="72" t="s">
        <v>45</v>
      </c>
      <c r="E183" s="122">
        <v>0.32</v>
      </c>
      <c r="F183" s="122">
        <f>C183*E183</f>
        <v>18.559999999999999</v>
      </c>
      <c r="G183" s="122">
        <f>$H$11*E183</f>
        <v>16</v>
      </c>
      <c r="H183" s="123">
        <f>F183*$H$11</f>
        <v>927.99999999999989</v>
      </c>
      <c r="I183" s="135">
        <v>15.51</v>
      </c>
      <c r="J183" s="123">
        <f>C183*I183</f>
        <v>899.58</v>
      </c>
      <c r="K183" s="124">
        <f>SUM(H183,J183)</f>
        <v>1827.58</v>
      </c>
      <c r="L183" s="123">
        <f>K183/C183</f>
        <v>31.509999999999998</v>
      </c>
      <c r="M183" s="125">
        <f>C183*L183</f>
        <v>1827.58</v>
      </c>
      <c r="N183" s="131">
        <v>0</v>
      </c>
      <c r="O183" s="118">
        <f>M183*N183</f>
        <v>0</v>
      </c>
      <c r="P183" s="455"/>
      <c r="Q183" s="455"/>
      <c r="R183" s="455"/>
      <c r="S183" s="455"/>
      <c r="T183" s="149"/>
      <c r="U183" s="154"/>
      <c r="V183" s="155"/>
      <c r="W183" s="136"/>
      <c r="X183" s="63"/>
      <c r="Y183" s="63"/>
      <c r="Z183" s="62"/>
      <c r="AA183" s="62"/>
      <c r="AB183" s="103"/>
      <c r="AC183" s="103"/>
    </row>
    <row r="184" spans="1:29" s="70" customFormat="1" ht="14.25" x14ac:dyDescent="0.2">
      <c r="A184" s="60"/>
      <c r="B184" s="1" t="s">
        <v>47</v>
      </c>
      <c r="C184" s="113">
        <v>127</v>
      </c>
      <c r="D184" s="72" t="s">
        <v>46</v>
      </c>
      <c r="E184" s="122"/>
      <c r="F184" s="122"/>
      <c r="G184" s="122"/>
      <c r="H184" s="123"/>
      <c r="I184" s="135"/>
      <c r="J184" s="123"/>
      <c r="K184" s="124"/>
      <c r="L184" s="123"/>
      <c r="M184" s="125"/>
      <c r="N184" s="131"/>
      <c r="O184" s="118"/>
      <c r="P184" s="455"/>
      <c r="Q184" s="455"/>
      <c r="R184" s="455"/>
      <c r="S184" s="455"/>
      <c r="T184" s="149"/>
      <c r="U184" s="154"/>
      <c r="V184" s="155"/>
      <c r="W184" s="136"/>
      <c r="X184" s="63"/>
      <c r="Y184" s="63"/>
      <c r="Z184" s="62"/>
      <c r="AA184" s="62"/>
      <c r="AB184" s="103"/>
      <c r="AC184" s="103"/>
    </row>
    <row r="185" spans="1:29" s="70" customFormat="1" ht="14.25" x14ac:dyDescent="0.2">
      <c r="A185" s="60"/>
      <c r="B185" s="1"/>
      <c r="C185" s="152"/>
      <c r="D185" s="153"/>
      <c r="E185" s="122"/>
      <c r="F185" s="122"/>
      <c r="G185" s="122"/>
      <c r="H185" s="123"/>
      <c r="I185" s="135"/>
      <c r="J185" s="123"/>
      <c r="K185" s="124"/>
      <c r="L185" s="123"/>
      <c r="M185" s="125"/>
      <c r="N185" s="131"/>
      <c r="O185" s="118"/>
      <c r="P185" s="455"/>
      <c r="Q185" s="455"/>
      <c r="R185" s="455"/>
      <c r="S185" s="455"/>
      <c r="T185" s="149"/>
      <c r="U185" s="154"/>
      <c r="V185" s="155"/>
      <c r="W185" s="136"/>
      <c r="X185" s="63"/>
      <c r="Y185" s="63"/>
      <c r="Z185" s="62"/>
      <c r="AA185" s="62"/>
      <c r="AB185" s="103"/>
      <c r="AC185" s="103"/>
    </row>
    <row r="186" spans="1:29" s="70" customFormat="1" ht="14.25" x14ac:dyDescent="0.2">
      <c r="A186" s="60"/>
      <c r="B186" s="151" t="s">
        <v>87</v>
      </c>
      <c r="C186" s="157" t="s">
        <v>85</v>
      </c>
      <c r="D186" s="153"/>
      <c r="E186" s="122"/>
      <c r="F186" s="122"/>
      <c r="G186" s="122"/>
      <c r="H186" s="123"/>
      <c r="I186" s="135"/>
      <c r="J186" s="123"/>
      <c r="K186" s="124"/>
      <c r="L186" s="123"/>
      <c r="M186" s="125"/>
      <c r="N186" s="131"/>
      <c r="O186" s="118"/>
      <c r="P186" s="455"/>
      <c r="Q186" s="455"/>
      <c r="R186" s="455"/>
      <c r="S186" s="455"/>
      <c r="T186" s="149"/>
      <c r="U186" s="154"/>
      <c r="V186" s="155"/>
      <c r="W186" s="136"/>
      <c r="X186" s="63"/>
      <c r="Y186" s="63"/>
      <c r="Z186" s="62"/>
      <c r="AA186" s="62"/>
      <c r="AB186" s="103"/>
      <c r="AC186" s="103"/>
    </row>
    <row r="187" spans="1:29" s="70" customFormat="1" ht="14.25" x14ac:dyDescent="0.2">
      <c r="A187" s="60"/>
      <c r="B187" s="166"/>
      <c r="C187" s="152"/>
      <c r="D187" s="153"/>
      <c r="E187" s="122"/>
      <c r="F187" s="122"/>
      <c r="G187" s="122"/>
      <c r="H187" s="123"/>
      <c r="I187" s="135"/>
      <c r="J187" s="123"/>
      <c r="K187" s="124"/>
      <c r="L187" s="123"/>
      <c r="M187" s="125"/>
      <c r="N187" s="131"/>
      <c r="O187" s="118"/>
      <c r="P187" s="455"/>
      <c r="Q187" s="455"/>
      <c r="R187" s="455"/>
      <c r="S187" s="455"/>
      <c r="T187" s="149"/>
      <c r="U187" s="154"/>
      <c r="V187" s="155"/>
      <c r="W187" s="136"/>
      <c r="X187" s="63"/>
      <c r="Y187" s="63"/>
      <c r="Z187" s="62"/>
      <c r="AA187" s="62"/>
      <c r="AB187" s="103"/>
      <c r="AC187" s="103"/>
    </row>
    <row r="188" spans="1:29" s="70" customFormat="1" ht="14.25" x14ac:dyDescent="0.2">
      <c r="A188" s="60"/>
      <c r="B188" s="165" t="s">
        <v>58</v>
      </c>
      <c r="C188" s="152"/>
      <c r="D188" s="153"/>
      <c r="E188" s="122"/>
      <c r="F188" s="122"/>
      <c r="G188" s="122"/>
      <c r="H188" s="123"/>
      <c r="I188" s="135"/>
      <c r="J188" s="123"/>
      <c r="K188" s="124"/>
      <c r="L188" s="123"/>
      <c r="M188" s="125"/>
      <c r="N188" s="131"/>
      <c r="O188" s="118"/>
      <c r="P188" s="455"/>
      <c r="Q188" s="455"/>
      <c r="R188" s="455"/>
      <c r="S188" s="455"/>
      <c r="T188" s="149"/>
      <c r="U188" s="154"/>
      <c r="V188" s="155"/>
      <c r="W188" s="136"/>
      <c r="X188" s="63"/>
      <c r="Y188" s="63"/>
      <c r="Z188" s="62"/>
      <c r="AA188" s="62"/>
      <c r="AB188" s="103"/>
      <c r="AC188" s="103"/>
    </row>
    <row r="189" spans="1:29" s="70" customFormat="1" ht="25.5" x14ac:dyDescent="0.2">
      <c r="A189" s="60"/>
      <c r="B189" s="1" t="s">
        <v>425</v>
      </c>
      <c r="C189" s="152">
        <v>831</v>
      </c>
      <c r="D189" s="153" t="s">
        <v>45</v>
      </c>
      <c r="E189" s="122">
        <v>0.21</v>
      </c>
      <c r="F189" s="122">
        <f>C189*E189</f>
        <v>174.51</v>
      </c>
      <c r="G189" s="122">
        <f>$H$11*E189</f>
        <v>10.5</v>
      </c>
      <c r="H189" s="123">
        <f>F189*$H$11</f>
        <v>8725.5</v>
      </c>
      <c r="I189" s="135">
        <v>11.51</v>
      </c>
      <c r="J189" s="123">
        <f>C189*I189</f>
        <v>9564.81</v>
      </c>
      <c r="K189" s="124">
        <f>SUM(H189,J189)</f>
        <v>18290.309999999998</v>
      </c>
      <c r="L189" s="123">
        <f>K189/C189</f>
        <v>22.009999999999998</v>
      </c>
      <c r="M189" s="125">
        <f>C189*L189</f>
        <v>18290.309999999998</v>
      </c>
      <c r="N189" s="131">
        <v>0</v>
      </c>
      <c r="O189" s="118">
        <f>M189*N189</f>
        <v>0</v>
      </c>
      <c r="P189" s="455"/>
      <c r="Q189" s="455"/>
      <c r="R189" s="455"/>
      <c r="S189" s="455"/>
      <c r="T189" s="327">
        <f>SUM(E189,E192)</f>
        <v>0.31</v>
      </c>
      <c r="U189" s="136">
        <f>SUM(I189,I192)</f>
        <v>47.87</v>
      </c>
      <c r="V189" s="155"/>
      <c r="W189" s="136"/>
      <c r="X189" s="63"/>
      <c r="Y189" s="63"/>
      <c r="Z189" s="62"/>
      <c r="AA189" s="62"/>
      <c r="AB189" s="103"/>
      <c r="AC189" s="103"/>
    </row>
    <row r="190" spans="1:29" s="70" customFormat="1" ht="14.25" x14ac:dyDescent="0.2">
      <c r="A190" s="60"/>
      <c r="B190" s="1" t="s">
        <v>47</v>
      </c>
      <c r="C190" s="152">
        <v>421</v>
      </c>
      <c r="D190" s="153" t="s">
        <v>46</v>
      </c>
      <c r="E190" s="122">
        <v>0.1</v>
      </c>
      <c r="F190" s="122">
        <f>C190*E190</f>
        <v>42.1</v>
      </c>
      <c r="G190" s="122">
        <f>$H$11*E190</f>
        <v>5</v>
      </c>
      <c r="H190" s="123">
        <f>F190*$H$11</f>
        <v>2105</v>
      </c>
      <c r="I190" s="135">
        <v>2.5299999999999998</v>
      </c>
      <c r="J190" s="123">
        <f>C190*I190</f>
        <v>1065.1299999999999</v>
      </c>
      <c r="K190" s="124">
        <f>SUM(H190,J190)</f>
        <v>3170.13</v>
      </c>
      <c r="L190" s="123">
        <f>K190/C190</f>
        <v>7.53</v>
      </c>
      <c r="M190" s="125">
        <f>C190*L190</f>
        <v>3170.13</v>
      </c>
      <c r="N190" s="131">
        <v>0</v>
      </c>
      <c r="O190" s="118">
        <f>M190*N190</f>
        <v>0</v>
      </c>
      <c r="P190" s="455"/>
      <c r="Q190" s="455"/>
      <c r="R190" s="455"/>
      <c r="S190" s="455"/>
      <c r="T190" s="149"/>
      <c r="U190" s="154"/>
      <c r="V190" s="155"/>
      <c r="W190" s="136"/>
      <c r="X190" s="63"/>
      <c r="Y190" s="63"/>
      <c r="Z190" s="62"/>
      <c r="AA190" s="62"/>
      <c r="AB190" s="103"/>
      <c r="AC190" s="103"/>
    </row>
    <row r="191" spans="1:29" s="70" customFormat="1" ht="14.25" x14ac:dyDescent="0.2">
      <c r="A191" s="60"/>
      <c r="B191" s="1" t="s">
        <v>98</v>
      </c>
      <c r="C191" s="152">
        <v>20</v>
      </c>
      <c r="D191" s="153" t="s">
        <v>60</v>
      </c>
      <c r="E191" s="122">
        <v>0.75</v>
      </c>
      <c r="F191" s="122">
        <f>C191*E191</f>
        <v>15</v>
      </c>
      <c r="G191" s="122">
        <f>$H$11*E191</f>
        <v>37.5</v>
      </c>
      <c r="H191" s="123">
        <f>F191*$H$11</f>
        <v>750</v>
      </c>
      <c r="I191" s="135">
        <v>25</v>
      </c>
      <c r="J191" s="123">
        <f>C191*I191</f>
        <v>500</v>
      </c>
      <c r="K191" s="124">
        <f>SUM(H191,J191)</f>
        <v>1250</v>
      </c>
      <c r="L191" s="123">
        <f>K191/C191</f>
        <v>62.5</v>
      </c>
      <c r="M191" s="125">
        <f>C191*L191</f>
        <v>1250</v>
      </c>
      <c r="N191" s="131">
        <v>0</v>
      </c>
      <c r="O191" s="118">
        <f>M191*N191</f>
        <v>0</v>
      </c>
      <c r="P191" s="455"/>
      <c r="Q191" s="455"/>
      <c r="R191" s="455"/>
      <c r="S191" s="455"/>
      <c r="T191" s="149"/>
      <c r="U191" s="154"/>
      <c r="V191" s="155"/>
      <c r="W191" s="136"/>
      <c r="X191" s="63"/>
      <c r="Y191" s="63"/>
      <c r="Z191" s="62"/>
      <c r="AA191" s="62"/>
      <c r="AB191" s="103"/>
      <c r="AC191" s="103"/>
    </row>
    <row r="192" spans="1:29" s="70" customFormat="1" ht="25.5" x14ac:dyDescent="0.2">
      <c r="A192" s="60"/>
      <c r="B192" s="1" t="s">
        <v>426</v>
      </c>
      <c r="C192" s="152">
        <v>831</v>
      </c>
      <c r="D192" s="153" t="s">
        <v>45</v>
      </c>
      <c r="E192" s="122">
        <v>0.1</v>
      </c>
      <c r="F192" s="122">
        <f>C192*E192</f>
        <v>83.100000000000009</v>
      </c>
      <c r="G192" s="122">
        <f>$H$11*E192</f>
        <v>5</v>
      </c>
      <c r="H192" s="123">
        <f>F192*$H$11</f>
        <v>4155</v>
      </c>
      <c r="I192" s="135">
        <v>36.36</v>
      </c>
      <c r="J192" s="123">
        <f>C192*I192</f>
        <v>30215.16</v>
      </c>
      <c r="K192" s="124">
        <f>SUM(H192,J192)</f>
        <v>34370.160000000003</v>
      </c>
      <c r="L192" s="123">
        <f>K192/C192</f>
        <v>41.360000000000007</v>
      </c>
      <c r="M192" s="125">
        <f>C192*L192</f>
        <v>34370.160000000003</v>
      </c>
      <c r="N192" s="131">
        <v>0</v>
      </c>
      <c r="O192" s="118">
        <f>M192*N192</f>
        <v>0</v>
      </c>
      <c r="P192" s="455"/>
      <c r="Q192" s="455"/>
      <c r="R192" s="455"/>
      <c r="S192" s="455"/>
      <c r="T192" s="149"/>
      <c r="U192" s="154"/>
      <c r="V192" s="155"/>
      <c r="W192" s="136"/>
      <c r="X192" s="63"/>
      <c r="Y192" s="63"/>
      <c r="Z192" s="62"/>
      <c r="AA192" s="62"/>
      <c r="AB192" s="103"/>
      <c r="AC192" s="103"/>
    </row>
    <row r="193" spans="1:29" s="70" customFormat="1" ht="14.25" x14ac:dyDescent="0.2">
      <c r="A193" s="60"/>
      <c r="B193" s="1" t="s">
        <v>436</v>
      </c>
      <c r="C193" s="152">
        <v>136</v>
      </c>
      <c r="D193" s="153" t="s">
        <v>60</v>
      </c>
      <c r="E193" s="122">
        <v>0</v>
      </c>
      <c r="F193" s="122">
        <f>C193*E193</f>
        <v>0</v>
      </c>
      <c r="G193" s="122">
        <f>$H$11*E193</f>
        <v>0</v>
      </c>
      <c r="H193" s="123">
        <f>F193*$H$11</f>
        <v>0</v>
      </c>
      <c r="I193" s="135">
        <v>5.79</v>
      </c>
      <c r="J193" s="123">
        <f>C193*I193</f>
        <v>787.44</v>
      </c>
      <c r="K193" s="124">
        <f>SUM(H193,J193)</f>
        <v>787.44</v>
      </c>
      <c r="L193" s="123">
        <f>K193/C193</f>
        <v>5.79</v>
      </c>
      <c r="M193" s="125">
        <f>C193*L193</f>
        <v>787.44</v>
      </c>
      <c r="N193" s="131">
        <v>0</v>
      </c>
      <c r="O193" s="118">
        <f>M193*N193</f>
        <v>0</v>
      </c>
      <c r="P193" s="455"/>
      <c r="Q193" s="455"/>
      <c r="R193" s="455"/>
      <c r="S193" s="455"/>
      <c r="T193" s="149"/>
      <c r="U193" s="154"/>
      <c r="V193" s="155"/>
      <c r="W193" s="136"/>
      <c r="X193" s="63"/>
      <c r="Y193" s="63"/>
      <c r="Z193" s="62"/>
      <c r="AA193" s="62"/>
      <c r="AB193" s="103"/>
      <c r="AC193" s="103"/>
    </row>
    <row r="194" spans="1:29" s="70" customFormat="1" ht="14.25" x14ac:dyDescent="0.2">
      <c r="A194" s="60"/>
      <c r="B194" s="1"/>
      <c r="C194" s="152"/>
      <c r="D194" s="153"/>
      <c r="E194" s="122"/>
      <c r="F194" s="122"/>
      <c r="G194" s="122"/>
      <c r="H194" s="123"/>
      <c r="I194" s="135"/>
      <c r="J194" s="123"/>
      <c r="K194" s="124"/>
      <c r="L194" s="123"/>
      <c r="M194" s="125"/>
      <c r="N194" s="131"/>
      <c r="O194" s="118"/>
      <c r="P194" s="455"/>
      <c r="Q194" s="455"/>
      <c r="R194" s="455"/>
      <c r="S194" s="455"/>
      <c r="T194" s="149"/>
      <c r="U194" s="154"/>
      <c r="V194" s="155"/>
      <c r="W194" s="136"/>
      <c r="X194" s="63"/>
      <c r="Y194" s="63"/>
      <c r="Z194" s="62"/>
      <c r="AA194" s="62"/>
      <c r="AB194" s="103"/>
      <c r="AC194" s="103"/>
    </row>
    <row r="195" spans="1:29" s="70" customFormat="1" ht="14.25" x14ac:dyDescent="0.2">
      <c r="A195" s="60"/>
      <c r="B195" s="151" t="s">
        <v>90</v>
      </c>
      <c r="C195" s="152">
        <v>1</v>
      </c>
      <c r="D195" s="153" t="s">
        <v>59</v>
      </c>
      <c r="E195" s="122">
        <v>0</v>
      </c>
      <c r="F195" s="122">
        <f>C195*E195</f>
        <v>0</v>
      </c>
      <c r="G195" s="122">
        <f>$H$11*E195</f>
        <v>0</v>
      </c>
      <c r="H195" s="123">
        <f>F195*$H$11</f>
        <v>0</v>
      </c>
      <c r="I195" s="135">
        <v>500</v>
      </c>
      <c r="J195" s="123">
        <f>C195*I195</f>
        <v>500</v>
      </c>
      <c r="K195" s="124">
        <f>SUM(H195,J195)</f>
        <v>500</v>
      </c>
      <c r="L195" s="123">
        <f>K195/C195</f>
        <v>500</v>
      </c>
      <c r="M195" s="125">
        <f>C195*L195</f>
        <v>500</v>
      </c>
      <c r="N195" s="131">
        <v>0</v>
      </c>
      <c r="O195" s="118">
        <f>M195*N195</f>
        <v>0</v>
      </c>
      <c r="P195" s="455"/>
      <c r="Q195" s="455"/>
      <c r="R195" s="455"/>
      <c r="S195" s="455"/>
      <c r="T195" s="149"/>
      <c r="U195" s="154"/>
      <c r="V195" s="155"/>
      <c r="W195" s="136"/>
      <c r="X195" s="63"/>
      <c r="Y195" s="63"/>
      <c r="Z195" s="62"/>
      <c r="AA195" s="62"/>
      <c r="AB195" s="103"/>
      <c r="AC195" s="103"/>
    </row>
    <row r="196" spans="1:29" s="70" customFormat="1" ht="14.25" x14ac:dyDescent="0.2">
      <c r="A196" s="60"/>
      <c r="B196" s="151"/>
      <c r="C196" s="152"/>
      <c r="D196" s="153"/>
      <c r="E196" s="122"/>
      <c r="F196" s="122"/>
      <c r="G196" s="122"/>
      <c r="H196" s="123"/>
      <c r="I196" s="135"/>
      <c r="J196" s="123"/>
      <c r="K196" s="124"/>
      <c r="L196" s="123"/>
      <c r="M196" s="125"/>
      <c r="N196" s="131"/>
      <c r="O196" s="118"/>
      <c r="P196" s="455"/>
      <c r="Q196" s="455"/>
      <c r="R196" s="455"/>
      <c r="S196" s="455"/>
      <c r="T196" s="149"/>
      <c r="U196" s="154"/>
      <c r="V196" s="155"/>
      <c r="W196" s="136"/>
      <c r="X196" s="63"/>
      <c r="Y196" s="63"/>
      <c r="Z196" s="62"/>
      <c r="AA196" s="62"/>
      <c r="AB196" s="103"/>
      <c r="AC196" s="103"/>
    </row>
    <row r="197" spans="1:29" s="70" customFormat="1" ht="14.25" x14ac:dyDescent="0.2">
      <c r="A197" s="60"/>
      <c r="B197" s="435" t="s">
        <v>480</v>
      </c>
      <c r="C197" s="441" t="s">
        <v>488</v>
      </c>
      <c r="D197" s="153"/>
      <c r="E197" s="122"/>
      <c r="F197" s="122"/>
      <c r="G197" s="122"/>
      <c r="H197" s="123"/>
      <c r="I197" s="135"/>
      <c r="J197" s="123"/>
      <c r="K197" s="124"/>
      <c r="L197" s="123"/>
      <c r="M197" s="125"/>
      <c r="N197" s="131"/>
      <c r="O197" s="118"/>
      <c r="P197" s="455"/>
      <c r="Q197" s="455"/>
      <c r="R197" s="455"/>
      <c r="S197" s="455"/>
      <c r="T197" s="149"/>
      <c r="U197" s="154"/>
      <c r="V197" s="155"/>
      <c r="W197" s="136"/>
      <c r="X197" s="63"/>
      <c r="Y197" s="63"/>
      <c r="Z197" s="62"/>
      <c r="AA197" s="62"/>
      <c r="AB197" s="103"/>
      <c r="AC197" s="103"/>
    </row>
    <row r="198" spans="1:29" s="70" customFormat="1" ht="14.25" x14ac:dyDescent="0.2">
      <c r="A198" s="60"/>
      <c r="B198" s="151"/>
      <c r="C198" s="152"/>
      <c r="D198" s="153"/>
      <c r="E198" s="122"/>
      <c r="F198" s="122"/>
      <c r="G198" s="122"/>
      <c r="H198" s="123"/>
      <c r="I198" s="135"/>
      <c r="J198" s="123"/>
      <c r="K198" s="124"/>
      <c r="L198" s="123"/>
      <c r="M198" s="125"/>
      <c r="N198" s="131"/>
      <c r="O198" s="118"/>
      <c r="P198" s="455"/>
      <c r="Q198" s="455"/>
      <c r="R198" s="455"/>
      <c r="S198" s="455"/>
      <c r="T198" s="149"/>
      <c r="U198" s="154"/>
      <c r="V198" s="155"/>
      <c r="W198" s="136"/>
      <c r="X198" s="63"/>
      <c r="Y198" s="63"/>
      <c r="Z198" s="62"/>
      <c r="AA198" s="62"/>
      <c r="AB198" s="103"/>
      <c r="AC198" s="103"/>
    </row>
    <row r="199" spans="1:29" s="70" customFormat="1" ht="14.25" x14ac:dyDescent="0.2">
      <c r="A199" s="60"/>
      <c r="B199" s="421" t="s">
        <v>489</v>
      </c>
      <c r="C199" s="157"/>
      <c r="D199" s="153"/>
      <c r="E199" s="122"/>
      <c r="F199" s="122"/>
      <c r="G199" s="122"/>
      <c r="H199" s="123"/>
      <c r="I199" s="135"/>
      <c r="J199" s="123"/>
      <c r="K199" s="124"/>
      <c r="L199" s="123"/>
      <c r="M199" s="125"/>
      <c r="N199" s="131"/>
      <c r="O199" s="118"/>
      <c r="P199" s="455"/>
      <c r="Q199" s="455"/>
      <c r="R199" s="455"/>
      <c r="S199" s="455"/>
      <c r="T199" s="149"/>
      <c r="U199" s="154"/>
      <c r="V199" s="155"/>
      <c r="W199" s="136"/>
      <c r="X199" s="63"/>
      <c r="Y199" s="63"/>
      <c r="Z199" s="62"/>
      <c r="AA199" s="62"/>
      <c r="AB199" s="103"/>
      <c r="AC199" s="103"/>
    </row>
    <row r="200" spans="1:29" s="70" customFormat="1" ht="14.25" x14ac:dyDescent="0.2">
      <c r="A200" s="60"/>
      <c r="B200" s="151"/>
      <c r="C200" s="157"/>
      <c r="D200" s="153"/>
      <c r="E200" s="122"/>
      <c r="F200" s="122"/>
      <c r="G200" s="122"/>
      <c r="H200" s="123"/>
      <c r="I200" s="135"/>
      <c r="J200" s="123"/>
      <c r="K200" s="124"/>
      <c r="L200" s="123"/>
      <c r="M200" s="125"/>
      <c r="N200" s="131"/>
      <c r="O200" s="118"/>
      <c r="P200" s="455"/>
      <c r="Q200" s="455"/>
      <c r="R200" s="455"/>
      <c r="S200" s="455"/>
      <c r="T200" s="149"/>
      <c r="U200" s="154"/>
      <c r="V200" s="155"/>
      <c r="W200" s="136"/>
      <c r="X200" s="63"/>
      <c r="Y200" s="63"/>
      <c r="Z200" s="62"/>
      <c r="AA200" s="62"/>
      <c r="AB200" s="103"/>
      <c r="AC200" s="103"/>
    </row>
    <row r="201" spans="1:29" s="70" customFormat="1" ht="14.25" x14ac:dyDescent="0.2">
      <c r="A201" s="60"/>
      <c r="B201" s="151" t="s">
        <v>455</v>
      </c>
      <c r="C201" s="152">
        <v>64</v>
      </c>
      <c r="D201" s="153" t="s">
        <v>46</v>
      </c>
      <c r="E201" s="122"/>
      <c r="F201" s="122"/>
      <c r="G201" s="122"/>
      <c r="H201" s="123"/>
      <c r="I201" s="135"/>
      <c r="J201" s="123"/>
      <c r="K201" s="124"/>
      <c r="L201" s="123"/>
      <c r="M201" s="125"/>
      <c r="N201" s="131"/>
      <c r="O201" s="118"/>
      <c r="P201" s="455"/>
      <c r="Q201" s="455"/>
      <c r="R201" s="455"/>
      <c r="S201" s="455"/>
      <c r="T201" s="149"/>
      <c r="U201" s="154"/>
      <c r="V201" s="155"/>
      <c r="W201" s="136"/>
      <c r="X201" s="63"/>
      <c r="Y201" s="63"/>
      <c r="Z201" s="62"/>
      <c r="AA201" s="62"/>
      <c r="AB201" s="103"/>
      <c r="AC201" s="103"/>
    </row>
    <row r="202" spans="1:29" s="70" customFormat="1" ht="14.25" x14ac:dyDescent="0.2">
      <c r="A202" s="60"/>
      <c r="B202" s="421" t="s">
        <v>467</v>
      </c>
      <c r="C202" s="422">
        <v>24</v>
      </c>
      <c r="D202" s="423" t="s">
        <v>46</v>
      </c>
      <c r="E202" s="122">
        <v>0.1</v>
      </c>
      <c r="F202" s="122">
        <f>C202*E202</f>
        <v>2.4000000000000004</v>
      </c>
      <c r="G202" s="122">
        <f>$H$11*E202</f>
        <v>5</v>
      </c>
      <c r="H202" s="123">
        <f>F202*$H$11</f>
        <v>120.00000000000001</v>
      </c>
      <c r="I202" s="135">
        <v>1.32</v>
      </c>
      <c r="J202" s="123">
        <f>C202*I202</f>
        <v>31.68</v>
      </c>
      <c r="K202" s="124">
        <f>SUM(H202,J202)</f>
        <v>151.68</v>
      </c>
      <c r="L202" s="123">
        <f>K202/C202</f>
        <v>6.32</v>
      </c>
      <c r="M202" s="125">
        <f>C202*L202</f>
        <v>151.68</v>
      </c>
      <c r="N202" s="131"/>
      <c r="O202" s="118"/>
      <c r="P202" s="455"/>
      <c r="Q202" s="455"/>
      <c r="R202" s="455"/>
      <c r="S202" s="455"/>
      <c r="T202" s="149"/>
      <c r="U202" s="154"/>
      <c r="V202" s="155"/>
      <c r="W202" s="136"/>
      <c r="X202" s="63"/>
      <c r="Y202" s="63"/>
      <c r="Z202" s="62"/>
      <c r="AA202" s="62"/>
      <c r="AB202" s="103"/>
      <c r="AC202" s="103"/>
    </row>
    <row r="203" spans="1:29" s="70" customFormat="1" ht="14.25" x14ac:dyDescent="0.2">
      <c r="A203" s="60"/>
      <c r="B203" s="421" t="s">
        <v>468</v>
      </c>
      <c r="C203" s="422">
        <v>40</v>
      </c>
      <c r="D203" s="423" t="s">
        <v>46</v>
      </c>
      <c r="E203" s="122">
        <v>0.09</v>
      </c>
      <c r="F203" s="122">
        <f>C203*E203</f>
        <v>3.5999999999999996</v>
      </c>
      <c r="G203" s="122">
        <f>$H$11*E203</f>
        <v>4.5</v>
      </c>
      <c r="H203" s="123">
        <f>F203*$H$11</f>
        <v>179.99999999999997</v>
      </c>
      <c r="I203" s="135">
        <v>2.82</v>
      </c>
      <c r="J203" s="123">
        <f>C203*I203</f>
        <v>112.8</v>
      </c>
      <c r="K203" s="124">
        <f>SUM(H203,J203)</f>
        <v>292.79999999999995</v>
      </c>
      <c r="L203" s="123">
        <f>K203/C203</f>
        <v>7.3199999999999985</v>
      </c>
      <c r="M203" s="125">
        <f>C203*L203</f>
        <v>292.79999999999995</v>
      </c>
      <c r="N203" s="131"/>
      <c r="O203" s="118"/>
      <c r="P203" s="455"/>
      <c r="Q203" s="455"/>
      <c r="R203" s="455"/>
      <c r="S203" s="455"/>
      <c r="T203" s="149"/>
      <c r="U203" s="154"/>
      <c r="V203" s="155"/>
      <c r="W203" s="136"/>
      <c r="X203" s="63"/>
      <c r="Y203" s="63"/>
      <c r="Z203" s="62"/>
      <c r="AA203" s="62"/>
      <c r="AB203" s="103"/>
      <c r="AC203" s="103"/>
    </row>
    <row r="204" spans="1:29" s="70" customFormat="1" ht="14.25" x14ac:dyDescent="0.2">
      <c r="A204" s="60"/>
      <c r="B204" s="151"/>
      <c r="C204" s="152"/>
      <c r="D204" s="153"/>
      <c r="E204" s="122"/>
      <c r="F204" s="122"/>
      <c r="G204" s="122"/>
      <c r="H204" s="123"/>
      <c r="I204" s="135"/>
      <c r="J204" s="123"/>
      <c r="K204" s="124"/>
      <c r="L204" s="123"/>
      <c r="M204" s="125"/>
      <c r="N204" s="131"/>
      <c r="O204" s="118"/>
      <c r="P204" s="455"/>
      <c r="Q204" s="455"/>
      <c r="R204" s="455"/>
      <c r="S204" s="455"/>
      <c r="T204" s="149"/>
      <c r="U204" s="154"/>
      <c r="V204" s="155"/>
      <c r="W204" s="136"/>
      <c r="X204" s="63"/>
      <c r="Y204" s="63"/>
      <c r="Z204" s="62"/>
      <c r="AA204" s="62"/>
      <c r="AB204" s="103"/>
      <c r="AC204" s="103"/>
    </row>
    <row r="205" spans="1:29" s="70" customFormat="1" ht="14.25" x14ac:dyDescent="0.2">
      <c r="A205" s="60"/>
      <c r="B205" s="151" t="s">
        <v>456</v>
      </c>
      <c r="C205" s="152">
        <v>90</v>
      </c>
      <c r="D205" s="153" t="s">
        <v>46</v>
      </c>
      <c r="E205" s="390">
        <v>0.25</v>
      </c>
      <c r="F205" s="122">
        <f>C205*E205</f>
        <v>22.5</v>
      </c>
      <c r="G205" s="122">
        <f>$H$11*E205</f>
        <v>12.5</v>
      </c>
      <c r="H205" s="123">
        <f>F205*$H$11</f>
        <v>1125</v>
      </c>
      <c r="I205" s="393">
        <v>27.16</v>
      </c>
      <c r="J205" s="123">
        <f>C205*I205</f>
        <v>2444.4</v>
      </c>
      <c r="K205" s="124">
        <f>SUM(H205,J205)</f>
        <v>3569.4</v>
      </c>
      <c r="L205" s="123">
        <f>K205/C205</f>
        <v>39.660000000000004</v>
      </c>
      <c r="M205" s="125">
        <f>C205*L205</f>
        <v>3569.4000000000005</v>
      </c>
      <c r="N205" s="131">
        <v>0.95</v>
      </c>
      <c r="O205" s="118">
        <f>M205*N205</f>
        <v>3390.9300000000003</v>
      </c>
      <c r="P205" s="455"/>
      <c r="Q205" s="455"/>
      <c r="R205" s="455"/>
      <c r="S205" s="455"/>
      <c r="T205" s="149"/>
      <c r="U205" s="154"/>
      <c r="V205" s="155"/>
      <c r="W205" s="136"/>
      <c r="X205" s="63"/>
      <c r="Y205" s="63"/>
      <c r="Z205" s="62"/>
      <c r="AA205" s="62"/>
      <c r="AB205" s="103"/>
      <c r="AC205" s="103"/>
    </row>
    <row r="206" spans="1:29" s="70" customFormat="1" ht="14.25" x14ac:dyDescent="0.2">
      <c r="A206" s="60"/>
      <c r="B206" s="421" t="s">
        <v>466</v>
      </c>
      <c r="C206" s="424">
        <f>C205/1.5</f>
        <v>60</v>
      </c>
      <c r="D206" s="423" t="s">
        <v>60</v>
      </c>
      <c r="E206" s="390">
        <v>0.09</v>
      </c>
      <c r="F206" s="122">
        <f>C206*E206</f>
        <v>5.3999999999999995</v>
      </c>
      <c r="G206" s="122">
        <f>$H$11*E206</f>
        <v>4.5</v>
      </c>
      <c r="H206" s="123">
        <f>F206*$H$11</f>
        <v>270</v>
      </c>
      <c r="I206" s="393">
        <v>5.28</v>
      </c>
      <c r="J206" s="123">
        <f>C206*I206</f>
        <v>316.8</v>
      </c>
      <c r="K206" s="124">
        <f>SUM(H206,J206)</f>
        <v>586.79999999999995</v>
      </c>
      <c r="L206" s="123">
        <f>K206/C206</f>
        <v>9.7799999999999994</v>
      </c>
      <c r="M206" s="125">
        <f>C206*L206</f>
        <v>586.79999999999995</v>
      </c>
      <c r="N206" s="131">
        <v>0.95</v>
      </c>
      <c r="O206" s="118">
        <f>M206*N206</f>
        <v>557.45999999999992</v>
      </c>
      <c r="P206" s="455"/>
      <c r="Q206" s="455"/>
      <c r="R206" s="455"/>
      <c r="S206" s="455"/>
      <c r="T206" s="149"/>
      <c r="U206" s="154"/>
      <c r="V206" s="155"/>
      <c r="W206" s="136"/>
      <c r="X206" s="63"/>
      <c r="Y206" s="63"/>
      <c r="Z206" s="62"/>
      <c r="AA206" s="62"/>
      <c r="AB206" s="103"/>
      <c r="AC206" s="103"/>
    </row>
    <row r="207" spans="1:29" s="70" customFormat="1" ht="14.25" x14ac:dyDescent="0.2">
      <c r="A207" s="60"/>
      <c r="B207" s="421" t="s">
        <v>504</v>
      </c>
      <c r="C207" s="424">
        <f>C205/1.8</f>
        <v>50</v>
      </c>
      <c r="D207" s="423" t="s">
        <v>60</v>
      </c>
      <c r="E207" s="390">
        <v>0</v>
      </c>
      <c r="F207" s="122">
        <f>C207*E207</f>
        <v>0</v>
      </c>
      <c r="G207" s="122">
        <f>$H$11*E207</f>
        <v>0</v>
      </c>
      <c r="H207" s="123">
        <f>F207*$H$11</f>
        <v>0</v>
      </c>
      <c r="I207" s="393">
        <v>5.28</v>
      </c>
      <c r="J207" s="123">
        <f>C207*I207</f>
        <v>264</v>
      </c>
      <c r="K207" s="124">
        <f>SUM(H207,J207)</f>
        <v>264</v>
      </c>
      <c r="L207" s="123">
        <f>K207/C207</f>
        <v>5.28</v>
      </c>
      <c r="M207" s="125">
        <f>C207*L207</f>
        <v>264</v>
      </c>
      <c r="N207" s="131">
        <v>0.95</v>
      </c>
      <c r="O207" s="118">
        <f>M207*N207</f>
        <v>250.79999999999998</v>
      </c>
      <c r="P207" s="455"/>
      <c r="Q207" s="455"/>
      <c r="R207" s="455"/>
      <c r="S207" s="455"/>
      <c r="T207" s="149"/>
      <c r="U207" s="154"/>
      <c r="V207" s="155"/>
      <c r="W207" s="136"/>
      <c r="X207" s="63"/>
      <c r="Y207" s="63"/>
      <c r="Z207" s="62"/>
      <c r="AA207" s="62"/>
      <c r="AB207" s="103"/>
      <c r="AC207" s="103"/>
    </row>
    <row r="208" spans="1:29" s="70" customFormat="1" ht="14.25" x14ac:dyDescent="0.2">
      <c r="A208" s="60"/>
      <c r="B208" s="421" t="s">
        <v>457</v>
      </c>
      <c r="C208" s="422">
        <v>50</v>
      </c>
      <c r="D208" s="423" t="s">
        <v>60</v>
      </c>
      <c r="E208" s="310">
        <v>0.25</v>
      </c>
      <c r="F208" s="122">
        <f>C208*E208</f>
        <v>12.5</v>
      </c>
      <c r="G208" s="122">
        <f>$H$11*E208</f>
        <v>12.5</v>
      </c>
      <c r="H208" s="123">
        <f>F208*$H$11</f>
        <v>625</v>
      </c>
      <c r="I208" s="135">
        <v>17.05</v>
      </c>
      <c r="J208" s="123">
        <f>C208*I208</f>
        <v>852.5</v>
      </c>
      <c r="K208" s="124">
        <f>SUM(H208,J208)</f>
        <v>1477.5</v>
      </c>
      <c r="L208" s="123">
        <f>K208/C208</f>
        <v>29.55</v>
      </c>
      <c r="M208" s="125">
        <f>C208*L208</f>
        <v>1477.5</v>
      </c>
      <c r="N208" s="131">
        <v>0.95</v>
      </c>
      <c r="O208" s="118">
        <f>M208*N208</f>
        <v>1403.625</v>
      </c>
      <c r="P208" s="455"/>
      <c r="Q208" s="455"/>
      <c r="R208" s="455"/>
      <c r="S208" s="455"/>
      <c r="T208" s="149"/>
      <c r="U208" s="154"/>
      <c r="V208" s="155"/>
      <c r="W208" s="136"/>
      <c r="X208" s="63"/>
      <c r="Y208" s="63"/>
      <c r="Z208" s="62"/>
      <c r="AA208" s="62"/>
      <c r="AB208" s="103"/>
      <c r="AC208" s="103"/>
    </row>
    <row r="209" spans="1:29" s="70" customFormat="1" ht="14.25" x14ac:dyDescent="0.2">
      <c r="A209" s="60"/>
      <c r="B209" s="421" t="s">
        <v>458</v>
      </c>
      <c r="C209" s="422">
        <v>50</v>
      </c>
      <c r="D209" s="423" t="s">
        <v>60</v>
      </c>
      <c r="E209" s="122">
        <v>0.12</v>
      </c>
      <c r="F209" s="122">
        <f>C209*E209</f>
        <v>6</v>
      </c>
      <c r="G209" s="122">
        <f>$H$11*E209</f>
        <v>6</v>
      </c>
      <c r="H209" s="123">
        <f>F209*$H$11</f>
        <v>300</v>
      </c>
      <c r="I209" s="135">
        <v>8.06</v>
      </c>
      <c r="J209" s="123">
        <f>C209*I209</f>
        <v>403</v>
      </c>
      <c r="K209" s="124">
        <f>SUM(H209,J209)</f>
        <v>703</v>
      </c>
      <c r="L209" s="123">
        <f>K209/C209</f>
        <v>14.06</v>
      </c>
      <c r="M209" s="125">
        <f>C209*L209</f>
        <v>703</v>
      </c>
      <c r="N209" s="131">
        <v>0.95</v>
      </c>
      <c r="O209" s="118">
        <f>M209*N209</f>
        <v>667.85</v>
      </c>
      <c r="P209" s="455"/>
      <c r="Q209" s="455">
        <f>SUM(O205:O209)</f>
        <v>6270.6650000000009</v>
      </c>
      <c r="R209" s="455"/>
      <c r="S209" s="455"/>
      <c r="T209" s="149"/>
      <c r="U209" s="154"/>
      <c r="V209" s="155"/>
      <c r="W209" s="136"/>
      <c r="X209" s="63"/>
      <c r="Y209" s="63"/>
      <c r="Z209" s="62"/>
      <c r="AA209" s="62"/>
      <c r="AB209" s="103"/>
      <c r="AC209" s="103"/>
    </row>
    <row r="210" spans="1:29" s="70" customFormat="1" ht="14.25" x14ac:dyDescent="0.2">
      <c r="A210" s="60"/>
      <c r="B210" s="151"/>
      <c r="C210" s="157"/>
      <c r="D210" s="153"/>
      <c r="E210" s="122"/>
      <c r="F210" s="122"/>
      <c r="G210" s="122"/>
      <c r="H210" s="123"/>
      <c r="I210" s="135"/>
      <c r="J210" s="123"/>
      <c r="K210" s="124"/>
      <c r="L210" s="123"/>
      <c r="M210" s="125"/>
      <c r="N210" s="131"/>
      <c r="O210" s="118"/>
      <c r="P210" s="455"/>
      <c r="Q210" s="455"/>
      <c r="R210" s="455"/>
      <c r="S210" s="455"/>
      <c r="T210" s="149"/>
      <c r="U210" s="154"/>
      <c r="V210" s="155"/>
      <c r="W210" s="136"/>
      <c r="X210" s="63"/>
      <c r="Y210" s="63"/>
      <c r="Z210" s="62"/>
      <c r="AA210" s="62"/>
      <c r="AB210" s="103"/>
      <c r="AC210" s="103"/>
    </row>
    <row r="211" spans="1:29" s="70" customFormat="1" ht="14.25" x14ac:dyDescent="0.2">
      <c r="A211" s="60"/>
      <c r="B211" s="166" t="s">
        <v>57</v>
      </c>
      <c r="C211" s="152"/>
      <c r="D211" s="153"/>
      <c r="E211" s="122"/>
      <c r="F211" s="122"/>
      <c r="G211" s="122"/>
      <c r="H211" s="123"/>
      <c r="I211" s="135"/>
      <c r="J211" s="123"/>
      <c r="K211" s="124"/>
      <c r="L211" s="123"/>
      <c r="M211" s="125"/>
      <c r="N211" s="131"/>
      <c r="O211" s="118"/>
      <c r="P211" s="455"/>
      <c r="Q211" s="455"/>
      <c r="R211" s="455"/>
      <c r="S211" s="455"/>
      <c r="T211" s="149"/>
      <c r="U211" s="154"/>
      <c r="V211" s="155"/>
      <c r="W211" s="136"/>
      <c r="X211" s="63"/>
      <c r="Y211" s="63"/>
      <c r="Z211" s="62"/>
      <c r="AA211" s="62"/>
      <c r="AB211" s="103"/>
      <c r="AC211" s="103"/>
    </row>
    <row r="212" spans="1:29" s="70" customFormat="1" ht="14.25" x14ac:dyDescent="0.2">
      <c r="A212" s="60"/>
      <c r="B212" s="1" t="s">
        <v>88</v>
      </c>
      <c r="C212" s="157" t="s">
        <v>85</v>
      </c>
      <c r="D212" s="72"/>
      <c r="E212" s="122"/>
      <c r="F212" s="122"/>
      <c r="G212" s="122"/>
      <c r="H212" s="123"/>
      <c r="I212" s="135"/>
      <c r="J212" s="123"/>
      <c r="K212" s="124"/>
      <c r="L212" s="123"/>
      <c r="M212" s="125"/>
      <c r="N212" s="131"/>
      <c r="O212" s="118"/>
      <c r="P212" s="455"/>
      <c r="Q212" s="455"/>
      <c r="R212" s="455"/>
      <c r="S212" s="455"/>
      <c r="T212" s="149"/>
      <c r="U212" s="154"/>
      <c r="V212" s="155"/>
      <c r="W212" s="136"/>
      <c r="X212" s="63"/>
      <c r="Y212" s="63"/>
      <c r="Z212" s="62"/>
      <c r="AA212" s="62"/>
      <c r="AB212" s="103"/>
      <c r="AC212" s="103"/>
    </row>
    <row r="213" spans="1:29" s="70" customFormat="1" ht="14.25" x14ac:dyDescent="0.2">
      <c r="A213" s="60"/>
      <c r="B213" s="166"/>
      <c r="C213" s="152"/>
      <c r="D213" s="153"/>
      <c r="E213" s="122"/>
      <c r="F213" s="122"/>
      <c r="G213" s="122"/>
      <c r="H213" s="123"/>
      <c r="I213" s="135"/>
      <c r="J213" s="123"/>
      <c r="K213" s="124"/>
      <c r="L213" s="123"/>
      <c r="M213" s="125"/>
      <c r="N213" s="131"/>
      <c r="O213" s="118"/>
      <c r="P213" s="455"/>
      <c r="Q213" s="455"/>
      <c r="R213" s="455"/>
      <c r="S213" s="455"/>
      <c r="T213" s="149"/>
      <c r="U213" s="154"/>
      <c r="V213" s="155"/>
      <c r="W213" s="136"/>
      <c r="X213" s="63"/>
      <c r="Y213" s="63"/>
      <c r="Z213" s="62"/>
      <c r="AA213" s="62"/>
      <c r="AB213" s="103"/>
      <c r="AC213" s="103"/>
    </row>
    <row r="214" spans="1:29" s="70" customFormat="1" ht="14.25" x14ac:dyDescent="0.2">
      <c r="A214" s="60"/>
      <c r="B214" s="166" t="s">
        <v>75</v>
      </c>
      <c r="C214" s="152"/>
      <c r="D214" s="153"/>
      <c r="E214" s="122"/>
      <c r="F214" s="122"/>
      <c r="G214" s="122"/>
      <c r="H214" s="123"/>
      <c r="I214" s="135"/>
      <c r="J214" s="123"/>
      <c r="K214" s="124"/>
      <c r="L214" s="123"/>
      <c r="M214" s="125"/>
      <c r="N214" s="131"/>
      <c r="O214" s="118"/>
      <c r="P214" s="455"/>
      <c r="Q214" s="455"/>
      <c r="R214" s="455"/>
      <c r="S214" s="455"/>
      <c r="T214" s="149"/>
      <c r="U214" s="154"/>
      <c r="V214" s="155"/>
      <c r="W214" s="136"/>
      <c r="X214" s="63"/>
      <c r="Y214" s="63"/>
      <c r="Z214" s="62"/>
      <c r="AA214" s="62"/>
      <c r="AB214" s="103"/>
      <c r="AC214" s="103"/>
    </row>
    <row r="215" spans="1:29" s="70" customFormat="1" ht="14.25" x14ac:dyDescent="0.2">
      <c r="A215" s="60"/>
      <c r="B215" s="151" t="s">
        <v>91</v>
      </c>
      <c r="C215" s="152">
        <v>116</v>
      </c>
      <c r="D215" s="153" t="s">
        <v>46</v>
      </c>
      <c r="E215" s="122">
        <f>$X$125</f>
        <v>0.3</v>
      </c>
      <c r="F215" s="122">
        <f>C215*E215</f>
        <v>34.799999999999997</v>
      </c>
      <c r="G215" s="122">
        <f>$H$11*E215</f>
        <v>15</v>
      </c>
      <c r="H215" s="123">
        <f>F215*$H$11</f>
        <v>1739.9999999999998</v>
      </c>
      <c r="I215" s="135">
        <v>122.5</v>
      </c>
      <c r="J215" s="123">
        <f>C215*I215</f>
        <v>14210</v>
      </c>
      <c r="K215" s="124">
        <f>SUM(H215,J215)</f>
        <v>15950</v>
      </c>
      <c r="L215" s="123">
        <f>K215/C215</f>
        <v>137.5</v>
      </c>
      <c r="M215" s="125">
        <f>C215*L215</f>
        <v>15950</v>
      </c>
      <c r="N215" s="131">
        <v>0</v>
      </c>
      <c r="O215" s="118">
        <f>M215*N215</f>
        <v>0</v>
      </c>
      <c r="P215" s="455"/>
      <c r="Q215" s="455">
        <f>SUM(M183:M219)</f>
        <v>92861.716666666674</v>
      </c>
      <c r="R215" s="465">
        <f>Q209/Q215</f>
        <v>6.752691232824147E-2</v>
      </c>
      <c r="S215" s="455"/>
      <c r="T215" s="149"/>
      <c r="U215" s="154"/>
      <c r="V215" s="155"/>
      <c r="W215" s="136"/>
      <c r="X215" s="63"/>
      <c r="Y215" s="63"/>
      <c r="Z215" s="62"/>
      <c r="AA215" s="62"/>
      <c r="AB215" s="103"/>
      <c r="AC215" s="103"/>
    </row>
    <row r="216" spans="1:29" s="70" customFormat="1" ht="14.25" x14ac:dyDescent="0.2">
      <c r="A216" s="60"/>
      <c r="B216" s="151" t="s">
        <v>93</v>
      </c>
      <c r="C216" s="152">
        <v>116</v>
      </c>
      <c r="D216" s="153" t="s">
        <v>46</v>
      </c>
      <c r="E216" s="390">
        <v>0.32</v>
      </c>
      <c r="F216" s="122">
        <f>C216*E216</f>
        <v>37.119999999999997</v>
      </c>
      <c r="G216" s="122">
        <f>$H$11*E216</f>
        <v>16</v>
      </c>
      <c r="H216" s="123">
        <f>F216*$H$11</f>
        <v>1855.9999999999998</v>
      </c>
      <c r="I216" s="393">
        <v>40</v>
      </c>
      <c r="J216" s="123">
        <f>C216*I216</f>
        <v>4640</v>
      </c>
      <c r="K216" s="124">
        <f>SUM(H216,J216)</f>
        <v>6496</v>
      </c>
      <c r="L216" s="123">
        <f>K216/C216</f>
        <v>56</v>
      </c>
      <c r="M216" s="125">
        <f>C216*L216</f>
        <v>6496</v>
      </c>
      <c r="N216" s="131">
        <v>0</v>
      </c>
      <c r="O216" s="118">
        <f>M216*N216</f>
        <v>0</v>
      </c>
      <c r="P216" s="455"/>
      <c r="Q216" s="455"/>
      <c r="R216" s="455"/>
      <c r="S216" s="455"/>
      <c r="T216" s="149"/>
      <c r="U216" s="154"/>
      <c r="V216" s="155"/>
      <c r="W216" s="136"/>
      <c r="X216" s="63"/>
      <c r="Y216" s="63"/>
      <c r="Z216" s="62"/>
      <c r="AA216" s="62"/>
      <c r="AB216" s="103"/>
      <c r="AC216" s="103"/>
    </row>
    <row r="217" spans="1:29" s="70" customFormat="1" ht="14.25" x14ac:dyDescent="0.2">
      <c r="A217" s="60"/>
      <c r="B217" s="151" t="s">
        <v>504</v>
      </c>
      <c r="C217" s="446">
        <f>C215/1.8</f>
        <v>64.444444444444443</v>
      </c>
      <c r="D217" s="153" t="s">
        <v>60</v>
      </c>
      <c r="E217" s="390">
        <v>0</v>
      </c>
      <c r="F217" s="122">
        <f>C217*E217</f>
        <v>0</v>
      </c>
      <c r="G217" s="122">
        <f>$H$11*E217</f>
        <v>0</v>
      </c>
      <c r="H217" s="123">
        <f>F217*$H$11</f>
        <v>0</v>
      </c>
      <c r="I217" s="393">
        <v>5.28</v>
      </c>
      <c r="J217" s="123">
        <f>C217*I217</f>
        <v>340.26666666666665</v>
      </c>
      <c r="K217" s="124">
        <f>SUM(H217,J217)</f>
        <v>340.26666666666665</v>
      </c>
      <c r="L217" s="123">
        <f>K217/C217</f>
        <v>5.28</v>
      </c>
      <c r="M217" s="125">
        <f>C217*L217</f>
        <v>340.26666666666665</v>
      </c>
      <c r="N217" s="131">
        <v>0</v>
      </c>
      <c r="O217" s="118">
        <f>M217*N217</f>
        <v>0</v>
      </c>
      <c r="P217" s="455"/>
      <c r="Q217" s="455"/>
      <c r="R217" s="455"/>
      <c r="S217" s="455"/>
      <c r="T217" s="149"/>
      <c r="U217" s="154"/>
      <c r="V217" s="155"/>
      <c r="W217" s="136"/>
      <c r="X217" s="63"/>
      <c r="Y217" s="63"/>
      <c r="Z217" s="62"/>
      <c r="AA217" s="62"/>
      <c r="AB217" s="103"/>
      <c r="AC217" s="103"/>
    </row>
    <row r="218" spans="1:29" s="70" customFormat="1" ht="14.25" x14ac:dyDescent="0.2">
      <c r="A218" s="60"/>
      <c r="B218" s="146" t="s">
        <v>371</v>
      </c>
      <c r="C218" s="152">
        <v>65</v>
      </c>
      <c r="D218" s="153" t="s">
        <v>60</v>
      </c>
      <c r="E218" s="310">
        <v>0.25</v>
      </c>
      <c r="F218" s="122">
        <f>C218*E218</f>
        <v>16.25</v>
      </c>
      <c r="G218" s="122">
        <f>$H$11*E218</f>
        <v>12.5</v>
      </c>
      <c r="H218" s="123">
        <f>F218*$H$11</f>
        <v>812.5</v>
      </c>
      <c r="I218" s="135">
        <v>17.05</v>
      </c>
      <c r="J218" s="123">
        <f>C218*I218</f>
        <v>1108.25</v>
      </c>
      <c r="K218" s="124">
        <f>SUM(H218,J218)</f>
        <v>1920.75</v>
      </c>
      <c r="L218" s="123">
        <f>K218/C218</f>
        <v>29.55</v>
      </c>
      <c r="M218" s="125">
        <f>C218*L218</f>
        <v>1920.75</v>
      </c>
      <c r="N218" s="131">
        <v>0</v>
      </c>
      <c r="O218" s="118">
        <f>M218*N218</f>
        <v>0</v>
      </c>
      <c r="P218" s="455"/>
      <c r="Q218" s="455"/>
      <c r="R218" s="455"/>
      <c r="S218" s="455"/>
      <c r="T218" s="149"/>
      <c r="U218" s="154"/>
      <c r="V218" s="155"/>
      <c r="W218" s="136"/>
      <c r="X218" s="63"/>
      <c r="Y218" s="63"/>
      <c r="Z218" s="62"/>
      <c r="AA218" s="62"/>
      <c r="AB218" s="103"/>
      <c r="AC218" s="103"/>
    </row>
    <row r="219" spans="1:29" s="70" customFormat="1" ht="14.25" x14ac:dyDescent="0.2">
      <c r="A219" s="60"/>
      <c r="B219" s="146" t="s">
        <v>372</v>
      </c>
      <c r="C219" s="152">
        <v>65</v>
      </c>
      <c r="D219" s="153" t="s">
        <v>60</v>
      </c>
      <c r="E219" s="122">
        <v>0.12</v>
      </c>
      <c r="F219" s="122">
        <f>C219*E219</f>
        <v>7.8</v>
      </c>
      <c r="G219" s="122">
        <f>$H$11*E219</f>
        <v>6</v>
      </c>
      <c r="H219" s="123">
        <f>F219*$H$11</f>
        <v>390</v>
      </c>
      <c r="I219" s="135">
        <v>8.06</v>
      </c>
      <c r="J219" s="123">
        <f>C219*I219</f>
        <v>523.9</v>
      </c>
      <c r="K219" s="124">
        <f>SUM(H219,J219)</f>
        <v>913.9</v>
      </c>
      <c r="L219" s="123">
        <f>K219/C219</f>
        <v>14.06</v>
      </c>
      <c r="M219" s="125">
        <f>C219*L219</f>
        <v>913.9</v>
      </c>
      <c r="N219" s="131">
        <v>0</v>
      </c>
      <c r="O219" s="118">
        <f>M219*N219</f>
        <v>0</v>
      </c>
      <c r="P219" s="455"/>
      <c r="Q219" s="455"/>
      <c r="R219" s="455"/>
      <c r="S219" s="455"/>
      <c r="T219" s="149"/>
      <c r="U219" s="154"/>
      <c r="V219" s="155"/>
      <c r="W219" s="136"/>
      <c r="X219" s="63"/>
      <c r="Y219" s="63"/>
      <c r="Z219" s="62"/>
      <c r="AA219" s="62"/>
      <c r="AB219" s="103"/>
      <c r="AC219" s="103"/>
    </row>
    <row r="220" spans="1:29" s="70" customFormat="1" ht="15" x14ac:dyDescent="0.2">
      <c r="A220" s="60"/>
      <c r="B220" s="169"/>
      <c r="C220" s="152"/>
      <c r="D220" s="153"/>
      <c r="E220" s="122"/>
      <c r="F220" s="122"/>
      <c r="G220" s="122"/>
      <c r="H220" s="123"/>
      <c r="I220" s="135"/>
      <c r="J220" s="123"/>
      <c r="K220" s="124"/>
      <c r="L220" s="123"/>
      <c r="M220" s="125"/>
      <c r="N220" s="131"/>
      <c r="O220" s="118"/>
      <c r="P220" s="452">
        <f>SUM(M183:M219)+R385</f>
        <v>94340.215416979103</v>
      </c>
      <c r="Q220" s="450">
        <f>P220*SUM($L$357:$L$363)</f>
        <v>8962.3204646130143</v>
      </c>
      <c r="R220" s="266"/>
      <c r="S220" s="266"/>
      <c r="T220" s="149"/>
      <c r="U220" s="154"/>
      <c r="V220" s="155"/>
      <c r="W220" s="136"/>
      <c r="X220" s="63"/>
      <c r="Y220" s="63"/>
      <c r="Z220" s="62"/>
      <c r="AA220" s="62"/>
      <c r="AB220" s="103"/>
      <c r="AC220" s="103"/>
    </row>
    <row r="221" spans="1:29" s="70" customFormat="1" ht="15" x14ac:dyDescent="0.2">
      <c r="A221" s="60"/>
      <c r="B221" s="169"/>
      <c r="C221" s="152"/>
      <c r="D221" s="153"/>
      <c r="E221" s="122"/>
      <c r="F221" s="122"/>
      <c r="G221" s="122"/>
      <c r="H221" s="123"/>
      <c r="I221" s="135"/>
      <c r="J221" s="123"/>
      <c r="K221" s="124"/>
      <c r="L221" s="123"/>
      <c r="M221" s="125"/>
      <c r="N221" s="131"/>
      <c r="O221" s="118"/>
      <c r="P221" s="451">
        <f>P220/$M$354</f>
        <v>0.17944063308208524</v>
      </c>
      <c r="Q221" s="452">
        <f>P221*$M$365</f>
        <v>1132.6743604731839</v>
      </c>
      <c r="R221" s="452">
        <f>SUM(P220,Q220,Q221)</f>
        <v>104435.21024206531</v>
      </c>
      <c r="S221" s="452">
        <f>R221*1.08</f>
        <v>112790.02706143055</v>
      </c>
      <c r="T221" s="149"/>
      <c r="U221" s="154"/>
      <c r="V221" s="155"/>
      <c r="W221" s="136"/>
      <c r="X221" s="63"/>
      <c r="Y221" s="63"/>
      <c r="Z221" s="62"/>
      <c r="AA221" s="62"/>
      <c r="AB221" s="103"/>
      <c r="AC221" s="103"/>
    </row>
    <row r="222" spans="1:29" s="70" customFormat="1" ht="15" x14ac:dyDescent="0.2">
      <c r="A222" s="60"/>
      <c r="B222" s="169"/>
      <c r="C222" s="152"/>
      <c r="D222" s="153"/>
      <c r="E222" s="122"/>
      <c r="F222" s="122"/>
      <c r="G222" s="122"/>
      <c r="H222" s="123"/>
      <c r="I222" s="135"/>
      <c r="J222" s="123"/>
      <c r="K222" s="124"/>
      <c r="L222" s="123"/>
      <c r="M222" s="125"/>
      <c r="N222" s="131"/>
      <c r="O222" s="118"/>
      <c r="P222" s="455"/>
      <c r="Q222" s="455"/>
      <c r="R222" s="455"/>
      <c r="S222" s="455"/>
      <c r="T222" s="149"/>
      <c r="U222" s="154"/>
      <c r="V222" s="155"/>
      <c r="W222" s="136"/>
      <c r="X222" s="63"/>
      <c r="Y222" s="63"/>
      <c r="Z222" s="62"/>
      <c r="AA222" s="62"/>
      <c r="AB222" s="103"/>
      <c r="AC222" s="103"/>
    </row>
    <row r="223" spans="1:29" s="70" customFormat="1" ht="15" x14ac:dyDescent="0.2">
      <c r="A223" s="60"/>
      <c r="B223" s="169" t="s">
        <v>70</v>
      </c>
      <c r="C223" s="152"/>
      <c r="D223" s="153"/>
      <c r="E223" s="122"/>
      <c r="F223" s="122"/>
      <c r="G223" s="122"/>
      <c r="H223" s="123"/>
      <c r="I223" s="135"/>
      <c r="J223" s="123"/>
      <c r="K223" s="124"/>
      <c r="L223" s="123"/>
      <c r="M223" s="125"/>
      <c r="N223" s="131"/>
      <c r="O223" s="118"/>
      <c r="P223" s="455"/>
      <c r="Q223" s="455"/>
      <c r="R223" s="455"/>
      <c r="S223" s="455"/>
      <c r="T223" s="149"/>
      <c r="U223" s="154"/>
      <c r="V223" s="155"/>
      <c r="W223" s="136"/>
      <c r="X223" s="63"/>
      <c r="Y223" s="63"/>
      <c r="Z223" s="62"/>
      <c r="AA223" s="62"/>
      <c r="AB223" s="103"/>
      <c r="AC223" s="103"/>
    </row>
    <row r="224" spans="1:29" s="70" customFormat="1" ht="14.25" x14ac:dyDescent="0.2">
      <c r="A224" s="60"/>
      <c r="B224" s="165" t="s">
        <v>56</v>
      </c>
      <c r="C224" s="152"/>
      <c r="D224" s="153"/>
      <c r="E224" s="122"/>
      <c r="F224" s="122"/>
      <c r="G224" s="122"/>
      <c r="H224" s="123"/>
      <c r="I224" s="135"/>
      <c r="J224" s="123"/>
      <c r="K224" s="124"/>
      <c r="L224" s="123"/>
      <c r="M224" s="125"/>
      <c r="N224" s="131"/>
      <c r="O224" s="118"/>
      <c r="P224" s="455"/>
      <c r="Q224" s="455"/>
      <c r="R224" s="455"/>
      <c r="S224" s="455"/>
      <c r="T224" s="149"/>
      <c r="U224" s="154"/>
      <c r="V224" s="155"/>
      <c r="W224" s="136"/>
      <c r="X224" s="63"/>
      <c r="Y224" s="63"/>
      <c r="Z224" s="62"/>
      <c r="AA224" s="62"/>
      <c r="AB224" s="103"/>
      <c r="AC224" s="103"/>
    </row>
    <row r="225" spans="1:29" s="70" customFormat="1" ht="14.25" x14ac:dyDescent="0.2">
      <c r="A225" s="60"/>
      <c r="B225" s="146" t="s">
        <v>76</v>
      </c>
      <c r="C225" s="61">
        <v>50</v>
      </c>
      <c r="D225" s="72" t="s">
        <v>45</v>
      </c>
      <c r="E225" s="122">
        <v>0.32</v>
      </c>
      <c r="F225" s="122">
        <f>C225*E225</f>
        <v>16</v>
      </c>
      <c r="G225" s="122">
        <f>$H$11*E225</f>
        <v>16</v>
      </c>
      <c r="H225" s="123">
        <f>F225*$H$11</f>
        <v>800</v>
      </c>
      <c r="I225" s="135">
        <v>15.51</v>
      </c>
      <c r="J225" s="123">
        <f>C225*I225</f>
        <v>775.5</v>
      </c>
      <c r="K225" s="124">
        <f>SUM(H225,J225)</f>
        <v>1575.5</v>
      </c>
      <c r="L225" s="123">
        <f>K225/C225</f>
        <v>31.51</v>
      </c>
      <c r="M225" s="125">
        <f>C225*L225</f>
        <v>1575.5</v>
      </c>
      <c r="N225" s="131">
        <v>0</v>
      </c>
      <c r="O225" s="118">
        <f>M225*N225</f>
        <v>0</v>
      </c>
      <c r="P225" s="455"/>
      <c r="Q225" s="455"/>
      <c r="R225" s="455"/>
      <c r="S225" s="455"/>
      <c r="T225" s="149"/>
      <c r="U225" s="154"/>
      <c r="V225" s="155"/>
      <c r="W225" s="136"/>
      <c r="X225" s="63"/>
      <c r="Y225" s="63"/>
      <c r="Z225" s="62"/>
      <c r="AA225" s="62"/>
      <c r="AB225" s="103"/>
      <c r="AC225" s="103"/>
    </row>
    <row r="226" spans="1:29" s="70" customFormat="1" ht="14.25" x14ac:dyDescent="0.2">
      <c r="A226" s="60"/>
      <c r="B226" s="1" t="s">
        <v>47</v>
      </c>
      <c r="C226" s="113">
        <v>113</v>
      </c>
      <c r="D226" s="72" t="s">
        <v>46</v>
      </c>
      <c r="E226" s="122"/>
      <c r="F226" s="122"/>
      <c r="G226" s="122"/>
      <c r="H226" s="123"/>
      <c r="I226" s="135"/>
      <c r="J226" s="123"/>
      <c r="K226" s="124"/>
      <c r="L226" s="123"/>
      <c r="M226" s="125"/>
      <c r="N226" s="131"/>
      <c r="O226" s="118"/>
      <c r="P226" s="455"/>
      <c r="Q226" s="455"/>
      <c r="R226" s="455"/>
      <c r="S226" s="455"/>
      <c r="T226" s="149"/>
      <c r="U226" s="154"/>
      <c r="V226" s="155"/>
      <c r="W226" s="136"/>
      <c r="X226" s="63"/>
      <c r="Y226" s="63"/>
      <c r="Z226" s="62"/>
      <c r="AA226" s="62"/>
      <c r="AB226" s="103"/>
      <c r="AC226" s="103"/>
    </row>
    <row r="227" spans="1:29" s="70" customFormat="1" ht="14.25" x14ac:dyDescent="0.2">
      <c r="A227" s="60"/>
      <c r="B227" s="166"/>
      <c r="C227" s="152"/>
      <c r="D227" s="153"/>
      <c r="E227" s="122"/>
      <c r="F227" s="122"/>
      <c r="G227" s="122"/>
      <c r="H227" s="123"/>
      <c r="I227" s="135"/>
      <c r="J227" s="123"/>
      <c r="K227" s="124"/>
      <c r="L227" s="123"/>
      <c r="M227" s="125"/>
      <c r="N227" s="131"/>
      <c r="O227" s="118"/>
      <c r="P227" s="455"/>
      <c r="Q227" s="455"/>
      <c r="R227" s="455"/>
      <c r="S227" s="455"/>
      <c r="T227" s="149"/>
      <c r="U227" s="154"/>
      <c r="V227" s="155"/>
      <c r="W227" s="136"/>
      <c r="X227" s="63"/>
      <c r="Y227" s="63"/>
      <c r="Z227" s="62"/>
      <c r="AA227" s="62"/>
      <c r="AB227" s="103"/>
      <c r="AC227" s="103"/>
    </row>
    <row r="228" spans="1:29" s="70" customFormat="1" ht="14.25" x14ac:dyDescent="0.2">
      <c r="A228" s="60"/>
      <c r="B228" s="151" t="s">
        <v>87</v>
      </c>
      <c r="C228" s="157" t="s">
        <v>85</v>
      </c>
      <c r="D228" s="153"/>
      <c r="E228" s="122"/>
      <c r="F228" s="122"/>
      <c r="G228" s="122"/>
      <c r="H228" s="123"/>
      <c r="I228" s="135"/>
      <c r="J228" s="123"/>
      <c r="K228" s="124"/>
      <c r="L228" s="123"/>
      <c r="M228" s="125"/>
      <c r="N228" s="131"/>
      <c r="O228" s="118"/>
      <c r="P228" s="455"/>
      <c r="Q228" s="455"/>
      <c r="R228" s="455"/>
      <c r="S228" s="455"/>
      <c r="T228" s="149"/>
      <c r="U228" s="154"/>
      <c r="V228" s="155"/>
      <c r="W228" s="136"/>
      <c r="X228" s="63"/>
      <c r="Y228" s="63"/>
      <c r="Z228" s="62"/>
      <c r="AA228" s="62"/>
      <c r="AB228" s="103"/>
      <c r="AC228" s="103"/>
    </row>
    <row r="229" spans="1:29" s="70" customFormat="1" ht="14.25" x14ac:dyDescent="0.2">
      <c r="A229" s="60"/>
      <c r="B229" s="166"/>
      <c r="C229" s="152"/>
      <c r="D229" s="153"/>
      <c r="E229" s="122"/>
      <c r="F229" s="122"/>
      <c r="G229" s="122"/>
      <c r="H229" s="123"/>
      <c r="I229" s="135"/>
      <c r="J229" s="123"/>
      <c r="K229" s="124"/>
      <c r="L229" s="123"/>
      <c r="M229" s="125"/>
      <c r="N229" s="131"/>
      <c r="O229" s="118"/>
      <c r="P229" s="455"/>
      <c r="Q229" s="455"/>
      <c r="R229" s="455"/>
      <c r="S229" s="455"/>
      <c r="T229" s="149"/>
      <c r="U229" s="154"/>
      <c r="V229" s="155"/>
      <c r="W229" s="136"/>
      <c r="X229" s="63"/>
      <c r="Y229" s="63"/>
      <c r="Z229" s="62"/>
      <c r="AA229" s="62"/>
      <c r="AB229" s="103"/>
      <c r="AC229" s="103"/>
    </row>
    <row r="230" spans="1:29" s="70" customFormat="1" ht="14.25" x14ac:dyDescent="0.2">
      <c r="A230" s="60"/>
      <c r="B230" s="1" t="s">
        <v>95</v>
      </c>
      <c r="C230" s="170" t="s">
        <v>78</v>
      </c>
      <c r="D230" s="153"/>
      <c r="E230" s="122"/>
      <c r="F230" s="122"/>
      <c r="G230" s="122"/>
      <c r="H230" s="123"/>
      <c r="I230" s="135"/>
      <c r="J230" s="123"/>
      <c r="K230" s="124"/>
      <c r="L230" s="123"/>
      <c r="M230" s="125"/>
      <c r="N230" s="131"/>
      <c r="O230" s="118"/>
      <c r="P230" s="455"/>
      <c r="Q230" s="455"/>
      <c r="R230" s="455"/>
      <c r="S230" s="455"/>
      <c r="T230" s="149"/>
      <c r="U230" s="154"/>
      <c r="V230" s="155"/>
      <c r="W230" s="136"/>
      <c r="X230" s="63"/>
      <c r="Y230" s="63"/>
      <c r="Z230" s="62"/>
      <c r="AA230" s="62"/>
      <c r="AB230" s="103"/>
      <c r="AC230" s="103"/>
    </row>
    <row r="231" spans="1:29" s="70" customFormat="1" ht="14.25" x14ac:dyDescent="0.2">
      <c r="A231" s="60"/>
      <c r="B231" s="166"/>
      <c r="C231" s="152"/>
      <c r="D231" s="153"/>
      <c r="E231" s="122"/>
      <c r="F231" s="122"/>
      <c r="G231" s="122"/>
      <c r="H231" s="123"/>
      <c r="I231" s="135"/>
      <c r="J231" s="123"/>
      <c r="K231" s="124"/>
      <c r="L231" s="123"/>
      <c r="M231" s="125"/>
      <c r="N231" s="131"/>
      <c r="O231" s="118"/>
      <c r="P231" s="455"/>
      <c r="Q231" s="455"/>
      <c r="R231" s="455"/>
      <c r="S231" s="455"/>
      <c r="T231" s="149"/>
      <c r="U231" s="154"/>
      <c r="V231" s="155"/>
      <c r="W231" s="136"/>
      <c r="X231" s="63"/>
      <c r="Y231" s="63"/>
      <c r="Z231" s="62"/>
      <c r="AA231" s="62"/>
      <c r="AB231" s="103"/>
      <c r="AC231" s="103"/>
    </row>
    <row r="232" spans="1:29" s="70" customFormat="1" ht="14.25" x14ac:dyDescent="0.2">
      <c r="A232" s="60"/>
      <c r="B232" s="165" t="s">
        <v>58</v>
      </c>
      <c r="C232" s="152"/>
      <c r="D232" s="153"/>
      <c r="E232" s="122"/>
      <c r="F232" s="122"/>
      <c r="G232" s="122"/>
      <c r="H232" s="123"/>
      <c r="I232" s="135"/>
      <c r="J232" s="123"/>
      <c r="K232" s="124"/>
      <c r="L232" s="123"/>
      <c r="M232" s="125"/>
      <c r="N232" s="131"/>
      <c r="O232" s="118"/>
      <c r="P232" s="455"/>
      <c r="Q232" s="455"/>
      <c r="R232" s="455"/>
      <c r="S232" s="455"/>
      <c r="T232" s="149"/>
      <c r="U232" s="154"/>
      <c r="V232" s="155"/>
      <c r="W232" s="136"/>
      <c r="X232" s="63"/>
      <c r="Y232" s="63"/>
      <c r="Z232" s="62"/>
      <c r="AA232" s="62"/>
      <c r="AB232" s="103"/>
      <c r="AC232" s="103"/>
    </row>
    <row r="233" spans="1:29" s="70" customFormat="1" ht="25.5" x14ac:dyDescent="0.2">
      <c r="A233" s="60"/>
      <c r="B233" s="1" t="s">
        <v>425</v>
      </c>
      <c r="C233" s="152">
        <v>649</v>
      </c>
      <c r="D233" s="153" t="s">
        <v>45</v>
      </c>
      <c r="E233" s="122">
        <v>0.21</v>
      </c>
      <c r="F233" s="122">
        <f>C233*E233</f>
        <v>136.29</v>
      </c>
      <c r="G233" s="122">
        <f>$H$11*E233</f>
        <v>10.5</v>
      </c>
      <c r="H233" s="123">
        <f>F233*$H$11</f>
        <v>6814.5</v>
      </c>
      <c r="I233" s="135">
        <v>11.51</v>
      </c>
      <c r="J233" s="123">
        <f>C233*I233</f>
        <v>7469.99</v>
      </c>
      <c r="K233" s="124">
        <f>SUM(H233,J233)</f>
        <v>14284.49</v>
      </c>
      <c r="L233" s="123">
        <f>K233/C233</f>
        <v>22.009999999999998</v>
      </c>
      <c r="M233" s="125">
        <f>C233*L233</f>
        <v>14284.489999999998</v>
      </c>
      <c r="N233" s="131">
        <v>0</v>
      </c>
      <c r="O233" s="118">
        <f>M233*N233</f>
        <v>0</v>
      </c>
      <c r="P233" s="455"/>
      <c r="Q233" s="455"/>
      <c r="R233" s="455"/>
      <c r="S233" s="455"/>
      <c r="T233" s="149"/>
      <c r="U233" s="154"/>
      <c r="V233" s="155"/>
      <c r="W233" s="136"/>
      <c r="X233" s="63"/>
      <c r="Y233" s="63"/>
      <c r="Z233" s="62"/>
      <c r="AA233" s="62"/>
      <c r="AB233" s="103"/>
      <c r="AC233" s="103"/>
    </row>
    <row r="234" spans="1:29" s="70" customFormat="1" ht="14.25" x14ac:dyDescent="0.2">
      <c r="A234" s="60"/>
      <c r="B234" s="1" t="s">
        <v>47</v>
      </c>
      <c r="C234" s="152">
        <v>407</v>
      </c>
      <c r="D234" s="153" t="s">
        <v>46</v>
      </c>
      <c r="E234" s="122">
        <v>0.1</v>
      </c>
      <c r="F234" s="122">
        <f>C234*E234</f>
        <v>40.700000000000003</v>
      </c>
      <c r="G234" s="122">
        <f>$H$11*E234</f>
        <v>5</v>
      </c>
      <c r="H234" s="123">
        <f>F234*$H$11</f>
        <v>2035.0000000000002</v>
      </c>
      <c r="I234" s="135">
        <v>2.5299999999999998</v>
      </c>
      <c r="J234" s="123">
        <f>C234*I234</f>
        <v>1029.7099999999998</v>
      </c>
      <c r="K234" s="124">
        <f>SUM(H234,J234)</f>
        <v>3064.71</v>
      </c>
      <c r="L234" s="123">
        <f>K234/C234</f>
        <v>7.53</v>
      </c>
      <c r="M234" s="125">
        <f>C234*L234</f>
        <v>3064.71</v>
      </c>
      <c r="N234" s="131">
        <v>0</v>
      </c>
      <c r="O234" s="118">
        <f>M234*N234</f>
        <v>0</v>
      </c>
      <c r="P234" s="455"/>
      <c r="Q234" s="455"/>
      <c r="R234" s="455"/>
      <c r="S234" s="455"/>
      <c r="T234" s="149"/>
      <c r="U234" s="154"/>
      <c r="V234" s="155"/>
      <c r="W234" s="136"/>
      <c r="X234" s="63"/>
      <c r="Y234" s="63"/>
      <c r="Z234" s="62"/>
      <c r="AA234" s="62"/>
      <c r="AB234" s="103"/>
      <c r="AC234" s="103"/>
    </row>
    <row r="235" spans="1:29" s="70" customFormat="1" ht="14.25" x14ac:dyDescent="0.2">
      <c r="A235" s="60"/>
      <c r="B235" s="1" t="s">
        <v>98</v>
      </c>
      <c r="C235" s="152">
        <v>18</v>
      </c>
      <c r="D235" s="153" t="s">
        <v>60</v>
      </c>
      <c r="E235" s="122">
        <v>0.75</v>
      </c>
      <c r="F235" s="122">
        <f>C235*E235</f>
        <v>13.5</v>
      </c>
      <c r="G235" s="122">
        <f>$H$11*E235</f>
        <v>37.5</v>
      </c>
      <c r="H235" s="123">
        <f>F235*$H$11</f>
        <v>675</v>
      </c>
      <c r="I235" s="135">
        <v>25</v>
      </c>
      <c r="J235" s="123">
        <f>C235*I235</f>
        <v>450</v>
      </c>
      <c r="K235" s="124">
        <f>SUM(H235,J235)</f>
        <v>1125</v>
      </c>
      <c r="L235" s="123">
        <f>K235/C235</f>
        <v>62.5</v>
      </c>
      <c r="M235" s="125">
        <f>C235*L235</f>
        <v>1125</v>
      </c>
      <c r="N235" s="131">
        <v>0</v>
      </c>
      <c r="O235" s="118">
        <f>M235*N235</f>
        <v>0</v>
      </c>
      <c r="P235" s="455"/>
      <c r="Q235" s="455"/>
      <c r="R235" s="455"/>
      <c r="S235" s="455"/>
      <c r="T235" s="149"/>
      <c r="U235" s="154"/>
      <c r="V235" s="155"/>
      <c r="W235" s="136"/>
      <c r="X235" s="63"/>
      <c r="Y235" s="63"/>
      <c r="Z235" s="62"/>
      <c r="AA235" s="62"/>
      <c r="AB235" s="103"/>
      <c r="AC235" s="103"/>
    </row>
    <row r="236" spans="1:29" s="70" customFormat="1" ht="25.5" x14ac:dyDescent="0.2">
      <c r="A236" s="60"/>
      <c r="B236" s="1" t="s">
        <v>426</v>
      </c>
      <c r="C236" s="152">
        <v>649</v>
      </c>
      <c r="D236" s="153" t="s">
        <v>45</v>
      </c>
      <c r="E236" s="122">
        <v>0.1</v>
      </c>
      <c r="F236" s="122">
        <f>C236*E236</f>
        <v>64.900000000000006</v>
      </c>
      <c r="G236" s="122">
        <f>$H$11*E236</f>
        <v>5</v>
      </c>
      <c r="H236" s="123">
        <f>F236*$H$11</f>
        <v>3245.0000000000005</v>
      </c>
      <c r="I236" s="135">
        <v>36.36</v>
      </c>
      <c r="J236" s="123">
        <f>C236*I236</f>
        <v>23597.64</v>
      </c>
      <c r="K236" s="124">
        <f>SUM(H236,J236)</f>
        <v>26842.639999999999</v>
      </c>
      <c r="L236" s="123">
        <f>K236/C236</f>
        <v>41.36</v>
      </c>
      <c r="M236" s="125">
        <f>C236*L236</f>
        <v>26842.639999999999</v>
      </c>
      <c r="N236" s="131">
        <v>0</v>
      </c>
      <c r="O236" s="118">
        <f>M236*N236</f>
        <v>0</v>
      </c>
      <c r="P236" s="455"/>
      <c r="Q236" s="455">
        <f>SUM(M233,M234,M236)</f>
        <v>44191.839999999997</v>
      </c>
      <c r="R236" s="455">
        <f>Q236/C233</f>
        <v>68.092203389830502</v>
      </c>
      <c r="S236" s="455"/>
      <c r="T236" s="149"/>
      <c r="U236" s="149"/>
      <c r="V236" s="412"/>
      <c r="W236" s="136"/>
      <c r="X236" s="63"/>
      <c r="Y236" s="63"/>
      <c r="Z236" s="62"/>
      <c r="AA236" s="62"/>
      <c r="AB236" s="103"/>
      <c r="AC236" s="103"/>
    </row>
    <row r="237" spans="1:29" s="70" customFormat="1" ht="14.25" x14ac:dyDescent="0.2">
      <c r="A237" s="60"/>
      <c r="B237" s="1" t="s">
        <v>436</v>
      </c>
      <c r="C237" s="152">
        <v>92</v>
      </c>
      <c r="D237" s="153" t="s">
        <v>60</v>
      </c>
      <c r="E237" s="122">
        <v>0</v>
      </c>
      <c r="F237" s="122">
        <f>C237*E237</f>
        <v>0</v>
      </c>
      <c r="G237" s="122">
        <f>$H$11*E237</f>
        <v>0</v>
      </c>
      <c r="H237" s="123">
        <f>F237*$H$11</f>
        <v>0</v>
      </c>
      <c r="I237" s="135">
        <v>5.79</v>
      </c>
      <c r="J237" s="123">
        <f>C237*I237</f>
        <v>532.67999999999995</v>
      </c>
      <c r="K237" s="124">
        <f>SUM(H237,J237)</f>
        <v>532.67999999999995</v>
      </c>
      <c r="L237" s="123">
        <f>K237/C237</f>
        <v>5.7899999999999991</v>
      </c>
      <c r="M237" s="125">
        <f>C237*L237</f>
        <v>532.67999999999995</v>
      </c>
      <c r="N237" s="131">
        <v>0</v>
      </c>
      <c r="O237" s="118">
        <f>M237*N237</f>
        <v>0</v>
      </c>
      <c r="P237" s="455"/>
      <c r="Q237" s="455"/>
      <c r="R237" s="455"/>
      <c r="S237" s="455"/>
      <c r="T237" s="149"/>
      <c r="U237" s="154"/>
      <c r="V237" s="155"/>
      <c r="W237" s="136"/>
      <c r="X237" s="63"/>
      <c r="Y237" s="63"/>
      <c r="Z237" s="62"/>
      <c r="AA237" s="62"/>
      <c r="AB237" s="103"/>
      <c r="AC237" s="103"/>
    </row>
    <row r="238" spans="1:29" s="70" customFormat="1" ht="14.25" x14ac:dyDescent="0.2">
      <c r="A238" s="60"/>
      <c r="B238" s="1"/>
      <c r="C238" s="152"/>
      <c r="D238" s="153"/>
      <c r="E238" s="122"/>
      <c r="F238" s="122"/>
      <c r="G238" s="122"/>
      <c r="H238" s="123"/>
      <c r="I238" s="135"/>
      <c r="J238" s="123"/>
      <c r="K238" s="124"/>
      <c r="L238" s="123"/>
      <c r="M238" s="125"/>
      <c r="N238" s="131"/>
      <c r="O238" s="118"/>
      <c r="P238" s="455"/>
      <c r="Q238" s="455"/>
      <c r="R238" s="455"/>
      <c r="S238" s="455"/>
      <c r="T238" s="149"/>
      <c r="U238" s="154"/>
      <c r="V238" s="155"/>
      <c r="W238" s="136"/>
      <c r="X238" s="63"/>
      <c r="Y238" s="63"/>
      <c r="Z238" s="62"/>
      <c r="AA238" s="62"/>
      <c r="AB238" s="103"/>
      <c r="AC238" s="103"/>
    </row>
    <row r="239" spans="1:29" s="70" customFormat="1" ht="14.25" x14ac:dyDescent="0.2">
      <c r="A239" s="60"/>
      <c r="B239" s="151" t="s">
        <v>90</v>
      </c>
      <c r="C239" s="152">
        <v>1</v>
      </c>
      <c r="D239" s="153" t="s">
        <v>59</v>
      </c>
      <c r="E239" s="122">
        <v>0</v>
      </c>
      <c r="F239" s="122">
        <f>C239*E239</f>
        <v>0</v>
      </c>
      <c r="G239" s="122">
        <f>$H$11*E239</f>
        <v>0</v>
      </c>
      <c r="H239" s="123">
        <f>F239*$H$11</f>
        <v>0</v>
      </c>
      <c r="I239" s="135">
        <v>500</v>
      </c>
      <c r="J239" s="123">
        <f>C239*I239</f>
        <v>500</v>
      </c>
      <c r="K239" s="124">
        <f>SUM(H239,J239)</f>
        <v>500</v>
      </c>
      <c r="L239" s="123">
        <f>K239/C239</f>
        <v>500</v>
      </c>
      <c r="M239" s="125">
        <f>C239*L239</f>
        <v>500</v>
      </c>
      <c r="N239" s="131">
        <v>0</v>
      </c>
      <c r="O239" s="118">
        <f>M239*N239</f>
        <v>0</v>
      </c>
      <c r="P239" s="455"/>
      <c r="Q239" s="455"/>
      <c r="R239" s="455"/>
      <c r="S239" s="455"/>
      <c r="T239" s="149"/>
      <c r="U239" s="154"/>
      <c r="V239" s="155"/>
      <c r="W239" s="136"/>
      <c r="X239" s="63"/>
      <c r="Y239" s="63"/>
      <c r="Z239" s="62"/>
      <c r="AA239" s="62"/>
      <c r="AB239" s="103"/>
      <c r="AC239" s="103"/>
    </row>
    <row r="240" spans="1:29" s="70" customFormat="1" ht="14.25" x14ac:dyDescent="0.2">
      <c r="A240" s="60"/>
      <c r="B240" s="151"/>
      <c r="C240" s="152"/>
      <c r="D240" s="153"/>
      <c r="E240" s="122"/>
      <c r="F240" s="122"/>
      <c r="G240" s="122"/>
      <c r="H240" s="123"/>
      <c r="I240" s="135"/>
      <c r="J240" s="123"/>
      <c r="K240" s="124"/>
      <c r="L240" s="123"/>
      <c r="M240" s="125"/>
      <c r="N240" s="131"/>
      <c r="O240" s="118"/>
      <c r="P240" s="455"/>
      <c r="Q240" s="455"/>
      <c r="R240" s="455"/>
      <c r="S240" s="455"/>
      <c r="T240" s="149"/>
      <c r="U240" s="154"/>
      <c r="V240" s="155"/>
      <c r="W240" s="136"/>
      <c r="X240" s="63"/>
      <c r="Y240" s="63"/>
      <c r="Z240" s="62"/>
      <c r="AA240" s="62"/>
      <c r="AB240" s="103"/>
      <c r="AC240" s="103"/>
    </row>
    <row r="241" spans="1:29" s="70" customFormat="1" ht="14.25" x14ac:dyDescent="0.2">
      <c r="A241" s="60"/>
      <c r="B241" s="435" t="s">
        <v>480</v>
      </c>
      <c r="C241" s="441" t="s">
        <v>488</v>
      </c>
      <c r="D241" s="153"/>
      <c r="E241" s="122"/>
      <c r="F241" s="122"/>
      <c r="G241" s="122"/>
      <c r="H241" s="123"/>
      <c r="I241" s="135"/>
      <c r="J241" s="123"/>
      <c r="K241" s="124"/>
      <c r="L241" s="123"/>
      <c r="M241" s="125"/>
      <c r="N241" s="131"/>
      <c r="O241" s="118"/>
      <c r="P241" s="455"/>
      <c r="Q241" s="455"/>
      <c r="R241" s="455"/>
      <c r="S241" s="455"/>
      <c r="T241" s="149"/>
      <c r="U241" s="154"/>
      <c r="V241" s="155"/>
      <c r="W241" s="136"/>
      <c r="X241" s="63"/>
      <c r="Y241" s="63"/>
      <c r="Z241" s="62"/>
      <c r="AA241" s="62"/>
      <c r="AB241" s="103"/>
      <c r="AC241" s="103"/>
    </row>
    <row r="242" spans="1:29" s="70" customFormat="1" ht="14.25" x14ac:dyDescent="0.2">
      <c r="A242" s="60"/>
      <c r="B242" s="151"/>
      <c r="C242" s="152"/>
      <c r="D242" s="153"/>
      <c r="E242" s="122"/>
      <c r="F242" s="122"/>
      <c r="G242" s="122"/>
      <c r="H242" s="123"/>
      <c r="I242" s="135"/>
      <c r="J242" s="123"/>
      <c r="K242" s="124"/>
      <c r="L242" s="123"/>
      <c r="M242" s="125"/>
      <c r="N242" s="131"/>
      <c r="O242" s="118"/>
      <c r="P242" s="455"/>
      <c r="Q242" s="455"/>
      <c r="R242" s="455"/>
      <c r="S242" s="455"/>
      <c r="T242" s="149"/>
      <c r="U242" s="154"/>
      <c r="V242" s="155"/>
      <c r="W242" s="136"/>
      <c r="X242" s="63"/>
      <c r="Y242" s="63"/>
      <c r="Z242" s="62"/>
      <c r="AA242" s="62"/>
      <c r="AB242" s="103"/>
      <c r="AC242" s="103"/>
    </row>
    <row r="243" spans="1:29" s="70" customFormat="1" ht="14.25" x14ac:dyDescent="0.2">
      <c r="A243" s="60"/>
      <c r="B243" s="421" t="s">
        <v>489</v>
      </c>
      <c r="C243" s="157"/>
      <c r="D243" s="153"/>
      <c r="E243" s="122"/>
      <c r="F243" s="122"/>
      <c r="G243" s="122"/>
      <c r="H243" s="123"/>
      <c r="I243" s="135"/>
      <c r="J243" s="123"/>
      <c r="K243" s="124"/>
      <c r="L243" s="123"/>
      <c r="M243" s="125"/>
      <c r="N243" s="131"/>
      <c r="O243" s="118"/>
      <c r="P243" s="455"/>
      <c r="Q243" s="455"/>
      <c r="R243" s="455"/>
      <c r="S243" s="455"/>
      <c r="T243" s="149"/>
      <c r="U243" s="154"/>
      <c r="V243" s="155"/>
      <c r="W243" s="136"/>
      <c r="X243" s="63"/>
      <c r="Y243" s="63"/>
      <c r="Z243" s="62"/>
      <c r="AA243" s="62"/>
      <c r="AB243" s="103"/>
      <c r="AC243" s="103"/>
    </row>
    <row r="244" spans="1:29" s="70" customFormat="1" ht="14.25" x14ac:dyDescent="0.2">
      <c r="A244" s="60"/>
      <c r="B244" s="151"/>
      <c r="C244" s="157"/>
      <c r="D244" s="153"/>
      <c r="E244" s="122"/>
      <c r="F244" s="122"/>
      <c r="G244" s="122"/>
      <c r="H244" s="123"/>
      <c r="I244" s="135"/>
      <c r="J244" s="123"/>
      <c r="K244" s="124"/>
      <c r="L244" s="123"/>
      <c r="M244" s="125"/>
      <c r="N244" s="131"/>
      <c r="O244" s="118"/>
      <c r="P244" s="455"/>
      <c r="Q244" s="455"/>
      <c r="R244" s="455"/>
      <c r="S244" s="455"/>
      <c r="T244" s="149"/>
      <c r="U244" s="154"/>
      <c r="V244" s="155"/>
      <c r="W244" s="136"/>
      <c r="X244" s="63"/>
      <c r="Y244" s="63"/>
      <c r="Z244" s="62"/>
      <c r="AA244" s="62"/>
      <c r="AB244" s="103"/>
      <c r="AC244" s="103"/>
    </row>
    <row r="245" spans="1:29" s="70" customFormat="1" ht="14.25" x14ac:dyDescent="0.2">
      <c r="A245" s="60"/>
      <c r="B245" s="151" t="s">
        <v>455</v>
      </c>
      <c r="C245" s="152">
        <v>63</v>
      </c>
      <c r="D245" s="153" t="s">
        <v>46</v>
      </c>
      <c r="E245" s="122"/>
      <c r="F245" s="122"/>
      <c r="G245" s="122"/>
      <c r="H245" s="123"/>
      <c r="I245" s="135"/>
      <c r="J245" s="123"/>
      <c r="K245" s="124"/>
      <c r="L245" s="123"/>
      <c r="M245" s="125"/>
      <c r="N245" s="131"/>
      <c r="O245" s="118"/>
      <c r="P245" s="455"/>
      <c r="Q245" s="455"/>
      <c r="R245" s="455"/>
      <c r="S245" s="455"/>
      <c r="T245" s="149"/>
      <c r="U245" s="154"/>
      <c r="V245" s="155"/>
      <c r="W245" s="136"/>
      <c r="X245" s="63"/>
      <c r="Y245" s="63"/>
      <c r="Z245" s="62"/>
      <c r="AA245" s="62"/>
      <c r="AB245" s="103"/>
      <c r="AC245" s="103"/>
    </row>
    <row r="246" spans="1:29" s="70" customFormat="1" ht="14.25" x14ac:dyDescent="0.2">
      <c r="A246" s="60"/>
      <c r="B246" s="421" t="s">
        <v>467</v>
      </c>
      <c r="C246" s="422">
        <v>24</v>
      </c>
      <c r="D246" s="423" t="s">
        <v>46</v>
      </c>
      <c r="E246" s="122">
        <v>0.1</v>
      </c>
      <c r="F246" s="122">
        <f>C246*E246</f>
        <v>2.4000000000000004</v>
      </c>
      <c r="G246" s="122">
        <f>$H$11*E246</f>
        <v>5</v>
      </c>
      <c r="H246" s="123">
        <f>F246*$H$11</f>
        <v>120.00000000000001</v>
      </c>
      <c r="I246" s="135">
        <v>1.32</v>
      </c>
      <c r="J246" s="123">
        <f>C246*I246</f>
        <v>31.68</v>
      </c>
      <c r="K246" s="124">
        <f>SUM(H246,J246)</f>
        <v>151.68</v>
      </c>
      <c r="L246" s="123">
        <f>K246/C246</f>
        <v>6.32</v>
      </c>
      <c r="M246" s="125">
        <f>C246*L246</f>
        <v>151.68</v>
      </c>
      <c r="N246" s="131"/>
      <c r="O246" s="118"/>
      <c r="P246" s="455"/>
      <c r="Q246" s="455"/>
      <c r="R246" s="455"/>
      <c r="S246" s="455"/>
      <c r="T246" s="149"/>
      <c r="U246" s="154"/>
      <c r="V246" s="155"/>
      <c r="W246" s="136"/>
      <c r="X246" s="63"/>
      <c r="Y246" s="63"/>
      <c r="Z246" s="62"/>
      <c r="AA246" s="62"/>
      <c r="AB246" s="103"/>
      <c r="AC246" s="103"/>
    </row>
    <row r="247" spans="1:29" s="70" customFormat="1" ht="14.25" x14ac:dyDescent="0.2">
      <c r="A247" s="60"/>
      <c r="B247" s="421" t="s">
        <v>468</v>
      </c>
      <c r="C247" s="422">
        <v>39</v>
      </c>
      <c r="D247" s="423" t="s">
        <v>46</v>
      </c>
      <c r="E247" s="122">
        <v>0.09</v>
      </c>
      <c r="F247" s="122">
        <f>C247*E247</f>
        <v>3.51</v>
      </c>
      <c r="G247" s="122">
        <f>$H$11*E247</f>
        <v>4.5</v>
      </c>
      <c r="H247" s="123">
        <f>F247*$H$11</f>
        <v>175.5</v>
      </c>
      <c r="I247" s="135">
        <v>2.82</v>
      </c>
      <c r="J247" s="123">
        <f>C247*I247</f>
        <v>109.97999999999999</v>
      </c>
      <c r="K247" s="124">
        <f>SUM(H247,J247)</f>
        <v>285.48</v>
      </c>
      <c r="L247" s="123">
        <f>K247/C247</f>
        <v>7.32</v>
      </c>
      <c r="M247" s="125">
        <f>C247*L247</f>
        <v>285.48</v>
      </c>
      <c r="N247" s="131"/>
      <c r="O247" s="118"/>
      <c r="P247" s="455"/>
      <c r="Q247" s="455"/>
      <c r="R247" s="455"/>
      <c r="S247" s="455"/>
      <c r="T247" s="149"/>
      <c r="U247" s="154"/>
      <c r="V247" s="155"/>
      <c r="W247" s="136"/>
      <c r="X247" s="63"/>
      <c r="Y247" s="63"/>
      <c r="Z247" s="62"/>
      <c r="AA247" s="62"/>
      <c r="AB247" s="103"/>
      <c r="AC247" s="103"/>
    </row>
    <row r="248" spans="1:29" s="70" customFormat="1" ht="14.25" x14ac:dyDescent="0.2">
      <c r="A248" s="60"/>
      <c r="B248" s="151"/>
      <c r="C248" s="152"/>
      <c r="D248" s="153"/>
      <c r="E248" s="122"/>
      <c r="F248" s="122"/>
      <c r="G248" s="122"/>
      <c r="H248" s="123"/>
      <c r="I248" s="135"/>
      <c r="J248" s="123"/>
      <c r="K248" s="124"/>
      <c r="L248" s="123"/>
      <c r="M248" s="125"/>
      <c r="N248" s="131"/>
      <c r="O248" s="118"/>
      <c r="P248" s="455"/>
      <c r="Q248" s="455"/>
      <c r="R248" s="455"/>
      <c r="S248" s="455"/>
      <c r="T248" s="149"/>
      <c r="U248" s="154"/>
      <c r="V248" s="155"/>
      <c r="W248" s="136"/>
      <c r="X248" s="63"/>
      <c r="Y248" s="63"/>
      <c r="Z248" s="62"/>
      <c r="AA248" s="62"/>
      <c r="AB248" s="103"/>
      <c r="AC248" s="103"/>
    </row>
    <row r="249" spans="1:29" s="70" customFormat="1" ht="14.25" x14ac:dyDescent="0.2">
      <c r="A249" s="60"/>
      <c r="B249" s="151" t="s">
        <v>456</v>
      </c>
      <c r="C249" s="152">
        <v>72</v>
      </c>
      <c r="D249" s="153" t="s">
        <v>46</v>
      </c>
      <c r="E249" s="390">
        <v>0.25</v>
      </c>
      <c r="F249" s="122">
        <f>C249*E249</f>
        <v>18</v>
      </c>
      <c r="G249" s="122">
        <f>$H$11*E249</f>
        <v>12.5</v>
      </c>
      <c r="H249" s="123">
        <f>F249*$H$11</f>
        <v>900</v>
      </c>
      <c r="I249" s="393">
        <v>27.16</v>
      </c>
      <c r="J249" s="123">
        <f>C249*I249</f>
        <v>1955.52</v>
      </c>
      <c r="K249" s="124">
        <f>SUM(H249,J249)</f>
        <v>2855.52</v>
      </c>
      <c r="L249" s="123">
        <f>K249/C249</f>
        <v>39.659999999999997</v>
      </c>
      <c r="M249" s="125">
        <f>C249*L249</f>
        <v>2855.5199999999995</v>
      </c>
      <c r="N249" s="131">
        <v>0</v>
      </c>
      <c r="O249" s="118">
        <f>M249*N249</f>
        <v>0</v>
      </c>
      <c r="P249" s="455"/>
      <c r="Q249" s="455"/>
      <c r="R249" s="455"/>
      <c r="S249" s="455"/>
      <c r="T249" s="149"/>
      <c r="U249" s="154"/>
      <c r="V249" s="155"/>
      <c r="W249" s="136"/>
      <c r="X249" s="63"/>
      <c r="Y249" s="63"/>
      <c r="Z249" s="62"/>
      <c r="AA249" s="62"/>
      <c r="AB249" s="103"/>
      <c r="AC249" s="103"/>
    </row>
    <row r="250" spans="1:29" s="70" customFormat="1" ht="14.25" x14ac:dyDescent="0.2">
      <c r="A250" s="60"/>
      <c r="B250" s="421" t="s">
        <v>466</v>
      </c>
      <c r="C250" s="424">
        <f>C249/1.5</f>
        <v>48</v>
      </c>
      <c r="D250" s="423" t="s">
        <v>60</v>
      </c>
      <c r="E250" s="390">
        <v>0.09</v>
      </c>
      <c r="F250" s="122">
        <f>C250*E250</f>
        <v>4.32</v>
      </c>
      <c r="G250" s="122">
        <f>$H$11*E250</f>
        <v>4.5</v>
      </c>
      <c r="H250" s="123">
        <f>F250*$H$11</f>
        <v>216</v>
      </c>
      <c r="I250" s="393">
        <v>5.28</v>
      </c>
      <c r="J250" s="123">
        <f>C250*I250</f>
        <v>253.44</v>
      </c>
      <c r="K250" s="124">
        <f>SUM(H250,J250)</f>
        <v>469.44</v>
      </c>
      <c r="L250" s="123">
        <f>K250/C250</f>
        <v>9.7799999999999994</v>
      </c>
      <c r="M250" s="125">
        <f>C250*L250</f>
        <v>469.43999999999994</v>
      </c>
      <c r="N250" s="131">
        <v>0</v>
      </c>
      <c r="O250" s="118">
        <f>M250*N250</f>
        <v>0</v>
      </c>
      <c r="P250" s="455"/>
      <c r="Q250" s="455"/>
      <c r="R250" s="455"/>
      <c r="S250" s="455"/>
      <c r="T250" s="149"/>
      <c r="U250" s="154"/>
      <c r="V250" s="155"/>
      <c r="W250" s="136"/>
      <c r="X250" s="63"/>
      <c r="Y250" s="63"/>
      <c r="Z250" s="62"/>
      <c r="AA250" s="62"/>
      <c r="AB250" s="103"/>
      <c r="AC250" s="103"/>
    </row>
    <row r="251" spans="1:29" s="70" customFormat="1" ht="14.25" x14ac:dyDescent="0.2">
      <c r="A251" s="60"/>
      <c r="B251" s="421" t="s">
        <v>504</v>
      </c>
      <c r="C251" s="424">
        <f>C249/1.8</f>
        <v>40</v>
      </c>
      <c r="D251" s="423" t="s">
        <v>60</v>
      </c>
      <c r="E251" s="390">
        <v>0</v>
      </c>
      <c r="F251" s="122">
        <f>C251*E251</f>
        <v>0</v>
      </c>
      <c r="G251" s="122">
        <f>$H$11*E251</f>
        <v>0</v>
      </c>
      <c r="H251" s="123">
        <f>F251*$H$11</f>
        <v>0</v>
      </c>
      <c r="I251" s="393">
        <v>5.28</v>
      </c>
      <c r="J251" s="123">
        <f>C251*I251</f>
        <v>211.20000000000002</v>
      </c>
      <c r="K251" s="124">
        <f>SUM(H251,J251)</f>
        <v>211.20000000000002</v>
      </c>
      <c r="L251" s="123">
        <f>K251/C251</f>
        <v>5.28</v>
      </c>
      <c r="M251" s="125">
        <f>C251*L251</f>
        <v>211.20000000000002</v>
      </c>
      <c r="N251" s="131">
        <v>0</v>
      </c>
      <c r="O251" s="118">
        <f>M251*N251</f>
        <v>0</v>
      </c>
      <c r="P251" s="455"/>
      <c r="Q251" s="455"/>
      <c r="R251" s="455"/>
      <c r="S251" s="455"/>
      <c r="T251" s="149"/>
      <c r="U251" s="154"/>
      <c r="V251" s="155"/>
      <c r="W251" s="136"/>
      <c r="X251" s="63"/>
      <c r="Y251" s="63"/>
      <c r="Z251" s="62"/>
      <c r="AA251" s="62"/>
      <c r="AB251" s="103"/>
      <c r="AC251" s="103"/>
    </row>
    <row r="252" spans="1:29" s="70" customFormat="1" ht="14.25" x14ac:dyDescent="0.2">
      <c r="A252" s="60"/>
      <c r="B252" s="421" t="s">
        <v>457</v>
      </c>
      <c r="C252" s="422">
        <v>40</v>
      </c>
      <c r="D252" s="423" t="s">
        <v>60</v>
      </c>
      <c r="E252" s="310">
        <v>0.25</v>
      </c>
      <c r="F252" s="122">
        <f>C252*E252</f>
        <v>10</v>
      </c>
      <c r="G252" s="122">
        <f>$H$11*E252</f>
        <v>12.5</v>
      </c>
      <c r="H252" s="123">
        <f>F252*$H$11</f>
        <v>500</v>
      </c>
      <c r="I252" s="135">
        <v>17.05</v>
      </c>
      <c r="J252" s="123">
        <f>C252*I252</f>
        <v>682</v>
      </c>
      <c r="K252" s="124">
        <f>SUM(H252,J252)</f>
        <v>1182</v>
      </c>
      <c r="L252" s="123">
        <f>K252/C252</f>
        <v>29.55</v>
      </c>
      <c r="M252" s="125">
        <f>C252*L252</f>
        <v>1182</v>
      </c>
      <c r="N252" s="131">
        <v>0</v>
      </c>
      <c r="O252" s="118">
        <f>M252*N252</f>
        <v>0</v>
      </c>
      <c r="P252" s="455"/>
      <c r="Q252" s="455"/>
      <c r="R252" s="455"/>
      <c r="S252" s="455"/>
      <c r="T252" s="149"/>
      <c r="U252" s="154"/>
      <c r="V252" s="155"/>
      <c r="W252" s="136"/>
      <c r="X252" s="63"/>
      <c r="Y252" s="63"/>
      <c r="Z252" s="62"/>
      <c r="AA252" s="62"/>
      <c r="AB252" s="103"/>
      <c r="AC252" s="103"/>
    </row>
    <row r="253" spans="1:29" s="70" customFormat="1" ht="14.25" x14ac:dyDescent="0.2">
      <c r="A253" s="60"/>
      <c r="B253" s="421" t="s">
        <v>458</v>
      </c>
      <c r="C253" s="422">
        <v>40</v>
      </c>
      <c r="D253" s="423" t="s">
        <v>60</v>
      </c>
      <c r="E253" s="122">
        <v>0.12</v>
      </c>
      <c r="F253" s="122">
        <f>C253*E253</f>
        <v>4.8</v>
      </c>
      <c r="G253" s="122">
        <f>$H$11*E253</f>
        <v>6</v>
      </c>
      <c r="H253" s="123">
        <f>F253*$H$11</f>
        <v>240</v>
      </c>
      <c r="I253" s="135">
        <v>8.06</v>
      </c>
      <c r="J253" s="123">
        <f>C253*I253</f>
        <v>322.40000000000003</v>
      </c>
      <c r="K253" s="124">
        <f>SUM(H253,J253)</f>
        <v>562.40000000000009</v>
      </c>
      <c r="L253" s="123">
        <f>K253/C253</f>
        <v>14.060000000000002</v>
      </c>
      <c r="M253" s="125">
        <f>C253*L253</f>
        <v>562.40000000000009</v>
      </c>
      <c r="N253" s="131">
        <v>0</v>
      </c>
      <c r="O253" s="118">
        <f>M253*N253</f>
        <v>0</v>
      </c>
      <c r="P253" s="455"/>
      <c r="Q253" s="455"/>
      <c r="R253" s="455"/>
      <c r="S253" s="455"/>
      <c r="T253" s="149"/>
      <c r="U253" s="154"/>
      <c r="V253" s="155"/>
      <c r="W253" s="136"/>
      <c r="X253" s="63"/>
      <c r="Y253" s="63"/>
      <c r="Z253" s="62"/>
      <c r="AA253" s="62"/>
      <c r="AB253" s="103"/>
      <c r="AC253" s="103"/>
    </row>
    <row r="254" spans="1:29" s="70" customFormat="1" ht="14.25" x14ac:dyDescent="0.2">
      <c r="A254" s="60"/>
      <c r="B254" s="151"/>
      <c r="C254" s="157"/>
      <c r="D254" s="153"/>
      <c r="E254" s="122"/>
      <c r="F254" s="122"/>
      <c r="G254" s="122"/>
      <c r="H254" s="123"/>
      <c r="I254" s="135"/>
      <c r="J254" s="123"/>
      <c r="K254" s="124"/>
      <c r="L254" s="123"/>
      <c r="M254" s="125"/>
      <c r="N254" s="131"/>
      <c r="O254" s="118"/>
      <c r="P254" s="455"/>
      <c r="Q254" s="455"/>
      <c r="R254" s="455"/>
      <c r="S254" s="455"/>
      <c r="T254" s="149"/>
      <c r="U254" s="154"/>
      <c r="V254" s="155"/>
      <c r="W254" s="136"/>
      <c r="X254" s="63"/>
      <c r="Y254" s="63"/>
      <c r="Z254" s="62"/>
      <c r="AA254" s="62"/>
      <c r="AB254" s="103"/>
      <c r="AC254" s="103"/>
    </row>
    <row r="255" spans="1:29" s="70" customFormat="1" ht="14.25" x14ac:dyDescent="0.2">
      <c r="A255" s="60"/>
      <c r="B255" s="166" t="s">
        <v>57</v>
      </c>
      <c r="C255" s="152"/>
      <c r="D255" s="153"/>
      <c r="E255" s="122"/>
      <c r="F255" s="122"/>
      <c r="G255" s="122"/>
      <c r="H255" s="123"/>
      <c r="I255" s="135"/>
      <c r="J255" s="123"/>
      <c r="K255" s="124"/>
      <c r="L255" s="123"/>
      <c r="M255" s="125"/>
      <c r="N255" s="131"/>
      <c r="O255" s="118"/>
      <c r="P255" s="455"/>
      <c r="Q255" s="455"/>
      <c r="R255" s="455"/>
      <c r="S255" s="455"/>
      <c r="T255" s="149"/>
      <c r="U255" s="154"/>
      <c r="V255" s="155"/>
      <c r="W255" s="136"/>
      <c r="X255" s="63"/>
      <c r="Y255" s="63"/>
      <c r="Z255" s="62"/>
      <c r="AA255" s="62"/>
      <c r="AB255" s="103"/>
      <c r="AC255" s="103"/>
    </row>
    <row r="256" spans="1:29" s="70" customFormat="1" ht="14.25" x14ac:dyDescent="0.2">
      <c r="A256" s="60"/>
      <c r="B256" s="1" t="s">
        <v>88</v>
      </c>
      <c r="C256" s="157" t="s">
        <v>85</v>
      </c>
      <c r="D256" s="72"/>
      <c r="E256" s="122"/>
      <c r="F256" s="122"/>
      <c r="G256" s="122"/>
      <c r="H256" s="123"/>
      <c r="I256" s="135"/>
      <c r="J256" s="123"/>
      <c r="K256" s="124"/>
      <c r="L256" s="123"/>
      <c r="M256" s="125"/>
      <c r="N256" s="131"/>
      <c r="O256" s="118"/>
      <c r="P256" s="455"/>
      <c r="Q256" s="455"/>
      <c r="R256" s="455"/>
      <c r="S256" s="455"/>
      <c r="T256" s="149"/>
      <c r="U256" s="154"/>
      <c r="V256" s="155"/>
      <c r="W256" s="136"/>
      <c r="X256" s="63"/>
      <c r="Y256" s="63"/>
      <c r="Z256" s="62"/>
      <c r="AA256" s="62"/>
      <c r="AB256" s="103"/>
      <c r="AC256" s="103"/>
    </row>
    <row r="257" spans="1:29" s="70" customFormat="1" ht="14.25" x14ac:dyDescent="0.2">
      <c r="A257" s="60"/>
      <c r="B257" s="166"/>
      <c r="C257" s="152"/>
      <c r="D257" s="153"/>
      <c r="E257" s="122"/>
      <c r="F257" s="122"/>
      <c r="G257" s="122"/>
      <c r="H257" s="123"/>
      <c r="I257" s="135"/>
      <c r="J257" s="123"/>
      <c r="K257" s="124"/>
      <c r="L257" s="123"/>
      <c r="M257" s="125"/>
      <c r="N257" s="131"/>
      <c r="O257" s="118"/>
      <c r="P257" s="455"/>
      <c r="Q257" s="455"/>
      <c r="R257" s="455"/>
      <c r="S257" s="455"/>
      <c r="T257" s="149"/>
      <c r="U257" s="154"/>
      <c r="V257" s="155"/>
      <c r="W257" s="136"/>
      <c r="X257" s="63"/>
      <c r="Y257" s="63"/>
      <c r="Z257" s="62"/>
      <c r="AA257" s="62"/>
      <c r="AB257" s="103"/>
      <c r="AC257" s="103"/>
    </row>
    <row r="258" spans="1:29" s="70" customFormat="1" ht="14.25" x14ac:dyDescent="0.2">
      <c r="A258" s="60"/>
      <c r="B258" s="166" t="s">
        <v>75</v>
      </c>
      <c r="C258" s="152"/>
      <c r="D258" s="153"/>
      <c r="E258" s="122"/>
      <c r="F258" s="122"/>
      <c r="G258" s="122"/>
      <c r="H258" s="123"/>
      <c r="I258" s="135"/>
      <c r="J258" s="123"/>
      <c r="K258" s="124"/>
      <c r="L258" s="123"/>
      <c r="M258" s="125"/>
      <c r="N258" s="131"/>
      <c r="O258" s="118"/>
      <c r="P258" s="455"/>
      <c r="Q258" s="455"/>
      <c r="R258" s="455"/>
      <c r="S258" s="455"/>
      <c r="T258" s="149"/>
      <c r="U258" s="154"/>
      <c r="V258" s="155"/>
      <c r="W258" s="136"/>
      <c r="X258" s="63"/>
      <c r="Y258" s="63"/>
      <c r="Z258" s="62"/>
      <c r="AA258" s="62"/>
      <c r="AB258" s="103"/>
      <c r="AC258" s="103"/>
    </row>
    <row r="259" spans="1:29" s="70" customFormat="1" ht="14.25" x14ac:dyDescent="0.2">
      <c r="A259" s="60"/>
      <c r="B259" s="151" t="s">
        <v>91</v>
      </c>
      <c r="C259" s="152">
        <v>109</v>
      </c>
      <c r="D259" s="153" t="s">
        <v>46</v>
      </c>
      <c r="E259" s="122">
        <f>$X$125</f>
        <v>0.3</v>
      </c>
      <c r="F259" s="122">
        <f>C259*E259</f>
        <v>32.699999999999996</v>
      </c>
      <c r="G259" s="122">
        <f>$H$11*E259</f>
        <v>15</v>
      </c>
      <c r="H259" s="123">
        <f>F259*$H$11</f>
        <v>1634.9999999999998</v>
      </c>
      <c r="I259" s="135">
        <v>122.5</v>
      </c>
      <c r="J259" s="123">
        <f>C259*I259</f>
        <v>13352.5</v>
      </c>
      <c r="K259" s="124">
        <f>SUM(H259,J259)</f>
        <v>14987.5</v>
      </c>
      <c r="L259" s="123">
        <f>K259/C259</f>
        <v>137.5</v>
      </c>
      <c r="M259" s="125">
        <f>C259*L259</f>
        <v>14987.5</v>
      </c>
      <c r="N259" s="131">
        <v>0</v>
      </c>
      <c r="O259" s="118">
        <f>M259*N259</f>
        <v>0</v>
      </c>
      <c r="P259" s="455"/>
      <c r="Q259" s="455"/>
      <c r="R259" s="455"/>
      <c r="S259" s="455"/>
      <c r="T259" s="149"/>
      <c r="U259" s="154"/>
      <c r="V259" s="155"/>
      <c r="W259" s="136"/>
      <c r="X259" s="63"/>
      <c r="Y259" s="63"/>
      <c r="Z259" s="62"/>
      <c r="AA259" s="62"/>
      <c r="AB259" s="103"/>
      <c r="AC259" s="103"/>
    </row>
    <row r="260" spans="1:29" s="70" customFormat="1" ht="14.25" x14ac:dyDescent="0.2">
      <c r="A260" s="60"/>
      <c r="B260" s="151" t="s">
        <v>93</v>
      </c>
      <c r="C260" s="152">
        <v>109</v>
      </c>
      <c r="D260" s="153" t="s">
        <v>46</v>
      </c>
      <c r="E260" s="390">
        <v>0.32</v>
      </c>
      <c r="F260" s="122">
        <f>C260*E260</f>
        <v>34.880000000000003</v>
      </c>
      <c r="G260" s="122">
        <f>$H$11*E260</f>
        <v>16</v>
      </c>
      <c r="H260" s="123">
        <f>F260*$H$11</f>
        <v>1744.0000000000002</v>
      </c>
      <c r="I260" s="393">
        <v>40</v>
      </c>
      <c r="J260" s="123">
        <f>C260*I260</f>
        <v>4360</v>
      </c>
      <c r="K260" s="124">
        <f>SUM(H260,J260)</f>
        <v>6104</v>
      </c>
      <c r="L260" s="123">
        <f>K260/C260</f>
        <v>56</v>
      </c>
      <c r="M260" s="125">
        <f>C260*L260</f>
        <v>6104</v>
      </c>
      <c r="N260" s="131">
        <v>0</v>
      </c>
      <c r="O260" s="118">
        <f>M260*N260</f>
        <v>0</v>
      </c>
      <c r="P260" s="455"/>
      <c r="Q260" s="455"/>
      <c r="R260" s="455"/>
      <c r="S260" s="455"/>
      <c r="T260" s="149"/>
      <c r="U260" s="154"/>
      <c r="V260" s="155"/>
      <c r="W260" s="136"/>
      <c r="X260" s="63"/>
      <c r="Y260" s="63"/>
      <c r="Z260" s="62"/>
      <c r="AA260" s="62"/>
      <c r="AB260" s="103"/>
      <c r="AC260" s="103"/>
    </row>
    <row r="261" spans="1:29" s="70" customFormat="1" ht="14.25" x14ac:dyDescent="0.2">
      <c r="A261" s="60"/>
      <c r="B261" s="151" t="s">
        <v>504</v>
      </c>
      <c r="C261" s="446">
        <f>C259/1.8</f>
        <v>60.555555555555557</v>
      </c>
      <c r="D261" s="153" t="s">
        <v>60</v>
      </c>
      <c r="E261" s="390">
        <v>0</v>
      </c>
      <c r="F261" s="122">
        <f>C261*E261</f>
        <v>0</v>
      </c>
      <c r="G261" s="122">
        <f>$H$11*E261</f>
        <v>0</v>
      </c>
      <c r="H261" s="123">
        <f>F261*$H$11</f>
        <v>0</v>
      </c>
      <c r="I261" s="393">
        <v>5.28</v>
      </c>
      <c r="J261" s="123">
        <f>C261*I261</f>
        <v>319.73333333333335</v>
      </c>
      <c r="K261" s="124">
        <f>SUM(H261,J261)</f>
        <v>319.73333333333335</v>
      </c>
      <c r="L261" s="123">
        <f>K261/C261</f>
        <v>5.28</v>
      </c>
      <c r="M261" s="125">
        <f>C261*L261</f>
        <v>319.73333333333335</v>
      </c>
      <c r="N261" s="131">
        <v>0</v>
      </c>
      <c r="O261" s="118">
        <f>M261*N261</f>
        <v>0</v>
      </c>
      <c r="P261" s="455"/>
      <c r="Q261" s="455"/>
      <c r="R261" s="455"/>
      <c r="S261" s="455"/>
      <c r="T261" s="149"/>
      <c r="U261" s="154"/>
      <c r="V261" s="155"/>
      <c r="W261" s="136"/>
      <c r="X261" s="63"/>
      <c r="Y261" s="63"/>
      <c r="Z261" s="62"/>
      <c r="AA261" s="62"/>
      <c r="AB261" s="103"/>
      <c r="AC261" s="103"/>
    </row>
    <row r="262" spans="1:29" s="70" customFormat="1" ht="14.25" x14ac:dyDescent="0.2">
      <c r="A262" s="60"/>
      <c r="B262" s="146" t="s">
        <v>371</v>
      </c>
      <c r="C262" s="152">
        <v>61</v>
      </c>
      <c r="D262" s="153" t="s">
        <v>60</v>
      </c>
      <c r="E262" s="310">
        <v>0.25</v>
      </c>
      <c r="F262" s="122">
        <f>C262*E262</f>
        <v>15.25</v>
      </c>
      <c r="G262" s="122">
        <f>$H$11*E262</f>
        <v>12.5</v>
      </c>
      <c r="H262" s="123">
        <f>F262*$H$11</f>
        <v>762.5</v>
      </c>
      <c r="I262" s="135">
        <v>17.05</v>
      </c>
      <c r="J262" s="123">
        <f>C262*I262</f>
        <v>1040.05</v>
      </c>
      <c r="K262" s="124">
        <f>SUM(H262,J262)</f>
        <v>1802.55</v>
      </c>
      <c r="L262" s="123">
        <f>K262/C262</f>
        <v>29.55</v>
      </c>
      <c r="M262" s="125">
        <f>C262*L262</f>
        <v>1802.55</v>
      </c>
      <c r="N262" s="131">
        <v>0</v>
      </c>
      <c r="O262" s="118">
        <f>M262*N262</f>
        <v>0</v>
      </c>
      <c r="P262" s="455"/>
      <c r="Q262" s="455"/>
      <c r="R262" s="455"/>
      <c r="S262" s="455"/>
      <c r="T262" s="149"/>
      <c r="U262" s="154"/>
      <c r="V262" s="155"/>
      <c r="W262" s="136"/>
      <c r="X262" s="63"/>
      <c r="Y262" s="63"/>
      <c r="Z262" s="62"/>
      <c r="AA262" s="62"/>
      <c r="AB262" s="103"/>
      <c r="AC262" s="103"/>
    </row>
    <row r="263" spans="1:29" s="70" customFormat="1" ht="14.25" x14ac:dyDescent="0.2">
      <c r="A263" s="60"/>
      <c r="B263" s="146" t="s">
        <v>372</v>
      </c>
      <c r="C263" s="152">
        <v>61</v>
      </c>
      <c r="D263" s="153" t="s">
        <v>60</v>
      </c>
      <c r="E263" s="122">
        <v>0.12</v>
      </c>
      <c r="F263" s="122">
        <f>C263*E263</f>
        <v>7.3199999999999994</v>
      </c>
      <c r="G263" s="122">
        <f>$H$11*E263</f>
        <v>6</v>
      </c>
      <c r="H263" s="123">
        <f>F263*$H$11</f>
        <v>365.99999999999994</v>
      </c>
      <c r="I263" s="135">
        <v>8.06</v>
      </c>
      <c r="J263" s="123">
        <f>C263*I263</f>
        <v>491.66</v>
      </c>
      <c r="K263" s="124">
        <f>SUM(H263,J263)</f>
        <v>857.66</v>
      </c>
      <c r="L263" s="123">
        <f>K263/C263</f>
        <v>14.059999999999999</v>
      </c>
      <c r="M263" s="125">
        <f>C263*L263</f>
        <v>857.66</v>
      </c>
      <c r="N263" s="131">
        <v>0</v>
      </c>
      <c r="O263" s="118">
        <f>M263*N263</f>
        <v>0</v>
      </c>
      <c r="P263" s="455"/>
      <c r="Q263" s="455"/>
      <c r="R263" s="455"/>
      <c r="S263" s="455"/>
      <c r="T263" s="149"/>
      <c r="U263" s="154"/>
      <c r="V263" s="155"/>
      <c r="W263" s="136"/>
      <c r="X263" s="63"/>
      <c r="Y263" s="63"/>
      <c r="Z263" s="62"/>
      <c r="AA263" s="62"/>
      <c r="AB263" s="103"/>
      <c r="AC263" s="103"/>
    </row>
    <row r="264" spans="1:29" s="70" customFormat="1" ht="14.25" x14ac:dyDescent="0.2">
      <c r="A264" s="60"/>
      <c r="B264" s="114"/>
      <c r="C264" s="152"/>
      <c r="D264" s="153"/>
      <c r="E264" s="122"/>
      <c r="F264" s="122"/>
      <c r="G264" s="122"/>
      <c r="H264" s="123"/>
      <c r="I264" s="135"/>
      <c r="J264" s="123"/>
      <c r="K264" s="124"/>
      <c r="L264" s="123"/>
      <c r="M264" s="125"/>
      <c r="N264" s="131"/>
      <c r="O264" s="118"/>
      <c r="P264" s="452">
        <f>SUM(M225:M263)+R386</f>
        <v>78868.871286345078</v>
      </c>
      <c r="Q264" s="450">
        <f>P264*SUM($L$357:$L$363)</f>
        <v>7492.5427722027825</v>
      </c>
      <c r="R264" s="266"/>
      <c r="S264" s="266"/>
      <c r="T264" s="149"/>
      <c r="U264" s="154"/>
      <c r="V264" s="155"/>
      <c r="W264" s="136"/>
      <c r="X264" s="63"/>
      <c r="Y264" s="63"/>
      <c r="Z264" s="62"/>
      <c r="AA264" s="62"/>
      <c r="AB264" s="103"/>
      <c r="AC264" s="103"/>
    </row>
    <row r="265" spans="1:29" s="70" customFormat="1" ht="14.25" x14ac:dyDescent="0.2">
      <c r="A265" s="60"/>
      <c r="B265" s="114"/>
      <c r="C265" s="152"/>
      <c r="D265" s="153"/>
      <c r="E265" s="122"/>
      <c r="F265" s="122"/>
      <c r="G265" s="122"/>
      <c r="H265" s="123"/>
      <c r="I265" s="135"/>
      <c r="J265" s="123"/>
      <c r="K265" s="124"/>
      <c r="L265" s="123"/>
      <c r="M265" s="125"/>
      <c r="N265" s="131"/>
      <c r="O265" s="118"/>
      <c r="P265" s="451">
        <f>P264/$M$354</f>
        <v>0.15001322746125684</v>
      </c>
      <c r="Q265" s="452">
        <f>P265*$M$365</f>
        <v>946.92118255885282</v>
      </c>
      <c r="R265" s="452">
        <f>SUM(P264,Q264,Q265)</f>
        <v>87308.335241106717</v>
      </c>
      <c r="S265" s="452">
        <f>R265*1.08</f>
        <v>94293.002060395258</v>
      </c>
      <c r="T265" s="149"/>
      <c r="U265" s="154"/>
      <c r="V265" s="155"/>
      <c r="W265" s="136"/>
      <c r="X265" s="63"/>
      <c r="Y265" s="63"/>
      <c r="Z265" s="62"/>
      <c r="AA265" s="62"/>
      <c r="AB265" s="103"/>
      <c r="AC265" s="103"/>
    </row>
    <row r="266" spans="1:29" s="70" customFormat="1" ht="14.25" x14ac:dyDescent="0.2">
      <c r="A266" s="60"/>
      <c r="B266" s="114"/>
      <c r="C266" s="152"/>
      <c r="D266" s="153"/>
      <c r="E266" s="122"/>
      <c r="F266" s="122"/>
      <c r="G266" s="122"/>
      <c r="H266" s="123"/>
      <c r="I266" s="135"/>
      <c r="J266" s="123"/>
      <c r="K266" s="124"/>
      <c r="L266" s="123"/>
      <c r="M266" s="125"/>
      <c r="N266" s="131"/>
      <c r="O266" s="118"/>
      <c r="P266" s="455"/>
      <c r="Q266" s="455"/>
      <c r="R266" s="455"/>
      <c r="S266" s="455"/>
      <c r="T266" s="149"/>
      <c r="U266" s="154"/>
      <c r="V266" s="155"/>
      <c r="W266" s="136"/>
      <c r="X266" s="63"/>
      <c r="Y266" s="63"/>
      <c r="Z266" s="62"/>
      <c r="AA266" s="62"/>
      <c r="AB266" s="103"/>
      <c r="AC266" s="103"/>
    </row>
    <row r="267" spans="1:29" s="70" customFormat="1" ht="15" x14ac:dyDescent="0.2">
      <c r="A267" s="60"/>
      <c r="B267" s="169" t="s">
        <v>71</v>
      </c>
      <c r="C267" s="152"/>
      <c r="D267" s="153"/>
      <c r="E267" s="122"/>
      <c r="F267" s="122"/>
      <c r="G267" s="122"/>
      <c r="H267" s="123"/>
      <c r="I267" s="135"/>
      <c r="J267" s="123"/>
      <c r="K267" s="124"/>
      <c r="L267" s="123"/>
      <c r="M267" s="125"/>
      <c r="N267" s="131"/>
      <c r="O267" s="118"/>
      <c r="P267" s="455"/>
      <c r="Q267" s="455"/>
      <c r="R267" s="455"/>
      <c r="S267" s="455"/>
      <c r="T267" s="149"/>
      <c r="U267" s="154"/>
      <c r="V267" s="155"/>
      <c r="W267" s="136"/>
      <c r="X267" s="63"/>
      <c r="Y267" s="63"/>
      <c r="Z267" s="62"/>
      <c r="AA267" s="62"/>
      <c r="AB267" s="103"/>
      <c r="AC267" s="103"/>
    </row>
    <row r="268" spans="1:29" s="70" customFormat="1" ht="14.25" x14ac:dyDescent="0.2">
      <c r="A268" s="60"/>
      <c r="B268" s="165" t="s">
        <v>56</v>
      </c>
      <c r="C268" s="152"/>
      <c r="D268" s="153"/>
      <c r="E268" s="122"/>
      <c r="F268" s="122"/>
      <c r="G268" s="122"/>
      <c r="H268" s="123"/>
      <c r="I268" s="135"/>
      <c r="J268" s="123"/>
      <c r="K268" s="124"/>
      <c r="L268" s="123"/>
      <c r="M268" s="125"/>
      <c r="N268" s="131"/>
      <c r="O268" s="118"/>
      <c r="P268" s="455"/>
      <c r="Q268" s="455"/>
      <c r="R268" s="455"/>
      <c r="S268" s="455"/>
      <c r="T268" s="149"/>
      <c r="U268" s="154"/>
      <c r="V268" s="155"/>
      <c r="W268" s="136"/>
      <c r="X268" s="63"/>
      <c r="Y268" s="63"/>
      <c r="Z268" s="62"/>
      <c r="AA268" s="62"/>
      <c r="AB268" s="103"/>
      <c r="AC268" s="103"/>
    </row>
    <row r="269" spans="1:29" s="70" customFormat="1" ht="14.25" x14ac:dyDescent="0.2">
      <c r="A269" s="60"/>
      <c r="B269" s="146" t="s">
        <v>76</v>
      </c>
      <c r="C269" s="61">
        <v>59</v>
      </c>
      <c r="D269" s="72" t="s">
        <v>45</v>
      </c>
      <c r="E269" s="122">
        <v>0.32</v>
      </c>
      <c r="F269" s="122">
        <f>C269*E269</f>
        <v>18.88</v>
      </c>
      <c r="G269" s="122">
        <f>$H$11*E269</f>
        <v>16</v>
      </c>
      <c r="H269" s="123">
        <f>F269*$H$11</f>
        <v>944</v>
      </c>
      <c r="I269" s="135">
        <v>15.51</v>
      </c>
      <c r="J269" s="123">
        <f>C269*I269</f>
        <v>915.09</v>
      </c>
      <c r="K269" s="124">
        <f>SUM(H269,J269)</f>
        <v>1859.0900000000001</v>
      </c>
      <c r="L269" s="123">
        <f>K269/C269</f>
        <v>31.51</v>
      </c>
      <c r="M269" s="125">
        <f>C269*L269</f>
        <v>1859.0900000000001</v>
      </c>
      <c r="N269" s="131">
        <v>0</v>
      </c>
      <c r="O269" s="118">
        <f>M269*N269</f>
        <v>0</v>
      </c>
      <c r="P269" s="455"/>
      <c r="Q269" s="455"/>
      <c r="R269" s="455"/>
      <c r="S269" s="455"/>
      <c r="T269" s="149"/>
      <c r="U269" s="154"/>
      <c r="V269" s="155"/>
      <c r="W269" s="136"/>
      <c r="X269" s="63"/>
      <c r="Y269" s="63"/>
      <c r="Z269" s="62"/>
      <c r="AA269" s="62"/>
      <c r="AB269" s="103"/>
      <c r="AC269" s="103"/>
    </row>
    <row r="270" spans="1:29" s="70" customFormat="1" ht="14.25" x14ac:dyDescent="0.2">
      <c r="A270" s="60"/>
      <c r="B270" s="1" t="s">
        <v>47</v>
      </c>
      <c r="C270" s="113">
        <v>127</v>
      </c>
      <c r="D270" s="72" t="s">
        <v>46</v>
      </c>
      <c r="E270" s="122"/>
      <c r="F270" s="122"/>
      <c r="G270" s="122"/>
      <c r="H270" s="123"/>
      <c r="I270" s="135"/>
      <c r="J270" s="123"/>
      <c r="K270" s="124"/>
      <c r="L270" s="123"/>
      <c r="M270" s="125"/>
      <c r="N270" s="131"/>
      <c r="O270" s="118"/>
      <c r="P270" s="455"/>
      <c r="Q270" s="455"/>
      <c r="R270" s="455"/>
      <c r="S270" s="455"/>
      <c r="T270" s="149"/>
      <c r="U270" s="154"/>
      <c r="V270" s="155"/>
      <c r="W270" s="136"/>
      <c r="X270" s="63"/>
      <c r="Y270" s="63"/>
      <c r="Z270" s="62"/>
      <c r="AA270" s="62"/>
      <c r="AB270" s="103"/>
      <c r="AC270" s="103"/>
    </row>
    <row r="271" spans="1:29" s="70" customFormat="1" ht="14.25" x14ac:dyDescent="0.2">
      <c r="A271" s="60"/>
      <c r="B271" s="1"/>
      <c r="C271" s="152"/>
      <c r="D271" s="153"/>
      <c r="E271" s="122"/>
      <c r="F271" s="122"/>
      <c r="G271" s="122"/>
      <c r="H271" s="123"/>
      <c r="I271" s="135"/>
      <c r="J271" s="123"/>
      <c r="K271" s="124"/>
      <c r="L271" s="123"/>
      <c r="M271" s="125"/>
      <c r="N271" s="131"/>
      <c r="O271" s="118"/>
      <c r="P271" s="455"/>
      <c r="Q271" s="455"/>
      <c r="R271" s="455"/>
      <c r="S271" s="455"/>
      <c r="T271" s="149"/>
      <c r="U271" s="154"/>
      <c r="V271" s="155"/>
      <c r="W271" s="136"/>
      <c r="X271" s="63"/>
      <c r="Y271" s="63"/>
      <c r="Z271" s="62"/>
      <c r="AA271" s="62"/>
      <c r="AB271" s="103"/>
      <c r="AC271" s="103"/>
    </row>
    <row r="272" spans="1:29" s="70" customFormat="1" ht="14.25" x14ac:dyDescent="0.2">
      <c r="A272" s="60"/>
      <c r="B272" s="1" t="s">
        <v>87</v>
      </c>
      <c r="C272" s="157" t="s">
        <v>85</v>
      </c>
      <c r="D272" s="153"/>
      <c r="E272" s="122"/>
      <c r="F272" s="122"/>
      <c r="G272" s="122"/>
      <c r="H272" s="123"/>
      <c r="I272" s="135"/>
      <c r="J272" s="123"/>
      <c r="K272" s="124"/>
      <c r="L272" s="123"/>
      <c r="M272" s="125"/>
      <c r="N272" s="131"/>
      <c r="O272" s="118"/>
      <c r="P272" s="455"/>
      <c r="Q272" s="455"/>
      <c r="R272" s="455"/>
      <c r="S272" s="455"/>
      <c r="T272" s="149"/>
      <c r="U272" s="154"/>
      <c r="V272" s="155"/>
      <c r="W272" s="136"/>
      <c r="X272" s="63"/>
      <c r="Y272" s="63"/>
      <c r="Z272" s="62"/>
      <c r="AA272" s="62"/>
      <c r="AB272" s="103"/>
      <c r="AC272" s="103"/>
    </row>
    <row r="273" spans="1:29" s="70" customFormat="1" ht="14.25" x14ac:dyDescent="0.2">
      <c r="A273" s="60"/>
      <c r="B273" s="166"/>
      <c r="C273" s="152"/>
      <c r="D273" s="153"/>
      <c r="E273" s="122"/>
      <c r="F273" s="122"/>
      <c r="G273" s="122"/>
      <c r="H273" s="123"/>
      <c r="I273" s="135"/>
      <c r="J273" s="123"/>
      <c r="K273" s="124"/>
      <c r="L273" s="123"/>
      <c r="M273" s="125"/>
      <c r="N273" s="131"/>
      <c r="O273" s="118"/>
      <c r="P273" s="455"/>
      <c r="Q273" s="455"/>
      <c r="R273" s="455"/>
      <c r="S273" s="455"/>
      <c r="T273" s="149"/>
      <c r="U273" s="154"/>
      <c r="V273" s="155"/>
      <c r="W273" s="136"/>
      <c r="X273" s="63"/>
      <c r="Y273" s="63"/>
      <c r="Z273" s="62"/>
      <c r="AA273" s="62"/>
      <c r="AB273" s="103"/>
      <c r="AC273" s="103"/>
    </row>
    <row r="274" spans="1:29" s="70" customFormat="1" ht="14.25" x14ac:dyDescent="0.2">
      <c r="A274" s="60"/>
      <c r="B274" s="165" t="s">
        <v>58</v>
      </c>
      <c r="C274" s="152"/>
      <c r="D274" s="153"/>
      <c r="E274" s="122"/>
      <c r="F274" s="122"/>
      <c r="G274" s="122"/>
      <c r="H274" s="123"/>
      <c r="I274" s="135"/>
      <c r="J274" s="123"/>
      <c r="K274" s="124"/>
      <c r="L274" s="123"/>
      <c r="M274" s="125"/>
      <c r="N274" s="131"/>
      <c r="O274" s="118"/>
      <c r="P274" s="455"/>
      <c r="Q274" s="455"/>
      <c r="R274" s="455"/>
      <c r="S274" s="455"/>
      <c r="T274" s="149"/>
      <c r="U274" s="154"/>
      <c r="V274" s="155"/>
      <c r="W274" s="136"/>
      <c r="X274" s="63"/>
      <c r="Y274" s="63"/>
      <c r="Z274" s="62"/>
      <c r="AA274" s="62"/>
      <c r="AB274" s="103"/>
      <c r="AC274" s="103"/>
    </row>
    <row r="275" spans="1:29" s="70" customFormat="1" ht="25.5" x14ac:dyDescent="0.2">
      <c r="A275" s="60"/>
      <c r="B275" s="1" t="s">
        <v>425</v>
      </c>
      <c r="C275" s="152">
        <v>819</v>
      </c>
      <c r="D275" s="153" t="s">
        <v>45</v>
      </c>
      <c r="E275" s="122">
        <v>0.21</v>
      </c>
      <c r="F275" s="122">
        <f>C275*E275</f>
        <v>171.98999999999998</v>
      </c>
      <c r="G275" s="122">
        <f>$H$11*E275</f>
        <v>10.5</v>
      </c>
      <c r="H275" s="123">
        <f>F275*$H$11</f>
        <v>8599.4999999999982</v>
      </c>
      <c r="I275" s="135">
        <v>11.51</v>
      </c>
      <c r="J275" s="123">
        <f>C275*I275</f>
        <v>9426.69</v>
      </c>
      <c r="K275" s="124">
        <f>SUM(H275,J275)</f>
        <v>18026.189999999999</v>
      </c>
      <c r="L275" s="123">
        <f>K275/C275</f>
        <v>22.009999999999998</v>
      </c>
      <c r="M275" s="125">
        <f>C275*L275</f>
        <v>18026.189999999999</v>
      </c>
      <c r="N275" s="131">
        <v>0</v>
      </c>
      <c r="O275" s="118">
        <f>M275*N275</f>
        <v>0</v>
      </c>
      <c r="P275" s="455"/>
      <c r="Q275" s="455"/>
      <c r="R275" s="455"/>
      <c r="S275" s="455"/>
      <c r="T275" s="149"/>
      <c r="U275" s="154"/>
      <c r="V275" s="155"/>
      <c r="W275" s="136"/>
      <c r="X275" s="63"/>
      <c r="Y275" s="63"/>
      <c r="Z275" s="62"/>
      <c r="AA275" s="62"/>
      <c r="AB275" s="103"/>
      <c r="AC275" s="103"/>
    </row>
    <row r="276" spans="1:29" s="70" customFormat="1" ht="14.25" x14ac:dyDescent="0.2">
      <c r="A276" s="60"/>
      <c r="B276" s="1" t="s">
        <v>47</v>
      </c>
      <c r="C276" s="152">
        <v>388</v>
      </c>
      <c r="D276" s="153" t="s">
        <v>46</v>
      </c>
      <c r="E276" s="122">
        <v>0.1</v>
      </c>
      <c r="F276" s="122">
        <f>C276*E276</f>
        <v>38.800000000000004</v>
      </c>
      <c r="G276" s="122">
        <f>$H$11*E276</f>
        <v>5</v>
      </c>
      <c r="H276" s="123">
        <f>F276*$H$11</f>
        <v>1940.0000000000002</v>
      </c>
      <c r="I276" s="135">
        <v>2.5299999999999998</v>
      </c>
      <c r="J276" s="123">
        <f>C276*I276</f>
        <v>981.63999999999987</v>
      </c>
      <c r="K276" s="124">
        <f>SUM(H276,J276)</f>
        <v>2921.6400000000003</v>
      </c>
      <c r="L276" s="123">
        <f>K276/C276</f>
        <v>7.5300000000000011</v>
      </c>
      <c r="M276" s="125">
        <f>C276*L276</f>
        <v>2921.6400000000003</v>
      </c>
      <c r="N276" s="131">
        <v>0</v>
      </c>
      <c r="O276" s="118">
        <f>M276*N276</f>
        <v>0</v>
      </c>
      <c r="P276" s="455"/>
      <c r="Q276" s="455"/>
      <c r="R276" s="455"/>
      <c r="S276" s="455"/>
      <c r="T276" s="149"/>
      <c r="U276" s="154"/>
      <c r="V276" s="155"/>
      <c r="W276" s="136"/>
      <c r="X276" s="63"/>
      <c r="Y276" s="63"/>
      <c r="Z276" s="62"/>
      <c r="AA276" s="62"/>
      <c r="AB276" s="103"/>
      <c r="AC276" s="103"/>
    </row>
    <row r="277" spans="1:29" s="70" customFormat="1" ht="14.25" x14ac:dyDescent="0.2">
      <c r="A277" s="60"/>
      <c r="B277" s="1" t="s">
        <v>98</v>
      </c>
      <c r="C277" s="152">
        <v>20</v>
      </c>
      <c r="D277" s="153" t="s">
        <v>60</v>
      </c>
      <c r="E277" s="122">
        <v>0.75</v>
      </c>
      <c r="F277" s="122">
        <f>C277*E277</f>
        <v>15</v>
      </c>
      <c r="G277" s="122">
        <f>$H$11*E277</f>
        <v>37.5</v>
      </c>
      <c r="H277" s="123">
        <f>F277*$H$11</f>
        <v>750</v>
      </c>
      <c r="I277" s="135">
        <v>25</v>
      </c>
      <c r="J277" s="123">
        <f>C277*I277</f>
        <v>500</v>
      </c>
      <c r="K277" s="124">
        <f>SUM(H277,J277)</f>
        <v>1250</v>
      </c>
      <c r="L277" s="123">
        <f>K277/C277</f>
        <v>62.5</v>
      </c>
      <c r="M277" s="125">
        <f>C277*L277</f>
        <v>1250</v>
      </c>
      <c r="N277" s="131">
        <v>0</v>
      </c>
      <c r="O277" s="118">
        <f>M277*N277</f>
        <v>0</v>
      </c>
      <c r="P277" s="455"/>
      <c r="Q277" s="455"/>
      <c r="R277" s="455"/>
      <c r="S277" s="455"/>
      <c r="T277" s="149"/>
      <c r="U277" s="154"/>
      <c r="V277" s="155"/>
      <c r="W277" s="136"/>
      <c r="X277" s="63"/>
      <c r="Y277" s="63"/>
      <c r="Z277" s="62"/>
      <c r="AA277" s="62"/>
      <c r="AB277" s="103"/>
      <c r="AC277" s="103"/>
    </row>
    <row r="278" spans="1:29" s="70" customFormat="1" ht="25.5" x14ac:dyDescent="0.2">
      <c r="A278" s="60"/>
      <c r="B278" s="1" t="s">
        <v>426</v>
      </c>
      <c r="C278" s="152">
        <v>819</v>
      </c>
      <c r="D278" s="153" t="s">
        <v>45</v>
      </c>
      <c r="E278" s="122">
        <v>0.1</v>
      </c>
      <c r="F278" s="122">
        <f>C278*E278</f>
        <v>81.900000000000006</v>
      </c>
      <c r="G278" s="122">
        <f>$H$11*E278</f>
        <v>5</v>
      </c>
      <c r="H278" s="123">
        <f>F278*$H$11</f>
        <v>4095.0000000000005</v>
      </c>
      <c r="I278" s="135">
        <v>36.36</v>
      </c>
      <c r="J278" s="123">
        <f>C278*I278</f>
        <v>29778.84</v>
      </c>
      <c r="K278" s="124">
        <f>SUM(H278,J278)</f>
        <v>33873.840000000004</v>
      </c>
      <c r="L278" s="123">
        <f>K278/C278</f>
        <v>41.360000000000007</v>
      </c>
      <c r="M278" s="125">
        <f>C278*L278</f>
        <v>33873.840000000004</v>
      </c>
      <c r="N278" s="131">
        <v>0</v>
      </c>
      <c r="O278" s="118">
        <f>M278*N278</f>
        <v>0</v>
      </c>
      <c r="P278" s="455"/>
      <c r="Q278" s="455">
        <f>SUM(M275,M276,M278)</f>
        <v>54821.67</v>
      </c>
      <c r="R278" s="455">
        <f>Q278/C275</f>
        <v>66.937326007326007</v>
      </c>
      <c r="S278" s="455"/>
      <c r="T278" s="149"/>
      <c r="U278" s="154"/>
      <c r="V278" s="155"/>
      <c r="W278" s="136"/>
      <c r="X278" s="63"/>
      <c r="Y278" s="63"/>
      <c r="Z278" s="62"/>
      <c r="AA278" s="62"/>
      <c r="AB278" s="103"/>
      <c r="AC278" s="103"/>
    </row>
    <row r="279" spans="1:29" s="70" customFormat="1" ht="14.25" x14ac:dyDescent="0.2">
      <c r="A279" s="60"/>
      <c r="B279" s="1" t="s">
        <v>436</v>
      </c>
      <c r="C279" s="152">
        <v>122</v>
      </c>
      <c r="D279" s="153" t="s">
        <v>60</v>
      </c>
      <c r="E279" s="122">
        <v>0</v>
      </c>
      <c r="F279" s="122">
        <f>C279*E279</f>
        <v>0</v>
      </c>
      <c r="G279" s="122">
        <f>$H$11*E279</f>
        <v>0</v>
      </c>
      <c r="H279" s="123">
        <f>F279*$H$11</f>
        <v>0</v>
      </c>
      <c r="I279" s="135">
        <v>5.79</v>
      </c>
      <c r="J279" s="123">
        <f>C279*I279</f>
        <v>706.38</v>
      </c>
      <c r="K279" s="124">
        <f>SUM(H279,J279)</f>
        <v>706.38</v>
      </c>
      <c r="L279" s="123">
        <f>K279/C279</f>
        <v>5.79</v>
      </c>
      <c r="M279" s="125">
        <f>C279*L279</f>
        <v>706.38</v>
      </c>
      <c r="N279" s="131">
        <v>0</v>
      </c>
      <c r="O279" s="118">
        <f>M279*N279</f>
        <v>0</v>
      </c>
      <c r="P279" s="455"/>
      <c r="Q279" s="455"/>
      <c r="R279" s="455"/>
      <c r="S279" s="455"/>
      <c r="T279" s="149"/>
      <c r="U279" s="154"/>
      <c r="V279" s="155"/>
      <c r="W279" s="136"/>
      <c r="X279" s="63"/>
      <c r="Y279" s="63"/>
      <c r="Z279" s="62"/>
      <c r="AA279" s="62"/>
      <c r="AB279" s="103"/>
      <c r="AC279" s="103"/>
    </row>
    <row r="280" spans="1:29" s="70" customFormat="1" ht="14.25" x14ac:dyDescent="0.2">
      <c r="A280" s="60"/>
      <c r="B280" s="1"/>
      <c r="C280" s="152"/>
      <c r="D280" s="153"/>
      <c r="E280" s="122"/>
      <c r="F280" s="122"/>
      <c r="G280" s="122"/>
      <c r="H280" s="123"/>
      <c r="I280" s="135"/>
      <c r="J280" s="123"/>
      <c r="K280" s="124"/>
      <c r="L280" s="123"/>
      <c r="M280" s="125"/>
      <c r="N280" s="131"/>
      <c r="O280" s="118"/>
      <c r="P280" s="455"/>
      <c r="Q280" s="455"/>
      <c r="R280" s="455"/>
      <c r="S280" s="455"/>
      <c r="T280" s="149"/>
      <c r="U280" s="154"/>
      <c r="V280" s="155"/>
      <c r="W280" s="136"/>
      <c r="X280" s="63"/>
      <c r="Y280" s="63"/>
      <c r="Z280" s="62"/>
      <c r="AA280" s="62"/>
      <c r="AB280" s="103"/>
      <c r="AC280" s="103"/>
    </row>
    <row r="281" spans="1:29" s="70" customFormat="1" ht="14.25" x14ac:dyDescent="0.2">
      <c r="A281" s="60"/>
      <c r="B281" s="151" t="s">
        <v>90</v>
      </c>
      <c r="C281" s="152">
        <v>1</v>
      </c>
      <c r="D281" s="153" t="s">
        <v>59</v>
      </c>
      <c r="E281" s="122">
        <v>0</v>
      </c>
      <c r="F281" s="122">
        <f>C281*E281</f>
        <v>0</v>
      </c>
      <c r="G281" s="122">
        <f>$H$11*E281</f>
        <v>0</v>
      </c>
      <c r="H281" s="123">
        <f>F281*$H$11</f>
        <v>0</v>
      </c>
      <c r="I281" s="135">
        <v>500</v>
      </c>
      <c r="J281" s="123">
        <f>C281*I281</f>
        <v>500</v>
      </c>
      <c r="K281" s="124">
        <f>SUM(H281,J281)</f>
        <v>500</v>
      </c>
      <c r="L281" s="123">
        <f>K281/C281</f>
        <v>500</v>
      </c>
      <c r="M281" s="125">
        <f>C281*L281</f>
        <v>500</v>
      </c>
      <c r="N281" s="131">
        <v>0</v>
      </c>
      <c r="O281" s="118">
        <f>M281*N281</f>
        <v>0</v>
      </c>
      <c r="P281" s="455"/>
      <c r="Q281" s="455"/>
      <c r="R281" s="455"/>
      <c r="S281" s="455"/>
      <c r="T281" s="149"/>
      <c r="U281" s="154"/>
      <c r="V281" s="155"/>
      <c r="W281" s="136"/>
      <c r="X281" s="63"/>
      <c r="Y281" s="63"/>
      <c r="Z281" s="62"/>
      <c r="AA281" s="62"/>
      <c r="AB281" s="103"/>
      <c r="AC281" s="103"/>
    </row>
    <row r="282" spans="1:29" s="70" customFormat="1" ht="14.25" x14ac:dyDescent="0.2">
      <c r="A282" s="60"/>
      <c r="B282" s="151"/>
      <c r="C282" s="152"/>
      <c r="D282" s="153"/>
      <c r="E282" s="122"/>
      <c r="F282" s="122"/>
      <c r="G282" s="122"/>
      <c r="H282" s="123"/>
      <c r="I282" s="135"/>
      <c r="J282" s="123"/>
      <c r="K282" s="124"/>
      <c r="L282" s="123"/>
      <c r="M282" s="125"/>
      <c r="N282" s="131"/>
      <c r="O282" s="118"/>
      <c r="P282" s="455"/>
      <c r="Q282" s="455"/>
      <c r="R282" s="455"/>
      <c r="S282" s="455"/>
      <c r="T282" s="149"/>
      <c r="U282" s="154"/>
      <c r="V282" s="155"/>
      <c r="W282" s="136"/>
      <c r="X282" s="63"/>
      <c r="Y282" s="63"/>
      <c r="Z282" s="62"/>
      <c r="AA282" s="62"/>
      <c r="AB282" s="103"/>
      <c r="AC282" s="103"/>
    </row>
    <row r="283" spans="1:29" s="70" customFormat="1" ht="14.25" x14ac:dyDescent="0.2">
      <c r="A283" s="60"/>
      <c r="B283" s="435" t="s">
        <v>480</v>
      </c>
      <c r="C283" s="441" t="s">
        <v>488</v>
      </c>
      <c r="D283" s="153"/>
      <c r="E283" s="122"/>
      <c r="F283" s="122"/>
      <c r="G283" s="122"/>
      <c r="H283" s="123"/>
      <c r="I283" s="135"/>
      <c r="J283" s="123"/>
      <c r="K283" s="124"/>
      <c r="L283" s="123"/>
      <c r="M283" s="125"/>
      <c r="N283" s="131"/>
      <c r="O283" s="118"/>
      <c r="P283" s="455"/>
      <c r="Q283" s="455"/>
      <c r="R283" s="455"/>
      <c r="S283" s="455"/>
      <c r="T283" s="149"/>
      <c r="U283" s="154"/>
      <c r="V283" s="155"/>
      <c r="W283" s="136"/>
      <c r="X283" s="63"/>
      <c r="Y283" s="63"/>
      <c r="Z283" s="62"/>
      <c r="AA283" s="62"/>
      <c r="AB283" s="103"/>
      <c r="AC283" s="103"/>
    </row>
    <row r="284" spans="1:29" s="70" customFormat="1" ht="14.25" x14ac:dyDescent="0.2">
      <c r="A284" s="60"/>
      <c r="B284" s="151"/>
      <c r="C284" s="152"/>
      <c r="D284" s="153"/>
      <c r="E284" s="122"/>
      <c r="F284" s="122"/>
      <c r="G284" s="122"/>
      <c r="H284" s="123"/>
      <c r="I284" s="135"/>
      <c r="J284" s="123"/>
      <c r="K284" s="124"/>
      <c r="L284" s="123"/>
      <c r="M284" s="125"/>
      <c r="N284" s="131"/>
      <c r="O284" s="118"/>
      <c r="P284" s="455"/>
      <c r="Q284" s="455"/>
      <c r="R284" s="455"/>
      <c r="S284" s="455"/>
      <c r="T284" s="149"/>
      <c r="U284" s="154"/>
      <c r="V284" s="155"/>
      <c r="W284" s="136"/>
      <c r="X284" s="63"/>
      <c r="Y284" s="63"/>
      <c r="Z284" s="62"/>
      <c r="AA284" s="62"/>
      <c r="AB284" s="103"/>
      <c r="AC284" s="103"/>
    </row>
    <row r="285" spans="1:29" s="70" customFormat="1" ht="14.25" x14ac:dyDescent="0.2">
      <c r="A285" s="60"/>
      <c r="B285" s="421" t="s">
        <v>489</v>
      </c>
      <c r="C285" s="157"/>
      <c r="D285" s="153"/>
      <c r="E285" s="122"/>
      <c r="F285" s="122"/>
      <c r="G285" s="122"/>
      <c r="H285" s="123"/>
      <c r="I285" s="135"/>
      <c r="J285" s="123"/>
      <c r="K285" s="124"/>
      <c r="L285" s="123"/>
      <c r="M285" s="125"/>
      <c r="N285" s="131"/>
      <c r="O285" s="118"/>
      <c r="P285" s="455"/>
      <c r="Q285" s="455"/>
      <c r="R285" s="455"/>
      <c r="S285" s="455"/>
      <c r="T285" s="149"/>
      <c r="U285" s="154"/>
      <c r="V285" s="155"/>
      <c r="W285" s="136"/>
      <c r="X285" s="63"/>
      <c r="Y285" s="63"/>
      <c r="Z285" s="62"/>
      <c r="AA285" s="62"/>
      <c r="AB285" s="103"/>
      <c r="AC285" s="103"/>
    </row>
    <row r="286" spans="1:29" s="70" customFormat="1" ht="14.25" x14ac:dyDescent="0.2">
      <c r="A286" s="60"/>
      <c r="B286" s="151"/>
      <c r="C286" s="157"/>
      <c r="D286" s="153"/>
      <c r="E286" s="122"/>
      <c r="F286" s="122"/>
      <c r="G286" s="122"/>
      <c r="H286" s="123"/>
      <c r="I286" s="135"/>
      <c r="J286" s="123"/>
      <c r="K286" s="124"/>
      <c r="L286" s="123"/>
      <c r="M286" s="125"/>
      <c r="N286" s="131"/>
      <c r="O286" s="118"/>
      <c r="P286" s="455"/>
      <c r="Q286" s="455"/>
      <c r="R286" s="455"/>
      <c r="S286" s="455"/>
      <c r="T286" s="149"/>
      <c r="U286" s="154"/>
      <c r="V286" s="155"/>
      <c r="W286" s="136"/>
      <c r="X286" s="63"/>
      <c r="Y286" s="63"/>
      <c r="Z286" s="62"/>
      <c r="AA286" s="62"/>
      <c r="AB286" s="103"/>
      <c r="AC286" s="103"/>
    </row>
    <row r="287" spans="1:29" s="70" customFormat="1" ht="14.25" x14ac:dyDescent="0.2">
      <c r="A287" s="60"/>
      <c r="B287" s="151" t="s">
        <v>455</v>
      </c>
      <c r="C287" s="152">
        <v>65</v>
      </c>
      <c r="D287" s="153" t="s">
        <v>46</v>
      </c>
      <c r="E287" s="122"/>
      <c r="F287" s="122"/>
      <c r="G287" s="122"/>
      <c r="H287" s="123"/>
      <c r="I287" s="135"/>
      <c r="J287" s="123"/>
      <c r="K287" s="124"/>
      <c r="L287" s="123"/>
      <c r="M287" s="125"/>
      <c r="N287" s="131"/>
      <c r="O287" s="118"/>
      <c r="P287" s="455"/>
      <c r="Q287" s="455"/>
      <c r="R287" s="455"/>
      <c r="S287" s="455"/>
      <c r="T287" s="149"/>
      <c r="U287" s="154"/>
      <c r="V287" s="155"/>
      <c r="W287" s="136"/>
      <c r="X287" s="63"/>
      <c r="Y287" s="63"/>
      <c r="Z287" s="62"/>
      <c r="AA287" s="62"/>
      <c r="AB287" s="103"/>
      <c r="AC287" s="103"/>
    </row>
    <row r="288" spans="1:29" s="70" customFormat="1" ht="14.25" x14ac:dyDescent="0.2">
      <c r="A288" s="60"/>
      <c r="B288" s="421" t="s">
        <v>467</v>
      </c>
      <c r="C288" s="422">
        <v>24</v>
      </c>
      <c r="D288" s="423" t="s">
        <v>46</v>
      </c>
      <c r="E288" s="122">
        <v>0.1</v>
      </c>
      <c r="F288" s="122">
        <f>C288*E288</f>
        <v>2.4000000000000004</v>
      </c>
      <c r="G288" s="122">
        <f>$H$11*E288</f>
        <v>5</v>
      </c>
      <c r="H288" s="123">
        <f>F288*$H$11</f>
        <v>120.00000000000001</v>
      </c>
      <c r="I288" s="135">
        <v>1.32</v>
      </c>
      <c r="J288" s="123">
        <f>C288*I288</f>
        <v>31.68</v>
      </c>
      <c r="K288" s="124">
        <f>SUM(H288,J288)</f>
        <v>151.68</v>
      </c>
      <c r="L288" s="123">
        <f>K288/C288</f>
        <v>6.32</v>
      </c>
      <c r="M288" s="125">
        <f>C288*L288</f>
        <v>151.68</v>
      </c>
      <c r="N288" s="131"/>
      <c r="O288" s="118"/>
      <c r="P288" s="455"/>
      <c r="Q288" s="455"/>
      <c r="R288" s="455"/>
      <c r="S288" s="455"/>
      <c r="T288" s="149"/>
      <c r="U288" s="154"/>
      <c r="V288" s="155"/>
      <c r="W288" s="136"/>
      <c r="X288" s="63"/>
      <c r="Y288" s="63"/>
      <c r="Z288" s="62"/>
      <c r="AA288" s="62"/>
      <c r="AB288" s="103"/>
      <c r="AC288" s="103"/>
    </row>
    <row r="289" spans="1:29" s="70" customFormat="1" ht="14.25" x14ac:dyDescent="0.2">
      <c r="A289" s="60"/>
      <c r="B289" s="421" t="s">
        <v>468</v>
      </c>
      <c r="C289" s="422">
        <v>41</v>
      </c>
      <c r="D289" s="423" t="s">
        <v>46</v>
      </c>
      <c r="E289" s="122">
        <v>0.09</v>
      </c>
      <c r="F289" s="122">
        <f>C289*E289</f>
        <v>3.69</v>
      </c>
      <c r="G289" s="122">
        <f>$H$11*E289</f>
        <v>4.5</v>
      </c>
      <c r="H289" s="123">
        <f>F289*$H$11</f>
        <v>184.5</v>
      </c>
      <c r="I289" s="135">
        <v>2.82</v>
      </c>
      <c r="J289" s="123">
        <f>C289*I289</f>
        <v>115.61999999999999</v>
      </c>
      <c r="K289" s="124">
        <f>SUM(H289,J289)</f>
        <v>300.12</v>
      </c>
      <c r="L289" s="123">
        <f>K289/C289</f>
        <v>7.32</v>
      </c>
      <c r="M289" s="125">
        <f>C289*L289</f>
        <v>300.12</v>
      </c>
      <c r="N289" s="131"/>
      <c r="O289" s="118"/>
      <c r="P289" s="455"/>
      <c r="Q289" s="455"/>
      <c r="R289" s="455"/>
      <c r="S289" s="455"/>
      <c r="T289" s="149"/>
      <c r="U289" s="154"/>
      <c r="V289" s="155"/>
      <c r="W289" s="136"/>
      <c r="X289" s="63"/>
      <c r="Y289" s="63"/>
      <c r="Z289" s="62"/>
      <c r="AA289" s="62"/>
      <c r="AB289" s="103"/>
      <c r="AC289" s="103"/>
    </row>
    <row r="290" spans="1:29" s="70" customFormat="1" ht="14.25" x14ac:dyDescent="0.2">
      <c r="A290" s="60"/>
      <c r="B290" s="151"/>
      <c r="C290" s="152"/>
      <c r="D290" s="153"/>
      <c r="E290" s="122"/>
      <c r="F290" s="122"/>
      <c r="G290" s="122"/>
      <c r="H290" s="123"/>
      <c r="I290" s="135"/>
      <c r="J290" s="123"/>
      <c r="K290" s="124"/>
      <c r="L290" s="123"/>
      <c r="M290" s="125"/>
      <c r="N290" s="131"/>
      <c r="O290" s="118"/>
      <c r="P290" s="455"/>
      <c r="Q290" s="455"/>
      <c r="R290" s="455"/>
      <c r="S290" s="455"/>
      <c r="T290" s="149"/>
      <c r="U290" s="154"/>
      <c r="V290" s="155"/>
      <c r="W290" s="136"/>
      <c r="X290" s="63"/>
      <c r="Y290" s="63"/>
      <c r="Z290" s="62"/>
      <c r="AA290" s="62"/>
      <c r="AB290" s="103"/>
      <c r="AC290" s="103"/>
    </row>
    <row r="291" spans="1:29" s="70" customFormat="1" ht="14.25" x14ac:dyDescent="0.2">
      <c r="A291" s="60"/>
      <c r="B291" s="151" t="s">
        <v>456</v>
      </c>
      <c r="C291" s="152">
        <v>91</v>
      </c>
      <c r="D291" s="153" t="s">
        <v>46</v>
      </c>
      <c r="E291" s="390">
        <v>0.25</v>
      </c>
      <c r="F291" s="122">
        <f>C291*E291</f>
        <v>22.75</v>
      </c>
      <c r="G291" s="122">
        <f>$H$11*E291</f>
        <v>12.5</v>
      </c>
      <c r="H291" s="123">
        <f>F291*$H$11</f>
        <v>1137.5</v>
      </c>
      <c r="I291" s="393">
        <v>27.16</v>
      </c>
      <c r="J291" s="123">
        <f>C291*I291</f>
        <v>2471.56</v>
      </c>
      <c r="K291" s="124">
        <f>SUM(H291,J291)</f>
        <v>3609.06</v>
      </c>
      <c r="L291" s="123">
        <f>K291/C291</f>
        <v>39.659999999999997</v>
      </c>
      <c r="M291" s="125">
        <f>C291*L291</f>
        <v>3609.0599999999995</v>
      </c>
      <c r="N291" s="131">
        <v>0</v>
      </c>
      <c r="O291" s="118">
        <f>M291*N291</f>
        <v>0</v>
      </c>
      <c r="P291" s="455"/>
      <c r="Q291" s="455"/>
      <c r="R291" s="455"/>
      <c r="S291" s="455"/>
      <c r="T291" s="149"/>
      <c r="U291" s="154"/>
      <c r="V291" s="155"/>
      <c r="W291" s="136"/>
      <c r="X291" s="63"/>
      <c r="Y291" s="63"/>
      <c r="Z291" s="62"/>
      <c r="AA291" s="62"/>
      <c r="AB291" s="103"/>
      <c r="AC291" s="103"/>
    </row>
    <row r="292" spans="1:29" s="70" customFormat="1" ht="14.25" x14ac:dyDescent="0.2">
      <c r="A292" s="60"/>
      <c r="B292" s="421" t="s">
        <v>466</v>
      </c>
      <c r="C292" s="424">
        <f>C291/1.5</f>
        <v>60.666666666666664</v>
      </c>
      <c r="D292" s="423" t="s">
        <v>60</v>
      </c>
      <c r="E292" s="390">
        <v>0.09</v>
      </c>
      <c r="F292" s="122">
        <f>C292*E292</f>
        <v>5.46</v>
      </c>
      <c r="G292" s="122">
        <f>$H$11*E292</f>
        <v>4.5</v>
      </c>
      <c r="H292" s="123">
        <f>F292*$H$11</f>
        <v>273</v>
      </c>
      <c r="I292" s="393">
        <v>5.28</v>
      </c>
      <c r="J292" s="123">
        <f>C292*I292</f>
        <v>320.32</v>
      </c>
      <c r="K292" s="124">
        <f>SUM(H292,J292)</f>
        <v>593.31999999999994</v>
      </c>
      <c r="L292" s="123">
        <f>K292/C292</f>
        <v>9.7799999999999994</v>
      </c>
      <c r="M292" s="125">
        <f>C292*L292</f>
        <v>593.31999999999994</v>
      </c>
      <c r="N292" s="131">
        <v>0</v>
      </c>
      <c r="O292" s="118">
        <f>M292*N292</f>
        <v>0</v>
      </c>
      <c r="P292" s="455"/>
      <c r="Q292" s="455"/>
      <c r="R292" s="455"/>
      <c r="S292" s="455"/>
      <c r="T292" s="149"/>
      <c r="U292" s="154"/>
      <c r="V292" s="155"/>
      <c r="W292" s="136"/>
      <c r="X292" s="63"/>
      <c r="Y292" s="63"/>
      <c r="Z292" s="62"/>
      <c r="AA292" s="62"/>
      <c r="AB292" s="103"/>
      <c r="AC292" s="103"/>
    </row>
    <row r="293" spans="1:29" s="70" customFormat="1" ht="14.25" x14ac:dyDescent="0.2">
      <c r="A293" s="60"/>
      <c r="B293" s="421" t="s">
        <v>504</v>
      </c>
      <c r="C293" s="424">
        <f>C291/1.8</f>
        <v>50.555555555555557</v>
      </c>
      <c r="D293" s="423" t="s">
        <v>60</v>
      </c>
      <c r="E293" s="390">
        <v>0</v>
      </c>
      <c r="F293" s="122">
        <f>C293*E293</f>
        <v>0</v>
      </c>
      <c r="G293" s="122">
        <f>$H$11*E293</f>
        <v>0</v>
      </c>
      <c r="H293" s="123">
        <f>F293*$H$11</f>
        <v>0</v>
      </c>
      <c r="I293" s="393">
        <v>5.28</v>
      </c>
      <c r="J293" s="123">
        <f>C293*I293</f>
        <v>266.93333333333334</v>
      </c>
      <c r="K293" s="124">
        <f>SUM(H293,J293)</f>
        <v>266.93333333333334</v>
      </c>
      <c r="L293" s="123">
        <f>K293/C293</f>
        <v>5.28</v>
      </c>
      <c r="M293" s="125">
        <f>C293*L293</f>
        <v>266.93333333333334</v>
      </c>
      <c r="N293" s="131">
        <v>0</v>
      </c>
      <c r="O293" s="118">
        <f>M293*N293</f>
        <v>0</v>
      </c>
      <c r="P293" s="455"/>
      <c r="Q293" s="455"/>
      <c r="R293" s="455"/>
      <c r="S293" s="455"/>
      <c r="T293" s="149"/>
      <c r="U293" s="154"/>
      <c r="V293" s="155"/>
      <c r="W293" s="136"/>
      <c r="X293" s="63"/>
      <c r="Y293" s="63"/>
      <c r="Z293" s="62"/>
      <c r="AA293" s="62"/>
      <c r="AB293" s="103"/>
      <c r="AC293" s="103"/>
    </row>
    <row r="294" spans="1:29" s="70" customFormat="1" ht="14.25" x14ac:dyDescent="0.2">
      <c r="A294" s="60"/>
      <c r="B294" s="421" t="s">
        <v>457</v>
      </c>
      <c r="C294" s="422">
        <v>51</v>
      </c>
      <c r="D294" s="423" t="s">
        <v>60</v>
      </c>
      <c r="E294" s="310">
        <v>0.25</v>
      </c>
      <c r="F294" s="122">
        <f>C294*E294</f>
        <v>12.75</v>
      </c>
      <c r="G294" s="122">
        <f>$H$11*E294</f>
        <v>12.5</v>
      </c>
      <c r="H294" s="123">
        <f>F294*$H$11</f>
        <v>637.5</v>
      </c>
      <c r="I294" s="135">
        <v>17.05</v>
      </c>
      <c r="J294" s="123">
        <f>C294*I294</f>
        <v>869.55000000000007</v>
      </c>
      <c r="K294" s="124">
        <f>SUM(H294,J294)</f>
        <v>1507.0500000000002</v>
      </c>
      <c r="L294" s="123">
        <f>K294/C294</f>
        <v>29.550000000000004</v>
      </c>
      <c r="M294" s="125">
        <f>C294*L294</f>
        <v>1507.0500000000002</v>
      </c>
      <c r="N294" s="131">
        <v>0</v>
      </c>
      <c r="O294" s="118">
        <f>M294*N294</f>
        <v>0</v>
      </c>
      <c r="P294" s="455"/>
      <c r="Q294" s="455"/>
      <c r="R294" s="455"/>
      <c r="S294" s="455"/>
      <c r="T294" s="149"/>
      <c r="U294" s="154"/>
      <c r="V294" s="155"/>
      <c r="W294" s="136"/>
      <c r="X294" s="63"/>
      <c r="Y294" s="63"/>
      <c r="Z294" s="62"/>
      <c r="AA294" s="62"/>
      <c r="AB294" s="103"/>
      <c r="AC294" s="103"/>
    </row>
    <row r="295" spans="1:29" s="70" customFormat="1" ht="14.25" x14ac:dyDescent="0.2">
      <c r="A295" s="60"/>
      <c r="B295" s="421" t="s">
        <v>458</v>
      </c>
      <c r="C295" s="422">
        <v>51</v>
      </c>
      <c r="D295" s="423" t="s">
        <v>60</v>
      </c>
      <c r="E295" s="122">
        <v>0.12</v>
      </c>
      <c r="F295" s="122">
        <f>C295*E295</f>
        <v>6.12</v>
      </c>
      <c r="G295" s="122">
        <f>$H$11*E295</f>
        <v>6</v>
      </c>
      <c r="H295" s="123">
        <f>F295*$H$11</f>
        <v>306</v>
      </c>
      <c r="I295" s="135">
        <v>8.06</v>
      </c>
      <c r="J295" s="123">
        <f>C295*I295</f>
        <v>411.06</v>
      </c>
      <c r="K295" s="124">
        <f>SUM(H295,J295)</f>
        <v>717.06</v>
      </c>
      <c r="L295" s="123">
        <f>K295/C295</f>
        <v>14.059999999999999</v>
      </c>
      <c r="M295" s="125">
        <f>C295*L295</f>
        <v>717.06</v>
      </c>
      <c r="N295" s="131">
        <v>0</v>
      </c>
      <c r="O295" s="118">
        <f>M295*N295</f>
        <v>0</v>
      </c>
      <c r="P295" s="455"/>
      <c r="Q295" s="455"/>
      <c r="R295" s="455"/>
      <c r="S295" s="455"/>
      <c r="T295" s="149"/>
      <c r="U295" s="154"/>
      <c r="V295" s="155"/>
      <c r="W295" s="136"/>
      <c r="X295" s="63"/>
      <c r="Y295" s="63"/>
      <c r="Z295" s="62"/>
      <c r="AA295" s="62"/>
      <c r="AB295" s="103"/>
      <c r="AC295" s="103"/>
    </row>
    <row r="296" spans="1:29" s="70" customFormat="1" ht="14.25" x14ac:dyDescent="0.2">
      <c r="A296" s="60"/>
      <c r="B296" s="1"/>
      <c r="C296" s="152"/>
      <c r="D296" s="153"/>
      <c r="E296" s="122"/>
      <c r="F296" s="122"/>
      <c r="G296" s="122"/>
      <c r="H296" s="123"/>
      <c r="I296" s="135"/>
      <c r="J296" s="123"/>
      <c r="K296" s="124"/>
      <c r="L296" s="123"/>
      <c r="M296" s="125"/>
      <c r="N296" s="131"/>
      <c r="O296" s="118"/>
      <c r="P296" s="455"/>
      <c r="Q296" s="455"/>
      <c r="R296" s="455"/>
      <c r="S296" s="455"/>
      <c r="T296" s="149"/>
      <c r="U296" s="154"/>
      <c r="V296" s="155"/>
      <c r="W296" s="136"/>
      <c r="X296" s="63"/>
      <c r="Y296" s="63"/>
      <c r="Z296" s="62"/>
      <c r="AA296" s="62"/>
      <c r="AB296" s="103"/>
      <c r="AC296" s="103"/>
    </row>
    <row r="297" spans="1:29" s="70" customFormat="1" ht="14.25" x14ac:dyDescent="0.2">
      <c r="A297" s="60"/>
      <c r="B297" s="166" t="s">
        <v>57</v>
      </c>
      <c r="C297" s="152"/>
      <c r="D297" s="153"/>
      <c r="E297" s="122"/>
      <c r="F297" s="122"/>
      <c r="G297" s="122"/>
      <c r="H297" s="123"/>
      <c r="I297" s="135"/>
      <c r="J297" s="123"/>
      <c r="K297" s="124"/>
      <c r="L297" s="123"/>
      <c r="M297" s="125"/>
      <c r="N297" s="131"/>
      <c r="O297" s="118"/>
      <c r="P297" s="455"/>
      <c r="Q297" s="455"/>
      <c r="R297" s="455"/>
      <c r="S297" s="455"/>
      <c r="T297" s="149"/>
      <c r="U297" s="154"/>
      <c r="V297" s="155"/>
      <c r="W297" s="136"/>
      <c r="X297" s="63"/>
      <c r="Y297" s="63"/>
      <c r="Z297" s="62"/>
      <c r="AA297" s="62"/>
      <c r="AB297" s="103"/>
      <c r="AC297" s="103"/>
    </row>
    <row r="298" spans="1:29" s="70" customFormat="1" ht="14.25" x14ac:dyDescent="0.2">
      <c r="A298" s="60"/>
      <c r="B298" s="1" t="s">
        <v>88</v>
      </c>
      <c r="C298" s="157" t="s">
        <v>85</v>
      </c>
      <c r="D298" s="72"/>
      <c r="E298" s="122"/>
      <c r="F298" s="122"/>
      <c r="G298" s="122"/>
      <c r="H298" s="123"/>
      <c r="I298" s="135"/>
      <c r="J298" s="123"/>
      <c r="K298" s="124"/>
      <c r="L298" s="123"/>
      <c r="M298" s="125"/>
      <c r="N298" s="131"/>
      <c r="O298" s="118"/>
      <c r="P298" s="455"/>
      <c r="Q298" s="455"/>
      <c r="R298" s="455"/>
      <c r="S298" s="455"/>
      <c r="T298" s="149"/>
      <c r="U298" s="154"/>
      <c r="V298" s="155"/>
      <c r="W298" s="136"/>
      <c r="X298" s="63"/>
      <c r="Y298" s="63"/>
      <c r="Z298" s="62"/>
      <c r="AA298" s="62"/>
      <c r="AB298" s="103"/>
      <c r="AC298" s="103"/>
    </row>
    <row r="299" spans="1:29" s="70" customFormat="1" ht="14.25" x14ac:dyDescent="0.2">
      <c r="A299" s="60"/>
      <c r="B299" s="166"/>
      <c r="C299" s="152"/>
      <c r="D299" s="153"/>
      <c r="E299" s="122"/>
      <c r="F299" s="122"/>
      <c r="G299" s="122"/>
      <c r="H299" s="123"/>
      <c r="I299" s="135"/>
      <c r="J299" s="123"/>
      <c r="K299" s="124"/>
      <c r="L299" s="123"/>
      <c r="M299" s="125"/>
      <c r="N299" s="131"/>
      <c r="O299" s="118"/>
      <c r="P299" s="455"/>
      <c r="Q299" s="455"/>
      <c r="R299" s="455"/>
      <c r="S299" s="455"/>
      <c r="T299" s="149"/>
      <c r="U299" s="154"/>
      <c r="V299" s="155"/>
      <c r="W299" s="136"/>
      <c r="X299" s="63"/>
      <c r="Y299" s="63"/>
      <c r="Z299" s="62"/>
      <c r="AA299" s="62"/>
      <c r="AB299" s="103"/>
      <c r="AC299" s="103"/>
    </row>
    <row r="300" spans="1:29" s="70" customFormat="1" ht="14.25" x14ac:dyDescent="0.2">
      <c r="A300" s="60"/>
      <c r="B300" s="166" t="s">
        <v>75</v>
      </c>
      <c r="C300" s="152"/>
      <c r="D300" s="153"/>
      <c r="E300" s="122"/>
      <c r="F300" s="122"/>
      <c r="G300" s="122"/>
      <c r="H300" s="123"/>
      <c r="I300" s="135"/>
      <c r="J300" s="123"/>
      <c r="K300" s="124"/>
      <c r="L300" s="123"/>
      <c r="M300" s="125"/>
      <c r="N300" s="131"/>
      <c r="O300" s="118"/>
      <c r="P300" s="455"/>
      <c r="Q300" s="455"/>
      <c r="R300" s="455"/>
      <c r="S300" s="455"/>
      <c r="T300" s="149"/>
      <c r="U300" s="154"/>
      <c r="V300" s="155"/>
      <c r="W300" s="136"/>
      <c r="X300" s="63"/>
      <c r="Y300" s="63"/>
      <c r="Z300" s="62"/>
      <c r="AA300" s="62"/>
      <c r="AB300" s="103"/>
      <c r="AC300" s="103"/>
    </row>
    <row r="301" spans="1:29" s="70" customFormat="1" ht="14.25" x14ac:dyDescent="0.2">
      <c r="A301" s="60"/>
      <c r="B301" s="151" t="s">
        <v>91</v>
      </c>
      <c r="C301" s="152">
        <v>116</v>
      </c>
      <c r="D301" s="153" t="s">
        <v>46</v>
      </c>
      <c r="E301" s="122">
        <f>$X$125</f>
        <v>0.3</v>
      </c>
      <c r="F301" s="122">
        <f>C301*E301</f>
        <v>34.799999999999997</v>
      </c>
      <c r="G301" s="122">
        <f>$H$11*E301</f>
        <v>15</v>
      </c>
      <c r="H301" s="123">
        <f>F301*$H$11</f>
        <v>1739.9999999999998</v>
      </c>
      <c r="I301" s="135">
        <v>122.5</v>
      </c>
      <c r="J301" s="123">
        <f>C301*I301</f>
        <v>14210</v>
      </c>
      <c r="K301" s="124">
        <f>SUM(H301,J301)</f>
        <v>15950</v>
      </c>
      <c r="L301" s="123">
        <f>K301/C301</f>
        <v>137.5</v>
      </c>
      <c r="M301" s="125">
        <f>C301*L301</f>
        <v>15950</v>
      </c>
      <c r="N301" s="131">
        <v>0</v>
      </c>
      <c r="O301" s="118">
        <f>M301*N301</f>
        <v>0</v>
      </c>
      <c r="P301" s="455"/>
      <c r="Q301" s="455"/>
      <c r="R301" s="455"/>
      <c r="S301" s="455"/>
      <c r="T301" s="149"/>
      <c r="U301" s="154"/>
      <c r="V301" s="155"/>
      <c r="W301" s="136"/>
      <c r="X301" s="63"/>
      <c r="Y301" s="63"/>
      <c r="Z301" s="62"/>
      <c r="AA301" s="62"/>
      <c r="AB301" s="103"/>
      <c r="AC301" s="103"/>
    </row>
    <row r="302" spans="1:29" s="70" customFormat="1" ht="14.25" x14ac:dyDescent="0.2">
      <c r="A302" s="60"/>
      <c r="B302" s="151" t="s">
        <v>93</v>
      </c>
      <c r="C302" s="152">
        <v>116</v>
      </c>
      <c r="D302" s="153" t="s">
        <v>46</v>
      </c>
      <c r="E302" s="390">
        <v>0.32</v>
      </c>
      <c r="F302" s="122">
        <f>C302*E302</f>
        <v>37.119999999999997</v>
      </c>
      <c r="G302" s="122">
        <f>$H$11*E302</f>
        <v>16</v>
      </c>
      <c r="H302" s="123">
        <f>F302*$H$11</f>
        <v>1855.9999999999998</v>
      </c>
      <c r="I302" s="393">
        <v>40</v>
      </c>
      <c r="J302" s="123">
        <f>C302*I302</f>
        <v>4640</v>
      </c>
      <c r="K302" s="124">
        <f>SUM(H302,J302)</f>
        <v>6496</v>
      </c>
      <c r="L302" s="123">
        <f>K302/C302</f>
        <v>56</v>
      </c>
      <c r="M302" s="125">
        <f>C302*L302</f>
        <v>6496</v>
      </c>
      <c r="N302" s="131">
        <v>0</v>
      </c>
      <c r="O302" s="118">
        <f>M302*N302</f>
        <v>0</v>
      </c>
      <c r="P302" s="455"/>
      <c r="Q302" s="455"/>
      <c r="R302" s="455"/>
      <c r="S302" s="455"/>
      <c r="T302" s="149"/>
      <c r="U302" s="154"/>
      <c r="V302" s="155"/>
      <c r="W302" s="136"/>
      <c r="X302" s="63"/>
      <c r="Y302" s="63"/>
      <c r="Z302" s="62"/>
      <c r="AA302" s="62"/>
      <c r="AB302" s="103"/>
      <c r="AC302" s="103"/>
    </row>
    <row r="303" spans="1:29" s="70" customFormat="1" ht="14.25" x14ac:dyDescent="0.2">
      <c r="A303" s="60"/>
      <c r="B303" s="151" t="s">
        <v>504</v>
      </c>
      <c r="C303" s="446">
        <f>C301/1.8</f>
        <v>64.444444444444443</v>
      </c>
      <c r="D303" s="153" t="s">
        <v>60</v>
      </c>
      <c r="E303" s="390">
        <v>0</v>
      </c>
      <c r="F303" s="122">
        <f>C303*E303</f>
        <v>0</v>
      </c>
      <c r="G303" s="122">
        <f>$H$11*E303</f>
        <v>0</v>
      </c>
      <c r="H303" s="123">
        <f>F303*$H$11</f>
        <v>0</v>
      </c>
      <c r="I303" s="393">
        <v>5.28</v>
      </c>
      <c r="J303" s="123">
        <f>C303*I303</f>
        <v>340.26666666666665</v>
      </c>
      <c r="K303" s="124">
        <f>SUM(H303,J303)</f>
        <v>340.26666666666665</v>
      </c>
      <c r="L303" s="123">
        <f>K303/C303</f>
        <v>5.28</v>
      </c>
      <c r="M303" s="125">
        <f>C303*L303</f>
        <v>340.26666666666665</v>
      </c>
      <c r="N303" s="131">
        <v>0</v>
      </c>
      <c r="O303" s="118">
        <f>M303*N303</f>
        <v>0</v>
      </c>
      <c r="P303" s="455"/>
      <c r="Q303" s="455"/>
      <c r="R303" s="455"/>
      <c r="S303" s="455"/>
      <c r="T303" s="149"/>
      <c r="U303" s="154"/>
      <c r="V303" s="155"/>
      <c r="W303" s="136"/>
      <c r="X303" s="63"/>
      <c r="Y303" s="63"/>
      <c r="Z303" s="62"/>
      <c r="AA303" s="62"/>
      <c r="AB303" s="103"/>
      <c r="AC303" s="103"/>
    </row>
    <row r="304" spans="1:29" s="70" customFormat="1" ht="14.25" x14ac:dyDescent="0.2">
      <c r="A304" s="60"/>
      <c r="B304" s="146" t="s">
        <v>371</v>
      </c>
      <c r="C304" s="152">
        <v>65</v>
      </c>
      <c r="D304" s="153" t="s">
        <v>60</v>
      </c>
      <c r="E304" s="310">
        <v>0.25</v>
      </c>
      <c r="F304" s="122">
        <f>C304*E304</f>
        <v>16.25</v>
      </c>
      <c r="G304" s="122">
        <f>$H$11*E304</f>
        <v>12.5</v>
      </c>
      <c r="H304" s="123">
        <f>F304*$H$11</f>
        <v>812.5</v>
      </c>
      <c r="I304" s="135">
        <v>17.05</v>
      </c>
      <c r="J304" s="123">
        <f>C304*I304</f>
        <v>1108.25</v>
      </c>
      <c r="K304" s="124">
        <f>SUM(H304,J304)</f>
        <v>1920.75</v>
      </c>
      <c r="L304" s="123">
        <f>K304/C304</f>
        <v>29.55</v>
      </c>
      <c r="M304" s="125">
        <f>C304*L304</f>
        <v>1920.75</v>
      </c>
      <c r="N304" s="131">
        <v>0</v>
      </c>
      <c r="O304" s="118">
        <f>M304*N304</f>
        <v>0</v>
      </c>
      <c r="P304" s="455"/>
      <c r="Q304" s="455"/>
      <c r="R304" s="455"/>
      <c r="S304" s="455"/>
      <c r="T304" s="149"/>
      <c r="U304" s="154"/>
      <c r="V304" s="155"/>
      <c r="W304" s="136"/>
      <c r="X304" s="63"/>
      <c r="Y304" s="63"/>
      <c r="Z304" s="62"/>
      <c r="AA304" s="62"/>
      <c r="AB304" s="103"/>
      <c r="AC304" s="103"/>
    </row>
    <row r="305" spans="1:29" s="70" customFormat="1" ht="14.25" x14ac:dyDescent="0.2">
      <c r="A305" s="60"/>
      <c r="B305" s="146" t="s">
        <v>372</v>
      </c>
      <c r="C305" s="152">
        <v>65</v>
      </c>
      <c r="D305" s="153" t="s">
        <v>60</v>
      </c>
      <c r="E305" s="122">
        <v>0.12</v>
      </c>
      <c r="F305" s="122">
        <f>C305*E305</f>
        <v>7.8</v>
      </c>
      <c r="G305" s="122">
        <f>$H$11*E305</f>
        <v>6</v>
      </c>
      <c r="H305" s="123">
        <f>F305*$H$11</f>
        <v>390</v>
      </c>
      <c r="I305" s="135">
        <v>8.06</v>
      </c>
      <c r="J305" s="123">
        <f>C305*I305</f>
        <v>523.9</v>
      </c>
      <c r="K305" s="124">
        <f>SUM(H305,J305)</f>
        <v>913.9</v>
      </c>
      <c r="L305" s="123">
        <f>K305/C305</f>
        <v>14.06</v>
      </c>
      <c r="M305" s="125">
        <f>C305*L305</f>
        <v>913.9</v>
      </c>
      <c r="N305" s="131">
        <v>0</v>
      </c>
      <c r="O305" s="118">
        <f>M305*N305</f>
        <v>0</v>
      </c>
      <c r="P305" s="455"/>
      <c r="Q305" s="455"/>
      <c r="R305" s="455"/>
      <c r="S305" s="455"/>
      <c r="T305" s="149"/>
      <c r="U305" s="154"/>
      <c r="V305" s="155"/>
      <c r="W305" s="136"/>
      <c r="X305" s="63"/>
      <c r="Y305" s="63"/>
      <c r="Z305" s="62"/>
      <c r="AA305" s="62"/>
      <c r="AB305" s="103"/>
      <c r="AC305" s="103"/>
    </row>
    <row r="306" spans="1:29" s="70" customFormat="1" ht="14.25" x14ac:dyDescent="0.2">
      <c r="A306" s="60"/>
      <c r="B306" s="114"/>
      <c r="C306" s="152"/>
      <c r="D306" s="153"/>
      <c r="E306" s="122"/>
      <c r="F306" s="122"/>
      <c r="G306" s="122"/>
      <c r="H306" s="123"/>
      <c r="I306" s="135"/>
      <c r="J306" s="123"/>
      <c r="K306" s="124"/>
      <c r="L306" s="123"/>
      <c r="M306" s="125"/>
      <c r="N306" s="131"/>
      <c r="O306" s="118"/>
      <c r="P306" s="452">
        <f>SUM(M268:M305)+R387</f>
        <v>93360.428587853021</v>
      </c>
      <c r="Q306" s="450">
        <f>P306*SUM($L$357:$L$363)</f>
        <v>8869.2407158460373</v>
      </c>
      <c r="R306" s="266"/>
      <c r="S306" s="266"/>
      <c r="T306" s="149"/>
      <c r="U306" s="154"/>
      <c r="V306" s="155"/>
      <c r="W306" s="136"/>
      <c r="X306" s="63"/>
      <c r="Y306" s="63"/>
      <c r="Z306" s="62"/>
      <c r="AA306" s="62"/>
      <c r="AB306" s="103"/>
      <c r="AC306" s="103"/>
    </row>
    <row r="307" spans="1:29" s="70" customFormat="1" ht="14.25" x14ac:dyDescent="0.2">
      <c r="A307" s="60"/>
      <c r="B307" s="114"/>
      <c r="C307" s="152"/>
      <c r="D307" s="153"/>
      <c r="E307" s="122"/>
      <c r="F307" s="122"/>
      <c r="G307" s="122"/>
      <c r="H307" s="123"/>
      <c r="I307" s="135"/>
      <c r="J307" s="123"/>
      <c r="K307" s="124"/>
      <c r="L307" s="123"/>
      <c r="M307" s="125"/>
      <c r="N307" s="131"/>
      <c r="O307" s="118"/>
      <c r="P307" s="451">
        <f>P306/$M$354</f>
        <v>0.1775770209615618</v>
      </c>
      <c r="Q307" s="452">
        <f>P307*$M$365</f>
        <v>1120.9107725358947</v>
      </c>
      <c r="R307" s="452">
        <f>SUM(P306,Q306,Q307)</f>
        <v>103350.58007623495</v>
      </c>
      <c r="S307" s="452">
        <f>R307*1.08</f>
        <v>111618.62648233376</v>
      </c>
      <c r="T307" s="149"/>
      <c r="U307" s="154"/>
      <c r="V307" s="155"/>
      <c r="W307" s="136"/>
      <c r="X307" s="63"/>
      <c r="Y307" s="63"/>
      <c r="Z307" s="62"/>
      <c r="AA307" s="62"/>
      <c r="AB307" s="103"/>
      <c r="AC307" s="103"/>
    </row>
    <row r="308" spans="1:29" s="70" customFormat="1" ht="14.25" x14ac:dyDescent="0.2">
      <c r="A308" s="60"/>
      <c r="B308" s="114"/>
      <c r="C308" s="152"/>
      <c r="D308" s="153"/>
      <c r="E308" s="122"/>
      <c r="F308" s="122"/>
      <c r="G308" s="122"/>
      <c r="H308" s="123"/>
      <c r="I308" s="135"/>
      <c r="J308" s="123"/>
      <c r="K308" s="124"/>
      <c r="L308" s="123"/>
      <c r="M308" s="125"/>
      <c r="N308" s="131"/>
      <c r="O308" s="118"/>
      <c r="P308" s="455"/>
      <c r="Q308" s="455"/>
      <c r="R308" s="455"/>
      <c r="S308" s="455"/>
      <c r="T308" s="149"/>
      <c r="U308" s="154"/>
      <c r="V308" s="155"/>
      <c r="W308" s="136"/>
      <c r="X308" s="63"/>
      <c r="Y308" s="63"/>
      <c r="Z308" s="62"/>
      <c r="AA308" s="62"/>
      <c r="AB308" s="103"/>
      <c r="AC308" s="103"/>
    </row>
    <row r="309" spans="1:29" s="70" customFormat="1" ht="15" x14ac:dyDescent="0.2">
      <c r="A309" s="60"/>
      <c r="B309" s="169" t="s">
        <v>62</v>
      </c>
      <c r="C309" s="152"/>
      <c r="D309" s="153"/>
      <c r="E309" s="122"/>
      <c r="F309" s="122"/>
      <c r="G309" s="122"/>
      <c r="H309" s="123"/>
      <c r="I309" s="135"/>
      <c r="J309" s="123"/>
      <c r="K309" s="124"/>
      <c r="L309" s="123"/>
      <c r="M309" s="125"/>
      <c r="N309" s="131"/>
      <c r="O309" s="118"/>
      <c r="P309" s="455"/>
      <c r="Q309" s="455"/>
      <c r="R309" s="455"/>
      <c r="S309" s="455"/>
      <c r="T309" s="149"/>
      <c r="U309" s="154"/>
      <c r="V309" s="155"/>
      <c r="W309" s="136"/>
      <c r="X309" s="63"/>
      <c r="Y309" s="63"/>
      <c r="Z309" s="62"/>
      <c r="AA309" s="62"/>
      <c r="AB309" s="103"/>
      <c r="AC309" s="103"/>
    </row>
    <row r="310" spans="1:29" s="70" customFormat="1" ht="14.25" x14ac:dyDescent="0.2">
      <c r="A310" s="60"/>
      <c r="B310" s="165" t="s">
        <v>56</v>
      </c>
      <c r="C310" s="152"/>
      <c r="D310" s="153"/>
      <c r="E310" s="122"/>
      <c r="F310" s="122"/>
      <c r="G310" s="122"/>
      <c r="H310" s="123"/>
      <c r="I310" s="135"/>
      <c r="J310" s="123"/>
      <c r="K310" s="124"/>
      <c r="L310" s="123"/>
      <c r="M310" s="125"/>
      <c r="N310" s="131"/>
      <c r="O310" s="118"/>
      <c r="P310" s="455"/>
      <c r="Q310" s="455"/>
      <c r="R310" s="455"/>
      <c r="S310" s="455"/>
      <c r="T310" s="149"/>
      <c r="U310" s="154"/>
      <c r="V310" s="155"/>
      <c r="W310" s="136"/>
      <c r="X310" s="63"/>
      <c r="Y310" s="63"/>
      <c r="Z310" s="62"/>
      <c r="AA310" s="62"/>
      <c r="AB310" s="103"/>
      <c r="AC310" s="103"/>
    </row>
    <row r="311" spans="1:29" s="70" customFormat="1" ht="14.25" x14ac:dyDescent="0.2">
      <c r="A311" s="60"/>
      <c r="B311" s="146" t="s">
        <v>76</v>
      </c>
      <c r="C311" s="61">
        <v>72</v>
      </c>
      <c r="D311" s="72" t="s">
        <v>45</v>
      </c>
      <c r="E311" s="122">
        <v>0.32</v>
      </c>
      <c r="F311" s="122">
        <f>C311*E311</f>
        <v>23.04</v>
      </c>
      <c r="G311" s="122">
        <f>$H$11*E311</f>
        <v>16</v>
      </c>
      <c r="H311" s="123">
        <f>F311*$H$11</f>
        <v>1152</v>
      </c>
      <c r="I311" s="135">
        <v>15.51</v>
      </c>
      <c r="J311" s="123">
        <f>C311*I311</f>
        <v>1116.72</v>
      </c>
      <c r="K311" s="124">
        <f>SUM(H311,J311)</f>
        <v>2268.7200000000003</v>
      </c>
      <c r="L311" s="123">
        <f>K311/C311</f>
        <v>31.510000000000005</v>
      </c>
      <c r="M311" s="125">
        <f>C311*L311</f>
        <v>2268.7200000000003</v>
      </c>
      <c r="N311" s="131">
        <v>0</v>
      </c>
      <c r="O311" s="118">
        <f>M311*N311</f>
        <v>0</v>
      </c>
      <c r="P311" s="455"/>
      <c r="Q311" s="455"/>
      <c r="R311" s="455"/>
      <c r="S311" s="455"/>
      <c r="T311" s="149"/>
      <c r="U311" s="154"/>
      <c r="V311" s="155"/>
      <c r="W311" s="136"/>
      <c r="X311" s="63"/>
      <c r="Y311" s="63"/>
      <c r="Z311" s="62"/>
      <c r="AA311" s="62"/>
      <c r="AB311" s="103"/>
      <c r="AC311" s="103"/>
    </row>
    <row r="312" spans="1:29" s="70" customFormat="1" ht="14.25" x14ac:dyDescent="0.2">
      <c r="A312" s="60"/>
      <c r="B312" s="1" t="s">
        <v>47</v>
      </c>
      <c r="C312" s="113">
        <v>136</v>
      </c>
      <c r="D312" s="72" t="s">
        <v>46</v>
      </c>
      <c r="E312" s="122"/>
      <c r="F312" s="122"/>
      <c r="G312" s="122"/>
      <c r="H312" s="123"/>
      <c r="I312" s="135"/>
      <c r="J312" s="123"/>
      <c r="K312" s="124"/>
      <c r="L312" s="123"/>
      <c r="M312" s="125"/>
      <c r="N312" s="131"/>
      <c r="O312" s="118"/>
      <c r="P312" s="455"/>
      <c r="Q312" s="455"/>
      <c r="R312" s="455"/>
      <c r="S312" s="455"/>
      <c r="T312" s="149"/>
      <c r="U312" s="154"/>
      <c r="V312" s="155"/>
      <c r="W312" s="136"/>
      <c r="X312" s="63"/>
      <c r="Y312" s="63"/>
      <c r="Z312" s="62"/>
      <c r="AA312" s="62"/>
      <c r="AB312" s="103"/>
      <c r="AC312" s="103"/>
    </row>
    <row r="313" spans="1:29" s="70" customFormat="1" ht="14.25" x14ac:dyDescent="0.2">
      <c r="A313" s="60"/>
      <c r="B313" s="1"/>
      <c r="C313" s="152"/>
      <c r="D313" s="153"/>
      <c r="E313" s="122"/>
      <c r="F313" s="122"/>
      <c r="G313" s="122"/>
      <c r="H313" s="123"/>
      <c r="I313" s="135"/>
      <c r="J313" s="123"/>
      <c r="K313" s="124"/>
      <c r="L313" s="123"/>
      <c r="M313" s="125"/>
      <c r="N313" s="131"/>
      <c r="O313" s="118"/>
      <c r="P313" s="455"/>
      <c r="Q313" s="455"/>
      <c r="R313" s="455"/>
      <c r="S313" s="455"/>
      <c r="T313" s="149"/>
      <c r="U313" s="154"/>
      <c r="V313" s="155"/>
      <c r="W313" s="136"/>
      <c r="X313" s="63"/>
      <c r="Y313" s="63"/>
      <c r="Z313" s="62"/>
      <c r="AA313" s="62"/>
      <c r="AB313" s="103"/>
      <c r="AC313" s="103"/>
    </row>
    <row r="314" spans="1:29" s="70" customFormat="1" ht="14.25" x14ac:dyDescent="0.2">
      <c r="A314" s="60"/>
      <c r="B314" s="1" t="s">
        <v>87</v>
      </c>
      <c r="C314" s="157" t="s">
        <v>85</v>
      </c>
      <c r="D314" s="153"/>
      <c r="E314" s="122"/>
      <c r="F314" s="122"/>
      <c r="G314" s="122"/>
      <c r="H314" s="123"/>
      <c r="I314" s="135"/>
      <c r="J314" s="123"/>
      <c r="K314" s="124"/>
      <c r="L314" s="123"/>
      <c r="M314" s="125"/>
      <c r="N314" s="131"/>
      <c r="O314" s="118"/>
      <c r="P314" s="455"/>
      <c r="Q314" s="455"/>
      <c r="R314" s="455"/>
      <c r="S314" s="455"/>
      <c r="T314" s="149"/>
      <c r="U314" s="154"/>
      <c r="V314" s="155"/>
      <c r="W314" s="136"/>
      <c r="X314" s="63"/>
      <c r="Y314" s="63"/>
      <c r="Z314" s="62"/>
      <c r="AA314" s="62"/>
      <c r="AB314" s="103"/>
      <c r="AC314" s="103"/>
    </row>
    <row r="315" spans="1:29" s="70" customFormat="1" ht="14.25" x14ac:dyDescent="0.2">
      <c r="A315" s="60"/>
      <c r="B315" s="1"/>
      <c r="C315" s="157"/>
      <c r="D315" s="153"/>
      <c r="E315" s="122"/>
      <c r="F315" s="122"/>
      <c r="G315" s="122"/>
      <c r="H315" s="123"/>
      <c r="I315" s="135"/>
      <c r="J315" s="123"/>
      <c r="K315" s="124"/>
      <c r="L315" s="123"/>
      <c r="M315" s="125"/>
      <c r="N315" s="131"/>
      <c r="O315" s="118"/>
      <c r="P315" s="455"/>
      <c r="Q315" s="455"/>
      <c r="R315" s="455"/>
      <c r="S315" s="455"/>
      <c r="T315" s="149"/>
      <c r="U315" s="154"/>
      <c r="V315" s="155"/>
      <c r="W315" s="136"/>
      <c r="X315" s="63"/>
      <c r="Y315" s="63"/>
      <c r="Z315" s="62"/>
      <c r="AA315" s="62"/>
      <c r="AB315" s="103"/>
      <c r="AC315" s="103"/>
    </row>
    <row r="316" spans="1:29" s="70" customFormat="1" ht="14.25" x14ac:dyDescent="0.2">
      <c r="A316" s="60"/>
      <c r="B316" s="1" t="s">
        <v>95</v>
      </c>
      <c r="C316" s="170" t="s">
        <v>78</v>
      </c>
      <c r="D316" s="153"/>
      <c r="E316" s="122"/>
      <c r="F316" s="122"/>
      <c r="G316" s="122"/>
      <c r="H316" s="123"/>
      <c r="I316" s="135"/>
      <c r="J316" s="123"/>
      <c r="K316" s="124"/>
      <c r="L316" s="123"/>
      <c r="M316" s="125"/>
      <c r="N316" s="131"/>
      <c r="O316" s="118"/>
      <c r="P316" s="455"/>
      <c r="Q316" s="455"/>
      <c r="R316" s="455"/>
      <c r="S316" s="455"/>
      <c r="T316" s="149"/>
      <c r="U316" s="154"/>
      <c r="V316" s="155"/>
      <c r="W316" s="136"/>
      <c r="X316" s="63"/>
      <c r="Y316" s="63"/>
      <c r="Z316" s="62"/>
      <c r="AA316" s="62"/>
      <c r="AB316" s="103"/>
      <c r="AC316" s="103"/>
    </row>
    <row r="317" spans="1:29" s="70" customFormat="1" ht="14.25" x14ac:dyDescent="0.2">
      <c r="A317" s="60"/>
      <c r="B317" s="1"/>
      <c r="C317" s="170"/>
      <c r="D317" s="153"/>
      <c r="E317" s="122"/>
      <c r="F317" s="122"/>
      <c r="G317" s="122"/>
      <c r="H317" s="123"/>
      <c r="I317" s="135"/>
      <c r="J317" s="123"/>
      <c r="K317" s="124"/>
      <c r="L317" s="123"/>
      <c r="M317" s="125"/>
      <c r="N317" s="131"/>
      <c r="O317" s="118"/>
      <c r="P317" s="455"/>
      <c r="Q317" s="455"/>
      <c r="R317" s="455"/>
      <c r="S317" s="455"/>
      <c r="T317" s="149"/>
      <c r="U317" s="154"/>
      <c r="V317" s="155"/>
      <c r="W317" s="136"/>
      <c r="X317" s="63"/>
      <c r="Y317" s="63"/>
      <c r="Z317" s="62"/>
      <c r="AA317" s="62"/>
      <c r="AB317" s="103"/>
      <c r="AC317" s="103"/>
    </row>
    <row r="318" spans="1:29" s="70" customFormat="1" ht="25.5" x14ac:dyDescent="0.2">
      <c r="A318" s="60"/>
      <c r="B318" s="1" t="s">
        <v>377</v>
      </c>
      <c r="C318" s="113">
        <v>244</v>
      </c>
      <c r="D318" s="153" t="s">
        <v>45</v>
      </c>
      <c r="E318" s="122">
        <v>0.33</v>
      </c>
      <c r="F318" s="122">
        <f>C318*E318</f>
        <v>80.52000000000001</v>
      </c>
      <c r="G318" s="122">
        <f>$H$11*E318</f>
        <v>16.5</v>
      </c>
      <c r="H318" s="123">
        <f>F318*$H$11</f>
        <v>4026.0000000000005</v>
      </c>
      <c r="I318" s="135">
        <v>37</v>
      </c>
      <c r="J318" s="123">
        <f>C318*I318</f>
        <v>9028</v>
      </c>
      <c r="K318" s="124">
        <f>SUM(H318,J318)</f>
        <v>13054</v>
      </c>
      <c r="L318" s="123">
        <f>K318/C318</f>
        <v>53.5</v>
      </c>
      <c r="M318" s="125">
        <f>C318*L318</f>
        <v>13054</v>
      </c>
      <c r="N318" s="131">
        <v>0</v>
      </c>
      <c r="O318" s="118">
        <f>M318*N318</f>
        <v>0</v>
      </c>
      <c r="P318" s="455"/>
      <c r="Q318" s="455"/>
      <c r="R318" s="455"/>
      <c r="S318" s="455"/>
      <c r="T318" s="149"/>
      <c r="U318" s="154"/>
      <c r="V318" s="155"/>
      <c r="W318" s="136"/>
      <c r="X318" s="63"/>
      <c r="Y318" s="63"/>
      <c r="Z318" s="62"/>
      <c r="AA318" s="62"/>
      <c r="AB318" s="103"/>
      <c r="AC318" s="103"/>
    </row>
    <row r="319" spans="1:29" s="70" customFormat="1" ht="14.25" x14ac:dyDescent="0.2">
      <c r="A319" s="60"/>
      <c r="B319" s="166"/>
      <c r="C319" s="152"/>
      <c r="D319" s="153"/>
      <c r="E319" s="122"/>
      <c r="F319" s="122"/>
      <c r="G319" s="122"/>
      <c r="H319" s="123"/>
      <c r="I319" s="135"/>
      <c r="J319" s="123"/>
      <c r="K319" s="124"/>
      <c r="L319" s="123"/>
      <c r="M319" s="125"/>
      <c r="N319" s="131"/>
      <c r="O319" s="118"/>
      <c r="P319" s="455"/>
      <c r="Q319" s="455"/>
      <c r="R319" s="455"/>
      <c r="S319" s="455"/>
      <c r="T319" s="149"/>
      <c r="U319" s="154"/>
      <c r="V319" s="155"/>
      <c r="W319" s="136"/>
      <c r="X319" s="63"/>
      <c r="Y319" s="63"/>
      <c r="Z319" s="62"/>
      <c r="AA319" s="62"/>
      <c r="AB319" s="103"/>
      <c r="AC319" s="103"/>
    </row>
    <row r="320" spans="1:29" s="70" customFormat="1" ht="14.25" x14ac:dyDescent="0.2">
      <c r="A320" s="60"/>
      <c r="B320" s="165" t="s">
        <v>58</v>
      </c>
      <c r="C320" s="152"/>
      <c r="D320" s="153"/>
      <c r="E320" s="122"/>
      <c r="F320" s="122"/>
      <c r="G320" s="122"/>
      <c r="H320" s="123"/>
      <c r="I320" s="135"/>
      <c r="J320" s="123"/>
      <c r="K320" s="124"/>
      <c r="L320" s="123"/>
      <c r="M320" s="125"/>
      <c r="N320" s="131"/>
      <c r="O320" s="118"/>
      <c r="P320" s="455"/>
      <c r="Q320" s="455"/>
      <c r="R320" s="455"/>
      <c r="S320" s="455"/>
      <c r="T320" s="149"/>
      <c r="U320" s="154"/>
      <c r="V320" s="155"/>
      <c r="W320" s="136"/>
      <c r="X320" s="63"/>
      <c r="Y320" s="63"/>
      <c r="Z320" s="62"/>
      <c r="AA320" s="62"/>
      <c r="AB320" s="103"/>
      <c r="AC320" s="103"/>
    </row>
    <row r="321" spans="1:29" s="70" customFormat="1" ht="25.5" x14ac:dyDescent="0.2">
      <c r="A321" s="60"/>
      <c r="B321" s="1" t="s">
        <v>425</v>
      </c>
      <c r="C321" s="152">
        <v>45</v>
      </c>
      <c r="D321" s="153" t="s">
        <v>45</v>
      </c>
      <c r="E321" s="122">
        <v>0.21</v>
      </c>
      <c r="F321" s="122">
        <f>C321*E321</f>
        <v>9.4499999999999993</v>
      </c>
      <c r="G321" s="122">
        <f>$H$11*E321</f>
        <v>10.5</v>
      </c>
      <c r="H321" s="123">
        <f>F321*$H$11</f>
        <v>472.49999999999994</v>
      </c>
      <c r="I321" s="135">
        <v>11.51</v>
      </c>
      <c r="J321" s="123">
        <f>C321*I321</f>
        <v>517.95000000000005</v>
      </c>
      <c r="K321" s="124">
        <f>SUM(H321,J321)</f>
        <v>990.45</v>
      </c>
      <c r="L321" s="123">
        <f>K321/C321</f>
        <v>22.01</v>
      </c>
      <c r="M321" s="125">
        <f>C321*L321</f>
        <v>990.45</v>
      </c>
      <c r="N321" s="131">
        <v>0</v>
      </c>
      <c r="O321" s="118">
        <f>M321*N321</f>
        <v>0</v>
      </c>
      <c r="P321" s="455"/>
      <c r="Q321" s="455"/>
      <c r="R321" s="455"/>
      <c r="S321" s="455"/>
      <c r="T321" s="149"/>
      <c r="U321" s="149"/>
      <c r="V321" s="412"/>
      <c r="W321" s="136"/>
      <c r="X321" s="63"/>
      <c r="Y321" s="63"/>
      <c r="Z321" s="62"/>
      <c r="AA321" s="62"/>
      <c r="AB321" s="103"/>
      <c r="AC321" s="103"/>
    </row>
    <row r="322" spans="1:29" s="70" customFormat="1" ht="14.25" x14ac:dyDescent="0.2">
      <c r="A322" s="60"/>
      <c r="B322" s="1" t="s">
        <v>47</v>
      </c>
      <c r="C322" s="152">
        <v>61</v>
      </c>
      <c r="D322" s="153" t="s">
        <v>46</v>
      </c>
      <c r="E322" s="122">
        <v>0.1</v>
      </c>
      <c r="F322" s="122">
        <f>C322*E322</f>
        <v>6.1000000000000005</v>
      </c>
      <c r="G322" s="122">
        <f>$H$11*E322</f>
        <v>5</v>
      </c>
      <c r="H322" s="123">
        <f>F322*$H$11</f>
        <v>305</v>
      </c>
      <c r="I322" s="135">
        <v>2.5299999999999998</v>
      </c>
      <c r="J322" s="123">
        <f>C322*I322</f>
        <v>154.32999999999998</v>
      </c>
      <c r="K322" s="124">
        <f>SUM(H322,J322)</f>
        <v>459.33</v>
      </c>
      <c r="L322" s="123">
        <f>K322/C322</f>
        <v>7.5299999999999994</v>
      </c>
      <c r="M322" s="125">
        <f>C322*L322</f>
        <v>459.33</v>
      </c>
      <c r="N322" s="131">
        <v>0</v>
      </c>
      <c r="O322" s="118">
        <f>M322*N322</f>
        <v>0</v>
      </c>
      <c r="P322" s="455"/>
      <c r="Q322" s="455"/>
      <c r="R322" s="455"/>
      <c r="S322" s="455"/>
      <c r="T322" s="149"/>
      <c r="U322" s="154"/>
      <c r="V322" s="155"/>
      <c r="W322" s="136"/>
      <c r="X322" s="63"/>
      <c r="Y322" s="63"/>
      <c r="Z322" s="62"/>
      <c r="AA322" s="62"/>
      <c r="AB322" s="103"/>
      <c r="AC322" s="103"/>
    </row>
    <row r="323" spans="1:29" s="70" customFormat="1" ht="14.25" x14ac:dyDescent="0.2">
      <c r="A323" s="60"/>
      <c r="B323" s="1" t="s">
        <v>98</v>
      </c>
      <c r="C323" s="152">
        <v>17</v>
      </c>
      <c r="D323" s="153" t="s">
        <v>60</v>
      </c>
      <c r="E323" s="122">
        <v>0.75</v>
      </c>
      <c r="F323" s="122">
        <f>C323*E323</f>
        <v>12.75</v>
      </c>
      <c r="G323" s="122">
        <f>$H$11*E323</f>
        <v>37.5</v>
      </c>
      <c r="H323" s="123">
        <f>F323*$H$11</f>
        <v>637.5</v>
      </c>
      <c r="I323" s="135">
        <v>25</v>
      </c>
      <c r="J323" s="123">
        <f>C323*I323</f>
        <v>425</v>
      </c>
      <c r="K323" s="124">
        <f>SUM(H323,J323)</f>
        <v>1062.5</v>
      </c>
      <c r="L323" s="123">
        <f>K323/C323</f>
        <v>62.5</v>
      </c>
      <c r="M323" s="125">
        <f>C323*L323</f>
        <v>1062.5</v>
      </c>
      <c r="N323" s="131">
        <v>0</v>
      </c>
      <c r="O323" s="118">
        <f>M323*N323</f>
        <v>0</v>
      </c>
      <c r="P323" s="455"/>
      <c r="Q323" s="455"/>
      <c r="R323" s="455">
        <f>SUM(L321,L324)</f>
        <v>63.370000000000005</v>
      </c>
      <c r="S323" s="455"/>
      <c r="T323" s="149"/>
      <c r="U323" s="154"/>
      <c r="V323" s="155"/>
      <c r="W323" s="136"/>
      <c r="X323" s="63"/>
      <c r="Y323" s="63"/>
      <c r="Z323" s="62"/>
      <c r="AA323" s="62"/>
      <c r="AB323" s="103"/>
      <c r="AC323" s="103"/>
    </row>
    <row r="324" spans="1:29" s="70" customFormat="1" ht="25.5" x14ac:dyDescent="0.2">
      <c r="A324" s="60"/>
      <c r="B324" s="1" t="s">
        <v>426</v>
      </c>
      <c r="C324" s="152">
        <v>45</v>
      </c>
      <c r="D324" s="153" t="s">
        <v>45</v>
      </c>
      <c r="E324" s="122">
        <v>0.1</v>
      </c>
      <c r="F324" s="122">
        <f>C324*E324</f>
        <v>4.5</v>
      </c>
      <c r="G324" s="122">
        <f>$H$11*E324</f>
        <v>5</v>
      </c>
      <c r="H324" s="123">
        <f>F324*$H$11</f>
        <v>225</v>
      </c>
      <c r="I324" s="135">
        <v>36.36</v>
      </c>
      <c r="J324" s="123">
        <f>C324*I324</f>
        <v>1636.2</v>
      </c>
      <c r="K324" s="124">
        <f>SUM(H324,J324)</f>
        <v>1861.2</v>
      </c>
      <c r="L324" s="123">
        <f>K324/C324</f>
        <v>41.36</v>
      </c>
      <c r="M324" s="125">
        <f>C324*L324</f>
        <v>1861.2</v>
      </c>
      <c r="N324" s="131">
        <v>0</v>
      </c>
      <c r="O324" s="118">
        <f>M324*N324</f>
        <v>0</v>
      </c>
      <c r="P324" s="455"/>
      <c r="Q324" s="455">
        <f>SUM(M321,M322,M324)</f>
        <v>3310.98</v>
      </c>
      <c r="R324" s="455">
        <f>Q324/C321</f>
        <v>73.577333333333328</v>
      </c>
      <c r="S324" s="455"/>
      <c r="T324" s="149"/>
      <c r="U324" s="154"/>
      <c r="V324" s="155"/>
      <c r="W324" s="136"/>
      <c r="X324" s="63"/>
      <c r="Y324" s="63"/>
      <c r="Z324" s="62"/>
      <c r="AA324" s="62"/>
      <c r="AB324" s="103"/>
      <c r="AC324" s="103"/>
    </row>
    <row r="325" spans="1:29" s="70" customFormat="1" ht="14.25" x14ac:dyDescent="0.2">
      <c r="A325" s="60"/>
      <c r="B325" s="1" t="s">
        <v>374</v>
      </c>
      <c r="C325" s="152">
        <v>1</v>
      </c>
      <c r="D325" s="153" t="s">
        <v>59</v>
      </c>
      <c r="E325" s="122">
        <v>50</v>
      </c>
      <c r="F325" s="122">
        <f>C325*E325</f>
        <v>50</v>
      </c>
      <c r="G325" s="122">
        <f>$H$11*E325</f>
        <v>2500</v>
      </c>
      <c r="H325" s="123">
        <f>F325*$H$11</f>
        <v>2500</v>
      </c>
      <c r="I325" s="135">
        <v>500</v>
      </c>
      <c r="J325" s="123">
        <f>C325*I325</f>
        <v>500</v>
      </c>
      <c r="K325" s="124">
        <f>SUM(H325,J325)</f>
        <v>3000</v>
      </c>
      <c r="L325" s="123">
        <f>K325/C325</f>
        <v>3000</v>
      </c>
      <c r="M325" s="125">
        <f>C325*L325</f>
        <v>3000</v>
      </c>
      <c r="N325" s="131">
        <v>0</v>
      </c>
      <c r="O325" s="118">
        <f>M325*N325</f>
        <v>0</v>
      </c>
      <c r="P325" s="455"/>
      <c r="Q325" s="455"/>
      <c r="R325" s="455"/>
      <c r="S325" s="455"/>
      <c r="T325" s="149"/>
      <c r="U325" s="154"/>
      <c r="V325" s="155"/>
      <c r="W325" s="136"/>
      <c r="X325" s="63"/>
      <c r="Y325" s="63"/>
      <c r="Z325" s="62"/>
      <c r="AA325" s="62"/>
      <c r="AB325" s="103"/>
      <c r="AC325" s="103"/>
    </row>
    <row r="326" spans="1:29" s="70" customFormat="1" ht="14.25" x14ac:dyDescent="0.2">
      <c r="A326" s="60"/>
      <c r="B326" s="1"/>
      <c r="C326" s="152"/>
      <c r="D326" s="153"/>
      <c r="E326" s="122"/>
      <c r="F326" s="122"/>
      <c r="G326" s="122"/>
      <c r="H326" s="123"/>
      <c r="I326" s="135"/>
      <c r="J326" s="123"/>
      <c r="K326" s="124"/>
      <c r="L326" s="123"/>
      <c r="M326" s="125"/>
      <c r="N326" s="131"/>
      <c r="O326" s="118"/>
      <c r="P326" s="455"/>
      <c r="Q326" s="455"/>
      <c r="R326" s="455"/>
      <c r="S326" s="455"/>
      <c r="T326" s="149"/>
      <c r="U326" s="154"/>
      <c r="V326" s="155"/>
      <c r="W326" s="136"/>
      <c r="X326" s="63"/>
      <c r="Y326" s="63"/>
      <c r="Z326" s="62"/>
      <c r="AA326" s="62"/>
      <c r="AB326" s="103"/>
      <c r="AC326" s="103"/>
    </row>
    <row r="327" spans="1:29" s="70" customFormat="1" ht="14.25" x14ac:dyDescent="0.2">
      <c r="A327" s="60"/>
      <c r="B327" s="151" t="s">
        <v>90</v>
      </c>
      <c r="C327" s="152">
        <v>1</v>
      </c>
      <c r="D327" s="153" t="s">
        <v>59</v>
      </c>
      <c r="E327" s="122">
        <v>0</v>
      </c>
      <c r="F327" s="122">
        <f>C327*E327</f>
        <v>0</v>
      </c>
      <c r="G327" s="122">
        <f>$H$11*E327</f>
        <v>0</v>
      </c>
      <c r="H327" s="123">
        <f>F327*$H$11</f>
        <v>0</v>
      </c>
      <c r="I327" s="135">
        <v>500</v>
      </c>
      <c r="J327" s="123">
        <f>C327*I327</f>
        <v>500</v>
      </c>
      <c r="K327" s="124">
        <f>SUM(H327,J327)</f>
        <v>500</v>
      </c>
      <c r="L327" s="123">
        <f>K327/C327</f>
        <v>500</v>
      </c>
      <c r="M327" s="125">
        <f>C327*L327</f>
        <v>500</v>
      </c>
      <c r="N327" s="131">
        <v>0</v>
      </c>
      <c r="O327" s="118">
        <f>M327*N327</f>
        <v>0</v>
      </c>
      <c r="P327" s="455"/>
      <c r="Q327" s="455"/>
      <c r="R327" s="455"/>
      <c r="S327" s="455"/>
      <c r="T327" s="149"/>
      <c r="U327" s="154"/>
      <c r="V327" s="155"/>
      <c r="W327" s="136"/>
      <c r="X327" s="63"/>
      <c r="Y327" s="63"/>
      <c r="Z327" s="62"/>
      <c r="AA327" s="62"/>
      <c r="AB327" s="103"/>
      <c r="AC327" s="103"/>
    </row>
    <row r="328" spans="1:29" s="70" customFormat="1" ht="14.25" x14ac:dyDescent="0.2">
      <c r="A328" s="60"/>
      <c r="B328" s="151"/>
      <c r="C328" s="152"/>
      <c r="D328" s="153"/>
      <c r="E328" s="122"/>
      <c r="F328" s="122"/>
      <c r="G328" s="122"/>
      <c r="H328" s="123"/>
      <c r="I328" s="135"/>
      <c r="J328" s="123"/>
      <c r="K328" s="124"/>
      <c r="L328" s="123"/>
      <c r="M328" s="125"/>
      <c r="N328" s="131"/>
      <c r="O328" s="118"/>
      <c r="P328" s="455"/>
      <c r="Q328" s="455"/>
      <c r="R328" s="455"/>
      <c r="S328" s="455"/>
      <c r="T328" s="149"/>
      <c r="U328" s="154"/>
      <c r="V328" s="155"/>
      <c r="W328" s="136"/>
      <c r="X328" s="63"/>
      <c r="Y328" s="63"/>
      <c r="Z328" s="62"/>
      <c r="AA328" s="62"/>
      <c r="AB328" s="103"/>
      <c r="AC328" s="103"/>
    </row>
    <row r="329" spans="1:29" s="70" customFormat="1" ht="14.25" x14ac:dyDescent="0.2">
      <c r="A329" s="60"/>
      <c r="B329" s="435" t="s">
        <v>480</v>
      </c>
      <c r="C329" s="441" t="s">
        <v>488</v>
      </c>
      <c r="D329" s="153"/>
      <c r="E329" s="122"/>
      <c r="F329" s="122"/>
      <c r="G329" s="122"/>
      <c r="H329" s="123"/>
      <c r="I329" s="135"/>
      <c r="J329" s="123"/>
      <c r="K329" s="124"/>
      <c r="L329" s="123"/>
      <c r="M329" s="125"/>
      <c r="N329" s="131"/>
      <c r="O329" s="118"/>
      <c r="P329" s="455"/>
      <c r="Q329" s="455"/>
      <c r="R329" s="455"/>
      <c r="S329" s="455"/>
      <c r="T329" s="149"/>
      <c r="U329" s="154"/>
      <c r="V329" s="155"/>
      <c r="W329" s="136"/>
      <c r="X329" s="63"/>
      <c r="Y329" s="63"/>
      <c r="Z329" s="62"/>
      <c r="AA329" s="62"/>
      <c r="AB329" s="103"/>
      <c r="AC329" s="103"/>
    </row>
    <row r="330" spans="1:29" s="70" customFormat="1" ht="14.25" x14ac:dyDescent="0.2">
      <c r="A330" s="60"/>
      <c r="B330" s="151"/>
      <c r="C330" s="152"/>
      <c r="D330" s="153"/>
      <c r="E330" s="122"/>
      <c r="F330" s="122"/>
      <c r="G330" s="122"/>
      <c r="H330" s="123"/>
      <c r="I330" s="135"/>
      <c r="J330" s="123"/>
      <c r="K330" s="124"/>
      <c r="L330" s="123"/>
      <c r="M330" s="125"/>
      <c r="N330" s="131"/>
      <c r="O330" s="118"/>
      <c r="P330" s="455"/>
      <c r="Q330" s="455"/>
      <c r="R330" s="455"/>
      <c r="S330" s="455"/>
      <c r="T330" s="149"/>
      <c r="U330" s="154"/>
      <c r="V330" s="155"/>
      <c r="W330" s="136"/>
      <c r="X330" s="63"/>
      <c r="Y330" s="63"/>
      <c r="Z330" s="62"/>
      <c r="AA330" s="62"/>
      <c r="AB330" s="103"/>
      <c r="AC330" s="103"/>
    </row>
    <row r="331" spans="1:29" s="70" customFormat="1" ht="14.25" x14ac:dyDescent="0.2">
      <c r="A331" s="60"/>
      <c r="B331" s="421" t="s">
        <v>489</v>
      </c>
      <c r="C331" s="157" t="s">
        <v>89</v>
      </c>
      <c r="D331" s="153"/>
      <c r="E331" s="122"/>
      <c r="F331" s="122"/>
      <c r="G331" s="122"/>
      <c r="H331" s="123"/>
      <c r="I331" s="135"/>
      <c r="J331" s="123"/>
      <c r="K331" s="124"/>
      <c r="L331" s="123"/>
      <c r="M331" s="125"/>
      <c r="N331" s="131"/>
      <c r="O331" s="118"/>
      <c r="P331" s="455"/>
      <c r="Q331" s="455"/>
      <c r="R331" s="455"/>
      <c r="S331" s="455"/>
      <c r="T331" s="149"/>
      <c r="U331" s="154"/>
      <c r="V331" s="155"/>
      <c r="W331" s="136"/>
      <c r="X331" s="63"/>
      <c r="Y331" s="63"/>
      <c r="Z331" s="62"/>
      <c r="AA331" s="62"/>
      <c r="AB331" s="103"/>
      <c r="AC331" s="103"/>
    </row>
    <row r="332" spans="1:29" s="70" customFormat="1" ht="14.25" x14ac:dyDescent="0.2">
      <c r="A332" s="60"/>
      <c r="B332" s="151"/>
      <c r="C332" s="157"/>
      <c r="D332" s="153"/>
      <c r="E332" s="122"/>
      <c r="F332" s="122"/>
      <c r="G332" s="122"/>
      <c r="H332" s="123"/>
      <c r="I332" s="135"/>
      <c r="J332" s="123"/>
      <c r="K332" s="124"/>
      <c r="L332" s="123"/>
      <c r="M332" s="125"/>
      <c r="N332" s="131"/>
      <c r="O332" s="118"/>
      <c r="P332" s="455"/>
      <c r="Q332" s="455"/>
      <c r="R332" s="455"/>
      <c r="S332" s="455"/>
      <c r="T332" s="149"/>
      <c r="U332" s="154"/>
      <c r="V332" s="155"/>
      <c r="W332" s="136"/>
      <c r="X332" s="63"/>
      <c r="Y332" s="63"/>
      <c r="Z332" s="62"/>
      <c r="AA332" s="62"/>
      <c r="AB332" s="103"/>
      <c r="AC332" s="103"/>
    </row>
    <row r="333" spans="1:29" s="70" customFormat="1" ht="14.25" x14ac:dyDescent="0.2">
      <c r="A333" s="60"/>
      <c r="B333" s="166"/>
      <c r="C333" s="152"/>
      <c r="D333" s="153"/>
      <c r="E333" s="122"/>
      <c r="F333" s="122"/>
      <c r="G333" s="122"/>
      <c r="H333" s="123"/>
      <c r="I333" s="135"/>
      <c r="J333" s="123"/>
      <c r="K333" s="124"/>
      <c r="L333" s="123"/>
      <c r="M333" s="125"/>
      <c r="N333" s="131"/>
      <c r="O333" s="118"/>
      <c r="P333" s="455"/>
      <c r="Q333" s="455"/>
      <c r="R333" s="455"/>
      <c r="S333" s="455"/>
      <c r="T333" s="149"/>
      <c r="U333" s="154"/>
      <c r="V333" s="155"/>
      <c r="W333" s="136"/>
      <c r="X333" s="63"/>
      <c r="Y333" s="63"/>
      <c r="Z333" s="62"/>
      <c r="AA333" s="62"/>
      <c r="AB333" s="103"/>
      <c r="AC333" s="103"/>
    </row>
    <row r="334" spans="1:29" s="70" customFormat="1" ht="14.25" x14ac:dyDescent="0.2">
      <c r="A334" s="60"/>
      <c r="B334" s="166" t="s">
        <v>57</v>
      </c>
      <c r="C334" s="152"/>
      <c r="D334" s="153"/>
      <c r="E334" s="122"/>
      <c r="F334" s="122"/>
      <c r="G334" s="122"/>
      <c r="H334" s="123"/>
      <c r="I334" s="135"/>
      <c r="J334" s="123"/>
      <c r="K334" s="124"/>
      <c r="L334" s="123"/>
      <c r="M334" s="125"/>
      <c r="N334" s="131"/>
      <c r="O334" s="118"/>
      <c r="P334" s="455"/>
      <c r="Q334" s="455"/>
      <c r="R334" s="455"/>
      <c r="S334" s="455"/>
      <c r="T334" s="149"/>
      <c r="U334" s="154"/>
      <c r="V334" s="155"/>
      <c r="W334" s="136"/>
      <c r="X334" s="63"/>
      <c r="Y334" s="63"/>
      <c r="Z334" s="62"/>
      <c r="AA334" s="62"/>
      <c r="AB334" s="103"/>
      <c r="AC334" s="103"/>
    </row>
    <row r="335" spans="1:29" s="70" customFormat="1" ht="14.25" x14ac:dyDescent="0.2">
      <c r="A335" s="60"/>
      <c r="B335" s="1" t="s">
        <v>88</v>
      </c>
      <c r="C335" s="157" t="s">
        <v>85</v>
      </c>
      <c r="D335" s="72"/>
      <c r="E335" s="122"/>
      <c r="F335" s="122"/>
      <c r="G335" s="122"/>
      <c r="H335" s="123"/>
      <c r="I335" s="135"/>
      <c r="J335" s="123"/>
      <c r="K335" s="124"/>
      <c r="L335" s="123"/>
      <c r="M335" s="125"/>
      <c r="N335" s="131"/>
      <c r="O335" s="118"/>
      <c r="P335" s="455"/>
      <c r="Q335" s="455"/>
      <c r="R335" s="455"/>
      <c r="S335" s="455"/>
      <c r="T335" s="149"/>
      <c r="U335" s="154"/>
      <c r="V335" s="155"/>
      <c r="W335" s="136"/>
      <c r="X335" s="63"/>
      <c r="Y335" s="63"/>
      <c r="Z335" s="62"/>
      <c r="AA335" s="62"/>
      <c r="AB335" s="103"/>
      <c r="AC335" s="103"/>
    </row>
    <row r="336" spans="1:29" s="70" customFormat="1" ht="14.25" x14ac:dyDescent="0.2">
      <c r="A336" s="60"/>
      <c r="B336" s="166"/>
      <c r="C336" s="152"/>
      <c r="D336" s="153"/>
      <c r="E336" s="122"/>
      <c r="F336" s="122"/>
      <c r="G336" s="122"/>
      <c r="H336" s="123"/>
      <c r="I336" s="135"/>
      <c r="J336" s="123"/>
      <c r="K336" s="124"/>
      <c r="L336" s="123"/>
      <c r="M336" s="125"/>
      <c r="N336" s="131"/>
      <c r="O336" s="118"/>
      <c r="P336" s="455"/>
      <c r="Q336" s="455"/>
      <c r="R336" s="455"/>
      <c r="S336" s="455"/>
      <c r="T336" s="149"/>
      <c r="U336" s="154"/>
      <c r="V336" s="155"/>
      <c r="W336" s="136"/>
      <c r="X336" s="63"/>
      <c r="Y336" s="63"/>
      <c r="Z336" s="62"/>
      <c r="AA336" s="62"/>
      <c r="AB336" s="103"/>
      <c r="AC336" s="103"/>
    </row>
    <row r="337" spans="1:29" s="70" customFormat="1" ht="14.25" x14ac:dyDescent="0.2">
      <c r="A337" s="60"/>
      <c r="B337" s="166" t="s">
        <v>75</v>
      </c>
      <c r="C337" s="152"/>
      <c r="D337" s="153"/>
      <c r="E337" s="122"/>
      <c r="F337" s="122"/>
      <c r="G337" s="122"/>
      <c r="H337" s="123"/>
      <c r="I337" s="135"/>
      <c r="J337" s="123"/>
      <c r="K337" s="124"/>
      <c r="L337" s="123"/>
      <c r="M337" s="125"/>
      <c r="N337" s="131"/>
      <c r="O337" s="118"/>
      <c r="P337" s="455"/>
      <c r="Q337" s="455"/>
      <c r="R337" s="455"/>
      <c r="S337" s="455"/>
      <c r="T337" s="149"/>
      <c r="U337" s="154"/>
      <c r="V337" s="155"/>
      <c r="W337" s="136"/>
      <c r="X337" s="63"/>
      <c r="Y337" s="63"/>
      <c r="Z337" s="62"/>
      <c r="AA337" s="62"/>
      <c r="AB337" s="103"/>
      <c r="AC337" s="103"/>
    </row>
    <row r="338" spans="1:29" s="70" customFormat="1" ht="14.25" x14ac:dyDescent="0.2">
      <c r="A338" s="60"/>
      <c r="B338" s="151" t="s">
        <v>91</v>
      </c>
      <c r="C338" s="152">
        <v>106</v>
      </c>
      <c r="D338" s="153" t="s">
        <v>46</v>
      </c>
      <c r="E338" s="122">
        <f>$X$125</f>
        <v>0.3</v>
      </c>
      <c r="F338" s="122">
        <f>C338*E338</f>
        <v>31.799999999999997</v>
      </c>
      <c r="G338" s="122">
        <f>$H$11*E338</f>
        <v>15</v>
      </c>
      <c r="H338" s="123">
        <f>F338*$H$11</f>
        <v>1589.9999999999998</v>
      </c>
      <c r="I338" s="135">
        <v>122.5</v>
      </c>
      <c r="J338" s="123">
        <f>C338*I338</f>
        <v>12985</v>
      </c>
      <c r="K338" s="124">
        <f>SUM(H338,J338)</f>
        <v>14575</v>
      </c>
      <c r="L338" s="123">
        <f>K338/C338</f>
        <v>137.5</v>
      </c>
      <c r="M338" s="125">
        <f>C338*L338</f>
        <v>14575</v>
      </c>
      <c r="N338" s="131">
        <v>0</v>
      </c>
      <c r="O338" s="118">
        <f>M338*N338</f>
        <v>0</v>
      </c>
      <c r="P338" s="455"/>
      <c r="Q338" s="455"/>
      <c r="R338" s="455"/>
      <c r="S338" s="455"/>
      <c r="T338" s="149"/>
      <c r="U338" s="154"/>
      <c r="V338" s="155"/>
      <c r="W338" s="136"/>
      <c r="X338" s="63"/>
      <c r="Y338" s="63"/>
      <c r="Z338" s="62"/>
      <c r="AA338" s="62"/>
      <c r="AB338" s="103"/>
      <c r="AC338" s="103"/>
    </row>
    <row r="339" spans="1:29" s="70" customFormat="1" ht="14.25" x14ac:dyDescent="0.2">
      <c r="A339" s="60"/>
      <c r="B339" s="151" t="s">
        <v>93</v>
      </c>
      <c r="C339" s="152">
        <v>106</v>
      </c>
      <c r="D339" s="153" t="s">
        <v>46</v>
      </c>
      <c r="E339" s="390">
        <v>0.32</v>
      </c>
      <c r="F339" s="122">
        <f>C339*E339</f>
        <v>33.92</v>
      </c>
      <c r="G339" s="122">
        <f>$H$11*E339</f>
        <v>16</v>
      </c>
      <c r="H339" s="123">
        <f>F339*$H$11</f>
        <v>1696</v>
      </c>
      <c r="I339" s="393">
        <v>40</v>
      </c>
      <c r="J339" s="123">
        <f>C339*I339</f>
        <v>4240</v>
      </c>
      <c r="K339" s="124">
        <f>SUM(H339,J339)</f>
        <v>5936</v>
      </c>
      <c r="L339" s="123">
        <f>K339/C339</f>
        <v>56</v>
      </c>
      <c r="M339" s="125">
        <f>C339*L339</f>
        <v>5936</v>
      </c>
      <c r="N339" s="131">
        <v>0</v>
      </c>
      <c r="O339" s="118">
        <f>M339*N339</f>
        <v>0</v>
      </c>
      <c r="P339" s="455"/>
      <c r="Q339" s="455"/>
      <c r="R339" s="455"/>
      <c r="S339" s="455"/>
      <c r="T339" s="149"/>
      <c r="U339" s="154"/>
      <c r="V339" s="155"/>
      <c r="W339" s="136"/>
      <c r="X339" s="63"/>
      <c r="Y339" s="63"/>
      <c r="Z339" s="62"/>
      <c r="AA339" s="62"/>
      <c r="AB339" s="103"/>
      <c r="AC339" s="103"/>
    </row>
    <row r="340" spans="1:29" s="70" customFormat="1" ht="14.25" x14ac:dyDescent="0.2">
      <c r="A340" s="60"/>
      <c r="B340" s="151" t="s">
        <v>504</v>
      </c>
      <c r="C340" s="446">
        <f>C338/1.8</f>
        <v>58.888888888888886</v>
      </c>
      <c r="D340" s="153" t="s">
        <v>60</v>
      </c>
      <c r="E340" s="390">
        <v>0</v>
      </c>
      <c r="F340" s="122">
        <f>C340*E340</f>
        <v>0</v>
      </c>
      <c r="G340" s="122">
        <f>$H$11*E340</f>
        <v>0</v>
      </c>
      <c r="H340" s="123">
        <f>F340*$H$11</f>
        <v>0</v>
      </c>
      <c r="I340" s="393">
        <v>5.28</v>
      </c>
      <c r="J340" s="123">
        <f>C340*I340</f>
        <v>310.93333333333334</v>
      </c>
      <c r="K340" s="124">
        <f>SUM(H340,J340)</f>
        <v>310.93333333333334</v>
      </c>
      <c r="L340" s="123">
        <f>K340/C340</f>
        <v>5.28</v>
      </c>
      <c r="M340" s="125">
        <f>C340*L340</f>
        <v>310.93333333333334</v>
      </c>
      <c r="N340" s="131">
        <v>0</v>
      </c>
      <c r="O340" s="118">
        <f>M340*N340</f>
        <v>0</v>
      </c>
      <c r="P340" s="455"/>
      <c r="Q340" s="455"/>
      <c r="R340" s="455"/>
      <c r="S340" s="455"/>
      <c r="T340" s="149"/>
      <c r="U340" s="154"/>
      <c r="V340" s="155"/>
      <c r="W340" s="136"/>
      <c r="X340" s="63"/>
      <c r="Y340" s="63"/>
      <c r="Z340" s="62"/>
      <c r="AA340" s="62"/>
      <c r="AB340" s="103"/>
      <c r="AC340" s="103"/>
    </row>
    <row r="341" spans="1:29" s="70" customFormat="1" ht="14.25" x14ac:dyDescent="0.2">
      <c r="A341" s="60"/>
      <c r="B341" s="146" t="s">
        <v>371</v>
      </c>
      <c r="C341" s="152">
        <v>59</v>
      </c>
      <c r="D341" s="153" t="s">
        <v>60</v>
      </c>
      <c r="E341" s="390">
        <v>0.25</v>
      </c>
      <c r="F341" s="122">
        <f>C341*E341</f>
        <v>14.75</v>
      </c>
      <c r="G341" s="122">
        <f>$H$11*E341</f>
        <v>12.5</v>
      </c>
      <c r="H341" s="123">
        <f>F341*$H$11</f>
        <v>737.5</v>
      </c>
      <c r="I341" s="135">
        <v>17</v>
      </c>
      <c r="J341" s="123">
        <f>C341*I341</f>
        <v>1003</v>
      </c>
      <c r="K341" s="124">
        <f>SUM(H341,J341)</f>
        <v>1740.5</v>
      </c>
      <c r="L341" s="123">
        <f>K341/C341</f>
        <v>29.5</v>
      </c>
      <c r="M341" s="125">
        <f>C341*L341</f>
        <v>1740.5</v>
      </c>
      <c r="N341" s="131">
        <v>0</v>
      </c>
      <c r="O341" s="118">
        <f>M341*N341</f>
        <v>0</v>
      </c>
      <c r="P341" s="455"/>
      <c r="Q341" s="455"/>
      <c r="R341" s="455"/>
      <c r="S341" s="455"/>
      <c r="T341" s="149"/>
      <c r="U341" s="154"/>
      <c r="V341" s="155"/>
      <c r="W341" s="136"/>
      <c r="X341" s="63"/>
      <c r="Y341" s="63"/>
      <c r="Z341" s="62"/>
      <c r="AA341" s="62"/>
      <c r="AB341" s="103"/>
      <c r="AC341" s="103"/>
    </row>
    <row r="342" spans="1:29" s="70" customFormat="1" ht="14.25" x14ac:dyDescent="0.2">
      <c r="A342" s="60"/>
      <c r="B342" s="146" t="s">
        <v>372</v>
      </c>
      <c r="C342" s="152">
        <v>59</v>
      </c>
      <c r="D342" s="153" t="s">
        <v>60</v>
      </c>
      <c r="E342" s="122">
        <v>0.15</v>
      </c>
      <c r="F342" s="122">
        <f>C342*E342</f>
        <v>8.85</v>
      </c>
      <c r="G342" s="122">
        <f>$H$11*E342</f>
        <v>7.5</v>
      </c>
      <c r="H342" s="123">
        <f>F342*$H$11</f>
        <v>442.5</v>
      </c>
      <c r="I342" s="135">
        <v>8</v>
      </c>
      <c r="J342" s="123">
        <f>C342*I342</f>
        <v>472</v>
      </c>
      <c r="K342" s="124">
        <f>SUM(H342,J342)</f>
        <v>914.5</v>
      </c>
      <c r="L342" s="123">
        <f>K342/C342</f>
        <v>15.5</v>
      </c>
      <c r="M342" s="125">
        <f>C342*L342</f>
        <v>914.5</v>
      </c>
      <c r="N342" s="131">
        <v>0</v>
      </c>
      <c r="O342" s="118">
        <f>M342*N342</f>
        <v>0</v>
      </c>
      <c r="P342" s="455"/>
      <c r="Q342" s="455"/>
      <c r="R342" s="455"/>
      <c r="S342" s="455"/>
      <c r="T342" s="149"/>
      <c r="U342" s="154"/>
      <c r="V342" s="155"/>
      <c r="W342" s="136"/>
      <c r="X342" s="63"/>
      <c r="Y342" s="63"/>
      <c r="Z342" s="62"/>
      <c r="AA342" s="62"/>
      <c r="AB342" s="103"/>
      <c r="AC342" s="103"/>
    </row>
    <row r="343" spans="1:29" s="70" customFormat="1" ht="14.25" x14ac:dyDescent="0.2">
      <c r="A343" s="60"/>
      <c r="B343" s="146"/>
      <c r="C343" s="152"/>
      <c r="D343" s="153"/>
      <c r="E343" s="122"/>
      <c r="F343" s="122"/>
      <c r="G343" s="122"/>
      <c r="H343" s="123"/>
      <c r="I343" s="135"/>
      <c r="J343" s="123"/>
      <c r="K343" s="124"/>
      <c r="L343" s="123"/>
      <c r="M343" s="125"/>
      <c r="N343" s="131"/>
      <c r="O343" s="118"/>
      <c r="P343" s="452">
        <f>SUM(M310:M342)+R388</f>
        <v>46753.196442556036</v>
      </c>
      <c r="Q343" s="450">
        <f>P343*SUM($L$357:$L$363)</f>
        <v>4441.5536620428238</v>
      </c>
      <c r="R343" s="266"/>
      <c r="S343" s="266"/>
      <c r="T343" s="149"/>
      <c r="U343" s="154"/>
      <c r="V343" s="155"/>
      <c r="W343" s="136"/>
      <c r="X343" s="63"/>
      <c r="Y343" s="63"/>
      <c r="Z343" s="62"/>
      <c r="AA343" s="62"/>
      <c r="AB343" s="103"/>
      <c r="AC343" s="103"/>
    </row>
    <row r="344" spans="1:29" s="70" customFormat="1" ht="14.25" x14ac:dyDescent="0.2">
      <c r="A344" s="60"/>
      <c r="B344" s="146"/>
      <c r="C344" s="152"/>
      <c r="D344" s="153"/>
      <c r="E344" s="122"/>
      <c r="F344" s="122"/>
      <c r="G344" s="122"/>
      <c r="H344" s="123"/>
      <c r="I344" s="135"/>
      <c r="J344" s="123"/>
      <c r="K344" s="124"/>
      <c r="L344" s="123"/>
      <c r="M344" s="125"/>
      <c r="N344" s="131"/>
      <c r="O344" s="118"/>
      <c r="P344" s="451">
        <f>P343/$M$354</f>
        <v>8.8927326815849569E-2</v>
      </c>
      <c r="Q344" s="452">
        <f>P344*$M$365</f>
        <v>561.33162985250499</v>
      </c>
      <c r="R344" s="452">
        <f>SUM(P343,Q343,Q344)</f>
        <v>51756.081734451363</v>
      </c>
      <c r="S344" s="452">
        <f>R344*1.08</f>
        <v>55896.568273207478</v>
      </c>
      <c r="T344" s="149"/>
      <c r="U344" s="154"/>
      <c r="V344" s="155"/>
      <c r="W344" s="136"/>
      <c r="X344" s="63"/>
      <c r="Y344" s="63"/>
      <c r="Z344" s="62"/>
      <c r="AA344" s="62"/>
      <c r="AB344" s="103"/>
      <c r="AC344" s="103"/>
    </row>
    <row r="345" spans="1:29" s="70" customFormat="1" ht="14.25" x14ac:dyDescent="0.2">
      <c r="A345" s="60"/>
      <c r="B345" s="114"/>
      <c r="C345" s="152"/>
      <c r="D345" s="153"/>
      <c r="E345" s="122"/>
      <c r="F345" s="122"/>
      <c r="G345" s="122"/>
      <c r="H345" s="123"/>
      <c r="I345" s="135"/>
      <c r="J345" s="123"/>
      <c r="K345" s="124"/>
      <c r="L345" s="123"/>
      <c r="M345" s="125"/>
      <c r="N345" s="131"/>
      <c r="O345" s="118"/>
      <c r="P345" s="455"/>
      <c r="Q345" s="455"/>
      <c r="R345" s="455"/>
      <c r="S345" s="455"/>
      <c r="T345" s="149"/>
      <c r="U345" s="154"/>
      <c r="V345" s="155"/>
      <c r="W345" s="136"/>
      <c r="X345" s="63"/>
      <c r="Y345" s="63"/>
      <c r="Z345" s="62"/>
      <c r="AA345" s="62"/>
      <c r="AB345" s="103"/>
      <c r="AC345" s="103"/>
    </row>
    <row r="346" spans="1:29" s="70" customFormat="1" ht="15" x14ac:dyDescent="0.2">
      <c r="A346" s="60"/>
      <c r="B346" s="169" t="s">
        <v>97</v>
      </c>
      <c r="C346" s="152"/>
      <c r="D346" s="153"/>
      <c r="E346" s="122"/>
      <c r="F346" s="122"/>
      <c r="G346" s="122"/>
      <c r="H346" s="123"/>
      <c r="I346" s="135"/>
      <c r="J346" s="123"/>
      <c r="K346" s="124"/>
      <c r="L346" s="123"/>
      <c r="M346" s="125"/>
      <c r="N346" s="131"/>
      <c r="O346" s="118"/>
      <c r="P346" s="455"/>
      <c r="Q346" s="455"/>
      <c r="R346" s="455"/>
      <c r="S346" s="455"/>
      <c r="T346" s="149"/>
      <c r="U346" s="154"/>
      <c r="V346" s="155"/>
      <c r="W346" s="136"/>
      <c r="X346" s="63"/>
      <c r="Y346" s="63"/>
      <c r="Z346" s="62"/>
      <c r="AA346" s="62"/>
      <c r="AB346" s="103"/>
      <c r="AC346" s="103"/>
    </row>
    <row r="347" spans="1:29" s="70" customFormat="1" ht="14.25" x14ac:dyDescent="0.2">
      <c r="A347" s="60"/>
      <c r="B347" s="1" t="s">
        <v>87</v>
      </c>
      <c r="C347" s="157" t="s">
        <v>85</v>
      </c>
      <c r="D347" s="153"/>
      <c r="E347" s="122"/>
      <c r="F347" s="122"/>
      <c r="G347" s="122"/>
      <c r="H347" s="123"/>
      <c r="I347" s="135"/>
      <c r="J347" s="123"/>
      <c r="K347" s="124"/>
      <c r="L347" s="123"/>
      <c r="M347" s="125"/>
      <c r="N347" s="131"/>
      <c r="O347" s="118"/>
      <c r="P347" s="455"/>
      <c r="Q347" s="455"/>
      <c r="R347" s="455"/>
      <c r="S347" s="455"/>
      <c r="T347" s="149"/>
      <c r="U347" s="154"/>
      <c r="V347" s="155"/>
      <c r="W347" s="136"/>
      <c r="X347" s="63"/>
      <c r="Y347" s="63"/>
      <c r="Z347" s="62"/>
      <c r="AA347" s="62"/>
      <c r="AB347" s="103"/>
      <c r="AC347" s="103"/>
    </row>
    <row r="348" spans="1:29" s="70" customFormat="1" ht="14.25" x14ac:dyDescent="0.2">
      <c r="A348" s="60"/>
      <c r="B348" s="114"/>
      <c r="C348" s="152"/>
      <c r="D348" s="153"/>
      <c r="E348" s="122"/>
      <c r="F348" s="122"/>
      <c r="G348" s="122"/>
      <c r="H348" s="123"/>
      <c r="I348" s="135"/>
      <c r="J348" s="123"/>
      <c r="K348" s="124"/>
      <c r="L348" s="123"/>
      <c r="M348" s="125"/>
      <c r="N348" s="131"/>
      <c r="O348" s="118"/>
      <c r="P348" s="455"/>
      <c r="Q348" s="455"/>
      <c r="R348" s="455"/>
      <c r="S348" s="455"/>
      <c r="T348" s="149"/>
      <c r="U348" s="154"/>
      <c r="V348" s="155"/>
      <c r="W348" s="136"/>
      <c r="X348" s="63"/>
      <c r="Y348" s="63"/>
      <c r="Z348" s="62"/>
      <c r="AA348" s="62"/>
      <c r="AB348" s="103"/>
      <c r="AC348" s="103"/>
    </row>
    <row r="349" spans="1:29" s="70" customFormat="1" ht="15" x14ac:dyDescent="0.2">
      <c r="A349" s="60"/>
      <c r="B349" s="169" t="s">
        <v>96</v>
      </c>
      <c r="C349" s="152"/>
      <c r="D349" s="153"/>
      <c r="E349" s="122"/>
      <c r="F349" s="122"/>
      <c r="G349" s="122"/>
      <c r="H349" s="123"/>
      <c r="I349" s="135"/>
      <c r="J349" s="123"/>
      <c r="K349" s="124"/>
      <c r="L349" s="123"/>
      <c r="M349" s="125"/>
      <c r="N349" s="131"/>
      <c r="O349" s="118"/>
      <c r="P349" s="455"/>
      <c r="Q349" s="455"/>
      <c r="R349" s="455"/>
      <c r="S349" s="455"/>
      <c r="T349" s="149"/>
      <c r="U349" s="154"/>
      <c r="V349" s="155"/>
      <c r="W349" s="136"/>
      <c r="X349" s="63"/>
      <c r="Y349" s="63"/>
      <c r="Z349" s="62"/>
      <c r="AA349" s="62"/>
      <c r="AB349" s="103"/>
      <c r="AC349" s="103"/>
    </row>
    <row r="350" spans="1:29" s="70" customFormat="1" ht="25.5" x14ac:dyDescent="0.2">
      <c r="A350" s="60"/>
      <c r="B350" s="171" t="s">
        <v>435</v>
      </c>
      <c r="C350" s="152">
        <v>23</v>
      </c>
      <c r="D350" s="153" t="s">
        <v>94</v>
      </c>
      <c r="E350" s="122">
        <v>0.25</v>
      </c>
      <c r="F350" s="122">
        <f>C350*E350</f>
        <v>5.75</v>
      </c>
      <c r="G350" s="122">
        <f>$H$11*E350</f>
        <v>12.5</v>
      </c>
      <c r="H350" s="123">
        <f>F350*$H$11</f>
        <v>287.5</v>
      </c>
      <c r="I350" s="135">
        <v>297</v>
      </c>
      <c r="J350" s="123">
        <f>C350*I350</f>
        <v>6831</v>
      </c>
      <c r="K350" s="124">
        <f>SUM(H350,J350)</f>
        <v>7118.5</v>
      </c>
      <c r="L350" s="123">
        <f>K350/C350</f>
        <v>309.5</v>
      </c>
      <c r="M350" s="125">
        <f>C350*L350</f>
        <v>7118.5</v>
      </c>
      <c r="N350" s="131">
        <v>0</v>
      </c>
      <c r="O350" s="118">
        <f>M350*N350</f>
        <v>0</v>
      </c>
      <c r="P350" s="455"/>
      <c r="Q350" s="455"/>
      <c r="R350" s="455"/>
      <c r="S350" s="455"/>
      <c r="T350" s="149">
        <f>SUM(C321,C275,C233,C189,C149,C87)</f>
        <v>4001</v>
      </c>
      <c r="U350" s="154"/>
      <c r="V350" s="155"/>
      <c r="W350" s="412">
        <v>5398</v>
      </c>
      <c r="X350" s="63"/>
      <c r="Y350" s="63"/>
      <c r="Z350" s="62"/>
      <c r="AA350" s="62"/>
      <c r="AB350" s="103"/>
      <c r="AC350" s="103"/>
    </row>
    <row r="351" spans="1:29" s="70" customFormat="1" ht="14.25" x14ac:dyDescent="0.2">
      <c r="A351" s="60"/>
      <c r="B351" s="159"/>
      <c r="C351" s="157"/>
      <c r="D351" s="153"/>
      <c r="E351" s="122"/>
      <c r="F351" s="122"/>
      <c r="G351" s="122"/>
      <c r="H351" s="123"/>
      <c r="I351" s="135"/>
      <c r="J351" s="123"/>
      <c r="K351" s="124"/>
      <c r="L351" s="123"/>
      <c r="M351" s="125"/>
      <c r="N351" s="131"/>
      <c r="O351" s="118"/>
      <c r="P351" s="455"/>
      <c r="Q351" s="455"/>
      <c r="R351" s="455"/>
      <c r="S351" s="455"/>
      <c r="T351" s="163"/>
      <c r="U351" s="62"/>
      <c r="V351" s="63"/>
      <c r="W351" s="411">
        <v>1282</v>
      </c>
      <c r="X351" s="63"/>
      <c r="Y351" s="63"/>
      <c r="Z351" s="62"/>
      <c r="AA351" s="62"/>
      <c r="AB351" s="103"/>
      <c r="AC351" s="103"/>
    </row>
    <row r="352" spans="1:29" ht="14.25" x14ac:dyDescent="0.2">
      <c r="A352" s="60"/>
      <c r="B352" s="120"/>
      <c r="C352" s="126"/>
      <c r="D352" s="130"/>
      <c r="E352" s="121"/>
      <c r="F352" s="122"/>
      <c r="G352" s="122"/>
      <c r="H352" s="123"/>
      <c r="I352" s="123"/>
      <c r="J352" s="123"/>
      <c r="K352" s="124"/>
      <c r="L352" s="123"/>
      <c r="M352" s="125"/>
      <c r="N352" s="119"/>
      <c r="O352" s="118"/>
      <c r="P352" s="455"/>
      <c r="Q352" s="455"/>
      <c r="R352" s="455"/>
      <c r="S352" s="455"/>
      <c r="T352" s="163"/>
      <c r="U352" s="62"/>
      <c r="V352" s="63"/>
      <c r="W352" s="411">
        <f>W350-W351</f>
        <v>4116</v>
      </c>
      <c r="X352" s="63"/>
      <c r="Y352" s="63"/>
      <c r="Z352" s="62"/>
      <c r="AA352" s="62"/>
      <c r="AB352" s="17"/>
      <c r="AC352" s="17"/>
    </row>
    <row r="353" spans="1:29" ht="24" customHeight="1" x14ac:dyDescent="0.2">
      <c r="A353" s="29"/>
      <c r="B353" s="30"/>
      <c r="C353" s="31"/>
      <c r="D353" s="32"/>
      <c r="E353" s="32"/>
      <c r="F353" s="32">
        <f>SUM(F13:F352)</f>
        <v>2805.4450000000002</v>
      </c>
      <c r="G353" s="32"/>
      <c r="H353" s="83">
        <f>SUM(H13:H352)</f>
        <v>140272.25</v>
      </c>
      <c r="I353" s="32"/>
      <c r="J353" s="75">
        <f>SUM(J13:J352)</f>
        <v>385473.86333333334</v>
      </c>
      <c r="K353" s="32"/>
      <c r="L353" s="32"/>
      <c r="M353" s="66"/>
      <c r="N353" s="86"/>
      <c r="O353" s="96"/>
      <c r="P353" s="455"/>
      <c r="Q353" s="455"/>
      <c r="R353" s="452">
        <f>SUM(R13:R352)</f>
        <v>582276.33629866317</v>
      </c>
      <c r="S353" s="452">
        <f>SUM(S13:S352)</f>
        <v>628564.58497800014</v>
      </c>
      <c r="T353" s="163"/>
      <c r="U353" s="62"/>
      <c r="V353" s="63"/>
      <c r="W353" s="63"/>
      <c r="X353" s="63"/>
      <c r="Y353" s="63"/>
      <c r="Z353" s="62"/>
      <c r="AA353" s="62"/>
      <c r="AB353" s="17"/>
      <c r="AC353" s="17"/>
    </row>
    <row r="354" spans="1:29" ht="15" customHeight="1" x14ac:dyDescent="0.2">
      <c r="A354" s="13"/>
      <c r="B354" s="27" t="s">
        <v>16</v>
      </c>
      <c r="C354" s="23"/>
      <c r="D354" s="24"/>
      <c r="E354" s="24"/>
      <c r="F354" s="24"/>
      <c r="G354" s="24"/>
      <c r="H354" s="24"/>
      <c r="I354" s="24"/>
      <c r="J354" s="24"/>
      <c r="K354" s="24"/>
      <c r="L354" s="24"/>
      <c r="M354" s="25">
        <f>SUM(M13:M352)</f>
        <v>525746.11333333352</v>
      </c>
      <c r="N354" s="92"/>
      <c r="O354" s="95">
        <f>SUM(O13:O352)</f>
        <v>16837.480166666664</v>
      </c>
      <c r="P354" s="455"/>
      <c r="Q354" s="455"/>
      <c r="R354" s="455"/>
      <c r="S354" s="455"/>
      <c r="T354" s="164">
        <f>L324</f>
        <v>41.36</v>
      </c>
      <c r="U354" s="62"/>
      <c r="V354" s="63"/>
      <c r="W354" s="63"/>
      <c r="X354" s="63"/>
      <c r="Y354" s="63"/>
      <c r="Z354" s="62"/>
      <c r="AA354" s="62"/>
      <c r="AB354" s="17"/>
      <c r="AC354" s="17"/>
    </row>
    <row r="355" spans="1:29" x14ac:dyDescent="0.2">
      <c r="A355" s="11"/>
      <c r="B355" s="34" t="s">
        <v>12</v>
      </c>
      <c r="C355" s="23"/>
      <c r="D355" s="35"/>
      <c r="E355" s="35"/>
      <c r="F355" s="35"/>
      <c r="G355" s="35"/>
      <c r="H355" s="35"/>
      <c r="I355" s="35"/>
      <c r="J355" s="35"/>
      <c r="K355" s="35"/>
      <c r="L355" s="35"/>
      <c r="M355" s="25"/>
      <c r="N355" s="92"/>
      <c r="O355" s="95"/>
      <c r="P355" s="455"/>
      <c r="Q355" s="455"/>
      <c r="R355" s="455"/>
      <c r="S355" s="455"/>
      <c r="T355" s="163"/>
      <c r="U355" s="62"/>
      <c r="V355" s="63"/>
      <c r="W355" s="63"/>
      <c r="X355" s="63"/>
      <c r="Y355" s="63"/>
      <c r="Z355" s="62"/>
      <c r="AA355" s="62"/>
      <c r="AB355" s="17"/>
      <c r="AC355" s="17"/>
    </row>
    <row r="356" spans="1:29" ht="12.75" customHeight="1" x14ac:dyDescent="0.2">
      <c r="A356" s="11"/>
      <c r="B356" s="36"/>
      <c r="C356" s="23"/>
      <c r="D356" s="35"/>
      <c r="E356" s="35"/>
      <c r="F356" s="35"/>
      <c r="G356" s="35"/>
      <c r="H356" s="35"/>
      <c r="I356" s="35"/>
      <c r="J356" s="35"/>
      <c r="K356" s="35"/>
      <c r="L356" s="35"/>
      <c r="M356" s="25"/>
      <c r="N356" s="92"/>
      <c r="O356" s="95"/>
      <c r="P356" s="455"/>
      <c r="Q356" s="455"/>
      <c r="R356" s="455"/>
      <c r="S356" s="455"/>
      <c r="T356" s="58"/>
      <c r="U356" s="57"/>
      <c r="V356" s="17"/>
      <c r="W356" s="58"/>
      <c r="X356" s="134"/>
      <c r="Y356" s="59"/>
      <c r="Z356" s="26"/>
      <c r="AA356" s="17"/>
      <c r="AB356" s="17"/>
      <c r="AC356" s="17"/>
    </row>
    <row r="357" spans="1:29" ht="12.75" customHeight="1" x14ac:dyDescent="0.2">
      <c r="A357" s="13"/>
      <c r="B357" s="11" t="s">
        <v>8</v>
      </c>
      <c r="C357" s="23"/>
      <c r="D357" s="35" t="s">
        <v>5</v>
      </c>
      <c r="E357" s="35"/>
      <c r="F357" s="35"/>
      <c r="G357" s="35"/>
      <c r="H357" s="35"/>
      <c r="I357" s="35"/>
      <c r="J357" s="35"/>
      <c r="K357" s="35"/>
      <c r="L357" s="76">
        <v>0.06</v>
      </c>
      <c r="M357" s="81">
        <f>M354*L357</f>
        <v>31544.766800000009</v>
      </c>
      <c r="N357" s="156"/>
      <c r="O357" s="95">
        <f>($O$354/$M$354)*M357</f>
        <v>1010.2488099999998</v>
      </c>
      <c r="P357" s="455"/>
      <c r="Q357" s="455"/>
      <c r="R357" s="455"/>
      <c r="S357" s="455"/>
      <c r="T357" s="26">
        <f>T354*L357</f>
        <v>2.4815999999999998</v>
      </c>
      <c r="V357" s="16"/>
      <c r="W357" s="16"/>
      <c r="X357" s="56"/>
      <c r="AA357" s="17"/>
    </row>
    <row r="358" spans="1:29" ht="12.75" customHeight="1" x14ac:dyDescent="0.2">
      <c r="A358" s="37"/>
      <c r="B358" s="11"/>
      <c r="C358" s="23"/>
      <c r="D358" s="35"/>
      <c r="E358" s="35"/>
      <c r="F358" s="35"/>
      <c r="G358" s="35"/>
      <c r="H358" s="35"/>
      <c r="I358" s="35"/>
      <c r="J358" s="35"/>
      <c r="K358" s="35"/>
      <c r="L358" s="35"/>
      <c r="M358" s="25"/>
      <c r="N358" s="92"/>
      <c r="O358" s="95"/>
      <c r="P358" s="455"/>
      <c r="Q358" s="455"/>
      <c r="R358" s="455"/>
      <c r="S358" s="455"/>
      <c r="V358" s="16"/>
      <c r="W358" s="16"/>
      <c r="X358" s="56"/>
      <c r="AA358" s="17"/>
    </row>
    <row r="359" spans="1:29" s="41" customFormat="1" x14ac:dyDescent="0.2">
      <c r="A359" s="13"/>
      <c r="B359" s="38" t="s">
        <v>9</v>
      </c>
      <c r="C359" s="39"/>
      <c r="D359" s="40" t="s">
        <v>5</v>
      </c>
      <c r="E359" s="40"/>
      <c r="F359" s="40"/>
      <c r="G359" s="40"/>
      <c r="H359" s="40"/>
      <c r="I359" s="40"/>
      <c r="J359" s="40"/>
      <c r="K359" s="40"/>
      <c r="L359" s="76">
        <v>0.03</v>
      </c>
      <c r="M359" s="33">
        <f>M354*L359</f>
        <v>15772.383400000004</v>
      </c>
      <c r="N359" s="92"/>
      <c r="O359" s="95">
        <f t="shared" ref="O359:O365" si="7">($O$354/$M$354)*M359</f>
        <v>505.12440499999991</v>
      </c>
      <c r="P359" s="455"/>
      <c r="Q359" s="455"/>
      <c r="R359" s="455"/>
      <c r="S359" s="455"/>
      <c r="T359" s="330">
        <f>T354*L359</f>
        <v>1.2407999999999999</v>
      </c>
      <c r="W359" s="413" t="s">
        <v>448</v>
      </c>
      <c r="Z359" s="56"/>
    </row>
    <row r="360" spans="1:29" s="41" customFormat="1" x14ac:dyDescent="0.2">
      <c r="A360" s="13"/>
      <c r="B360" s="38"/>
      <c r="C360" s="420" t="s">
        <v>28</v>
      </c>
      <c r="D360" s="40"/>
      <c r="E360" s="40"/>
      <c r="F360" s="40"/>
      <c r="G360" s="40"/>
      <c r="H360" s="40"/>
      <c r="I360" s="40"/>
      <c r="J360" s="40"/>
      <c r="K360" s="40"/>
      <c r="L360" s="40"/>
      <c r="M360" s="33"/>
      <c r="N360" s="92"/>
      <c r="O360" s="95"/>
      <c r="P360" s="456"/>
      <c r="Q360" s="456"/>
      <c r="R360" s="456"/>
      <c r="S360" s="456"/>
      <c r="Z360" s="56"/>
    </row>
    <row r="361" spans="1:29" s="41" customFormat="1" x14ac:dyDescent="0.2">
      <c r="A361" s="13"/>
      <c r="B361" s="38" t="s">
        <v>10</v>
      </c>
      <c r="C361" s="39"/>
      <c r="D361" s="40" t="s">
        <v>5</v>
      </c>
      <c r="E361" s="40"/>
      <c r="F361" s="40"/>
      <c r="G361" s="40"/>
      <c r="H361" s="40"/>
      <c r="I361" s="40"/>
      <c r="J361" s="40"/>
      <c r="K361" s="40"/>
      <c r="L361" s="76">
        <v>5.0000000000000001E-3</v>
      </c>
      <c r="M361" s="33">
        <f>M354*L361</f>
        <v>2628.7305666666675</v>
      </c>
      <c r="N361" s="92"/>
      <c r="O361" s="95">
        <f t="shared" si="7"/>
        <v>84.187400833333328</v>
      </c>
      <c r="P361" s="456"/>
      <c r="Q361" s="456"/>
      <c r="R361" s="456"/>
      <c r="S361" s="456"/>
      <c r="T361" s="330">
        <f>T354*L361</f>
        <v>0.20680000000000001</v>
      </c>
      <c r="Z361" s="56"/>
    </row>
    <row r="362" spans="1:29" s="41" customFormat="1" x14ac:dyDescent="0.2">
      <c r="A362" s="13"/>
      <c r="B362" s="77"/>
      <c r="C362" s="78"/>
      <c r="D362" s="79"/>
      <c r="E362" s="79"/>
      <c r="F362" s="79"/>
      <c r="G362" s="79"/>
      <c r="H362" s="79"/>
      <c r="I362" s="79"/>
      <c r="J362" s="79"/>
      <c r="K362" s="79"/>
      <c r="L362" s="79"/>
      <c r="M362" s="82"/>
      <c r="N362" s="92"/>
      <c r="O362" s="95"/>
      <c r="P362" s="456"/>
      <c r="Q362" s="456"/>
      <c r="R362" s="456"/>
      <c r="S362" s="456"/>
      <c r="Z362" s="56"/>
    </row>
    <row r="363" spans="1:29" s="41" customFormat="1" x14ac:dyDescent="0.2">
      <c r="A363" s="28"/>
      <c r="B363" s="129" t="s">
        <v>250</v>
      </c>
      <c r="C363" s="78"/>
      <c r="D363" s="79" t="s">
        <v>5</v>
      </c>
      <c r="E363" s="79"/>
      <c r="F363" s="79"/>
      <c r="G363" s="79"/>
      <c r="H363" s="79"/>
      <c r="I363" s="79"/>
      <c r="J363" s="79"/>
      <c r="K363" s="79"/>
      <c r="L363" s="80"/>
      <c r="M363" s="82"/>
      <c r="N363" s="92"/>
      <c r="O363" s="95"/>
      <c r="P363" s="456"/>
      <c r="Q363" s="456"/>
      <c r="R363" s="456"/>
      <c r="S363" s="456"/>
      <c r="Z363" s="56"/>
    </row>
    <row r="364" spans="1:29" s="41" customFormat="1" x14ac:dyDescent="0.2">
      <c r="A364" s="28"/>
      <c r="B364" s="77"/>
      <c r="C364" s="78"/>
      <c r="D364" s="79"/>
      <c r="E364" s="79"/>
      <c r="F364" s="79"/>
      <c r="G364" s="79"/>
      <c r="H364" s="79"/>
      <c r="I364" s="79"/>
      <c r="J364" s="79"/>
      <c r="K364" s="79"/>
      <c r="L364" s="79"/>
      <c r="M364" s="82"/>
      <c r="N364" s="92"/>
      <c r="O364" s="95"/>
      <c r="P364" s="456"/>
      <c r="Q364" s="456"/>
      <c r="R364" s="456"/>
      <c r="S364" s="456"/>
      <c r="Z364" s="56"/>
    </row>
    <row r="365" spans="1:29" s="41" customFormat="1" x14ac:dyDescent="0.2">
      <c r="A365" s="28"/>
      <c r="B365" s="147" t="s">
        <v>251</v>
      </c>
      <c r="C365" s="78"/>
      <c r="D365" s="79" t="s">
        <v>5</v>
      </c>
      <c r="E365" s="79"/>
      <c r="F365" s="79"/>
      <c r="G365" s="79"/>
      <c r="H365" s="79"/>
      <c r="I365" s="79"/>
      <c r="J365" s="79"/>
      <c r="K365" s="79"/>
      <c r="L365" s="80">
        <f>M365/M354</f>
        <v>1.2006272780561494E-2</v>
      </c>
      <c r="M365" s="148">
        <f>I376</f>
        <v>6312.2512500000003</v>
      </c>
      <c r="N365" s="92"/>
      <c r="O365" s="95">
        <f t="shared" si="7"/>
        <v>202.15537981829399</v>
      </c>
      <c r="P365" s="456"/>
      <c r="Q365" s="456"/>
      <c r="R365" s="456"/>
      <c r="S365" s="456"/>
      <c r="Z365" s="56"/>
    </row>
    <row r="366" spans="1:29" s="41" customFormat="1" x14ac:dyDescent="0.2">
      <c r="A366" s="13"/>
      <c r="B366" s="77"/>
      <c r="C366" s="78"/>
      <c r="D366" s="79"/>
      <c r="E366" s="79"/>
      <c r="F366" s="79"/>
      <c r="G366" s="79"/>
      <c r="H366" s="79"/>
      <c r="I366" s="79"/>
      <c r="J366" s="79"/>
      <c r="K366" s="79"/>
      <c r="L366" s="79"/>
      <c r="M366" s="33"/>
      <c r="N366" s="92"/>
      <c r="O366" s="97"/>
      <c r="P366" s="457"/>
      <c r="Q366" s="457"/>
      <c r="R366" s="457"/>
      <c r="S366" s="457"/>
      <c r="Z366" s="56"/>
    </row>
    <row r="367" spans="1:29" x14ac:dyDescent="0.2">
      <c r="A367" s="42"/>
      <c r="B367" s="43" t="s">
        <v>17</v>
      </c>
      <c r="C367" s="44"/>
      <c r="D367" s="45"/>
      <c r="E367" s="45"/>
      <c r="F367" s="45"/>
      <c r="G367" s="45"/>
      <c r="H367" s="45"/>
      <c r="I367" s="45"/>
      <c r="J367" s="45"/>
      <c r="K367" s="45"/>
      <c r="L367" s="45"/>
      <c r="M367" s="67">
        <f>SUM(M354:M366)</f>
        <v>582004.24535000022</v>
      </c>
      <c r="N367" s="93"/>
      <c r="O367" s="98">
        <f>SUM(O354:O366)</f>
        <v>18639.196162318291</v>
      </c>
      <c r="P367" s="458"/>
      <c r="Q367" s="458"/>
      <c r="R367" s="458"/>
      <c r="S367" s="458"/>
      <c r="T367" s="330">
        <f>SUM(T354:T366)</f>
        <v>45.289200000000001</v>
      </c>
      <c r="U367" s="41"/>
      <c r="V367" s="41"/>
      <c r="W367" s="41"/>
      <c r="X367" s="41"/>
      <c r="Y367" s="41"/>
      <c r="AA367" s="17"/>
    </row>
    <row r="368" spans="1:29" x14ac:dyDescent="0.2">
      <c r="A368" s="13"/>
      <c r="B368" s="18"/>
      <c r="C368" s="23"/>
      <c r="D368" s="35"/>
      <c r="E368" s="35"/>
      <c r="F368" s="35"/>
      <c r="G368" s="35"/>
      <c r="H368" s="35"/>
      <c r="I368" s="35"/>
      <c r="J368" s="35"/>
      <c r="K368" s="35"/>
      <c r="L368" s="35"/>
      <c r="M368" s="25"/>
      <c r="N368" s="87"/>
      <c r="O368" s="99"/>
      <c r="P368" s="457"/>
      <c r="Q368" s="457"/>
      <c r="R368" s="457"/>
      <c r="S368" s="457"/>
      <c r="T368" s="41"/>
      <c r="U368" s="41"/>
      <c r="V368" s="41"/>
      <c r="W368" s="41"/>
      <c r="X368" s="41"/>
      <c r="Y368" s="41"/>
      <c r="AA368" s="17"/>
    </row>
    <row r="369" spans="1:27" x14ac:dyDescent="0.2">
      <c r="A369" s="13"/>
      <c r="B369" s="18" t="s">
        <v>11</v>
      </c>
      <c r="C369" s="23"/>
      <c r="D369" s="35"/>
      <c r="E369" s="35"/>
      <c r="F369" s="35"/>
      <c r="G369" s="35"/>
      <c r="H369" s="35"/>
      <c r="I369" s="35"/>
      <c r="J369" s="35"/>
      <c r="K369" s="35"/>
      <c r="L369" s="76">
        <v>0.08</v>
      </c>
      <c r="M369" s="25">
        <f>M367*L369</f>
        <v>46560.339628000016</v>
      </c>
      <c r="N369" s="87"/>
      <c r="O369" s="99">
        <f>O367/M367*M369</f>
        <v>1491.135692985463</v>
      </c>
      <c r="P369" s="457"/>
      <c r="Q369" s="457"/>
      <c r="R369" s="457"/>
      <c r="S369" s="457"/>
      <c r="T369" s="330">
        <f>T367*L369</f>
        <v>3.6231360000000001</v>
      </c>
      <c r="U369" s="41"/>
      <c r="V369" s="41"/>
      <c r="W369" s="41"/>
      <c r="X369" s="41"/>
      <c r="Y369" s="41"/>
      <c r="AA369" s="17"/>
    </row>
    <row r="370" spans="1:27" x14ac:dyDescent="0.2">
      <c r="A370" s="46"/>
      <c r="B370" s="47"/>
      <c r="C370" s="48"/>
      <c r="D370" s="48"/>
      <c r="E370" s="48"/>
      <c r="F370" s="48"/>
      <c r="G370" s="48"/>
      <c r="H370" s="48"/>
      <c r="I370" s="48"/>
      <c r="J370" s="48"/>
      <c r="K370" s="48"/>
      <c r="L370" s="48"/>
      <c r="M370" s="68"/>
      <c r="N370" s="87"/>
      <c r="O370" s="99"/>
      <c r="P370" s="457"/>
      <c r="Q370" s="457"/>
      <c r="R370" s="457"/>
      <c r="S370" s="457"/>
      <c r="T370" s="41"/>
      <c r="U370" s="41"/>
      <c r="V370" s="41"/>
      <c r="W370" s="41"/>
      <c r="X370" s="41"/>
      <c r="Y370" s="41"/>
      <c r="AA370" s="17"/>
    </row>
    <row r="371" spans="1:27" ht="13.5" customHeight="1" x14ac:dyDescent="0.2">
      <c r="A371" s="49"/>
      <c r="B371" s="55" t="s">
        <v>44</v>
      </c>
      <c r="C371" s="50"/>
      <c r="D371" s="51"/>
      <c r="E371" s="51"/>
      <c r="F371" s="51"/>
      <c r="G371" s="51"/>
      <c r="H371" s="51"/>
      <c r="I371" s="51"/>
      <c r="J371" s="51"/>
      <c r="K371" s="51"/>
      <c r="L371" s="51"/>
      <c r="M371" s="69">
        <f>ROUNDUP(SUM(M367:M370),0)</f>
        <v>628565</v>
      </c>
      <c r="N371" s="133">
        <f>O371/M371</f>
        <v>3.2025855488778017E-2</v>
      </c>
      <c r="O371" s="102">
        <f>SUM(O367:O370)</f>
        <v>20130.331855303753</v>
      </c>
      <c r="P371" s="459"/>
      <c r="Q371" s="459"/>
      <c r="R371" s="459"/>
      <c r="S371" s="459"/>
      <c r="T371" s="330">
        <f>SUM(T367:T369)</f>
        <v>48.912336000000003</v>
      </c>
      <c r="U371" s="41"/>
      <c r="V371" s="41"/>
      <c r="W371" s="41"/>
      <c r="X371" s="41"/>
      <c r="Y371" s="41"/>
      <c r="AA371" s="17"/>
    </row>
    <row r="372" spans="1:27" x14ac:dyDescent="0.2">
      <c r="M372" s="52"/>
      <c r="N372" s="88"/>
      <c r="O372" s="100"/>
      <c r="P372" s="100"/>
      <c r="Q372" s="100"/>
      <c r="R372" s="100"/>
      <c r="S372" s="100"/>
      <c r="T372" s="41"/>
      <c r="U372" s="41"/>
      <c r="V372" s="41"/>
      <c r="W372" s="41"/>
      <c r="X372" s="41"/>
      <c r="Y372" s="41"/>
      <c r="AA372" s="17"/>
    </row>
    <row r="373" spans="1:27" x14ac:dyDescent="0.2">
      <c r="G373" s="297" t="s">
        <v>339</v>
      </c>
      <c r="H373" s="298"/>
      <c r="I373" s="298"/>
      <c r="J373" s="299"/>
      <c r="M373" s="52"/>
      <c r="N373" s="88"/>
      <c r="O373" s="100"/>
      <c r="P373" s="100"/>
      <c r="Q373" s="100"/>
      <c r="R373" s="100"/>
      <c r="S373" s="100"/>
      <c r="T373" s="41"/>
      <c r="U373" s="41"/>
      <c r="V373" s="41"/>
      <c r="W373" s="41"/>
      <c r="X373" s="41"/>
      <c r="Y373" s="41"/>
      <c r="AA373" s="17"/>
    </row>
    <row r="374" spans="1:27" x14ac:dyDescent="0.2">
      <c r="B374" s="58">
        <f>SUM(J324,J278,J236,J192,J152,J90,J350)</f>
        <v>152307.35999999999</v>
      </c>
      <c r="C374" s="70" t="s">
        <v>248</v>
      </c>
      <c r="D374" s="12">
        <f>SUM(C321,C275,C233,C189,C149,C87)</f>
        <v>4001</v>
      </c>
      <c r="G374" s="300"/>
      <c r="H374" s="301" t="s">
        <v>338</v>
      </c>
      <c r="I374" s="302"/>
      <c r="J374" s="303"/>
      <c r="M374" s="52"/>
      <c r="N374" s="88"/>
      <c r="O374" s="100"/>
      <c r="P374" s="100"/>
      <c r="Q374" s="100"/>
      <c r="R374" s="100"/>
      <c r="S374" s="100"/>
      <c r="T374" s="41"/>
      <c r="U374" s="41"/>
      <c r="V374" s="41"/>
      <c r="W374" s="41"/>
      <c r="X374" s="41"/>
      <c r="Y374" s="41"/>
      <c r="AA374" s="17"/>
    </row>
    <row r="375" spans="1:27" x14ac:dyDescent="0.2">
      <c r="B375" s="468">
        <v>5819</v>
      </c>
      <c r="C375" s="70" t="s">
        <v>197</v>
      </c>
      <c r="D375" s="12">
        <f>SUM(C322,C276,C234,C226,C190,C150,C88)</f>
        <v>1811</v>
      </c>
      <c r="G375" s="300">
        <f>F353/8</f>
        <v>350.68062500000002</v>
      </c>
      <c r="H375" s="308">
        <v>1</v>
      </c>
      <c r="I375" s="302"/>
      <c r="J375" s="303"/>
      <c r="M375" s="52">
        <v>729716</v>
      </c>
      <c r="N375" s="88"/>
      <c r="O375" s="100"/>
      <c r="P375" s="100"/>
      <c r="Q375" s="100"/>
      <c r="R375" s="100"/>
      <c r="S375" s="100"/>
      <c r="T375" s="41"/>
      <c r="U375" s="41"/>
      <c r="V375" s="41"/>
      <c r="W375" s="41"/>
      <c r="X375" s="41"/>
      <c r="Y375" s="41"/>
      <c r="AA375" s="17"/>
    </row>
    <row r="376" spans="1:27" x14ac:dyDescent="0.2">
      <c r="B376" s="58">
        <f>SUM(B374:B375)</f>
        <v>158126.35999999999</v>
      </c>
      <c r="C376" s="70"/>
      <c r="G376" s="300">
        <f>G375/H375</f>
        <v>350.68062500000002</v>
      </c>
      <c r="H376" s="304">
        <v>18</v>
      </c>
      <c r="I376" s="304">
        <f>G376*H376</f>
        <v>6312.2512500000003</v>
      </c>
      <c r="J376" s="303"/>
      <c r="M376" s="52">
        <v>175509</v>
      </c>
      <c r="N376" s="391" t="s">
        <v>446</v>
      </c>
      <c r="O376" s="100"/>
      <c r="P376" s="100"/>
      <c r="Q376" s="100"/>
      <c r="R376" s="100"/>
      <c r="S376" s="100"/>
      <c r="T376" s="41"/>
      <c r="U376" s="41"/>
      <c r="V376" s="41"/>
      <c r="W376" s="41"/>
      <c r="X376" s="41"/>
      <c r="Y376" s="41"/>
      <c r="AA376" s="17"/>
    </row>
    <row r="377" spans="1:27" x14ac:dyDescent="0.2">
      <c r="C377" s="70" t="s">
        <v>249</v>
      </c>
      <c r="D377" s="12">
        <f>SUM(C311,C269,C225,C183,C143,C76,C17)</f>
        <v>721</v>
      </c>
      <c r="G377" s="300"/>
      <c r="H377" s="302"/>
      <c r="I377" s="302"/>
      <c r="J377" s="303"/>
      <c r="M377" s="52"/>
      <c r="N377" s="88"/>
      <c r="O377" s="100"/>
      <c r="P377" s="100"/>
      <c r="Q377" s="100"/>
      <c r="R377" s="100"/>
      <c r="S377" s="100"/>
      <c r="T377" s="41"/>
      <c r="U377" s="41"/>
      <c r="V377" s="41"/>
      <c r="W377" s="41"/>
      <c r="X377" s="41"/>
      <c r="Y377" s="41"/>
      <c r="AA377" s="17"/>
    </row>
    <row r="378" spans="1:27" x14ac:dyDescent="0.2">
      <c r="C378" s="70" t="s">
        <v>197</v>
      </c>
      <c r="D378" s="12">
        <f>SUM(C312,C270,C226,C184,C144,C77,C18)</f>
        <v>1074</v>
      </c>
      <c r="G378" s="305"/>
      <c r="H378" s="306"/>
      <c r="I378" s="306"/>
      <c r="J378" s="307"/>
      <c r="M378" s="52"/>
      <c r="N378" s="88"/>
      <c r="O378" s="100"/>
      <c r="P378" s="100"/>
      <c r="Q378" s="100"/>
      <c r="R378" s="100"/>
      <c r="S378" s="100"/>
      <c r="T378" s="41"/>
      <c r="U378" s="41"/>
      <c r="V378" s="41"/>
      <c r="W378" s="41"/>
      <c r="X378" s="41"/>
      <c r="Y378" s="41"/>
      <c r="AA378" s="17"/>
    </row>
    <row r="379" spans="1:27" x14ac:dyDescent="0.2">
      <c r="H379" s="58"/>
      <c r="I379" s="58"/>
      <c r="M379" s="52"/>
      <c r="N379" s="88"/>
      <c r="O379" s="101"/>
      <c r="P379" s="101"/>
      <c r="Q379" s="101"/>
      <c r="R379" s="101"/>
      <c r="S379" s="101"/>
      <c r="T379" s="41"/>
      <c r="U379" s="41"/>
      <c r="V379" s="41"/>
      <c r="W379" s="41"/>
      <c r="X379" s="41"/>
      <c r="Y379" s="41"/>
      <c r="AA379" s="17"/>
    </row>
    <row r="380" spans="1:27" x14ac:dyDescent="0.2">
      <c r="H380" s="58"/>
      <c r="M380" s="52"/>
      <c r="N380" s="88"/>
      <c r="O380" s="101"/>
      <c r="P380" s="101"/>
      <c r="Q380" s="101"/>
      <c r="R380" s="101"/>
      <c r="S380" s="101"/>
      <c r="T380" s="41"/>
      <c r="U380" s="41"/>
      <c r="V380" s="41"/>
      <c r="W380" s="41"/>
      <c r="X380" s="41"/>
      <c r="Y380" s="41"/>
      <c r="AA380" s="17"/>
    </row>
    <row r="381" spans="1:27" ht="15" x14ac:dyDescent="0.25">
      <c r="B381" s="106" t="s">
        <v>29</v>
      </c>
      <c r="C381" s="107"/>
      <c r="D381" s="107"/>
      <c r="E381" s="107"/>
      <c r="F381" s="107"/>
      <c r="I381" s="106" t="s">
        <v>29</v>
      </c>
      <c r="J381" s="107"/>
      <c r="K381" s="107"/>
      <c r="L381" s="107"/>
      <c r="M381" s="107"/>
      <c r="O381" s="101"/>
      <c r="P381" s="101"/>
      <c r="Q381" s="101"/>
      <c r="R381" s="101"/>
      <c r="S381" s="101"/>
      <c r="T381" s="41"/>
      <c r="U381" s="41"/>
      <c r="V381" s="41"/>
      <c r="W381" s="41"/>
      <c r="X381" s="41"/>
      <c r="Y381" s="41"/>
    </row>
    <row r="382" spans="1:27" x14ac:dyDescent="0.2">
      <c r="B382" s="108" t="s">
        <v>42</v>
      </c>
      <c r="C382" s="109"/>
      <c r="D382" s="104"/>
      <c r="E382" s="104"/>
      <c r="F382" s="104"/>
      <c r="I382" s="108" t="s">
        <v>30</v>
      </c>
      <c r="J382" s="109"/>
      <c r="K382" s="104"/>
      <c r="L382" s="104"/>
      <c r="M382" s="104"/>
      <c r="O382" s="437"/>
      <c r="P382" s="437"/>
      <c r="Q382" s="437"/>
      <c r="R382" s="437"/>
      <c r="S382" s="437"/>
      <c r="T382" s="438"/>
      <c r="U382" s="439" t="s">
        <v>45</v>
      </c>
      <c r="V382" s="439" t="s">
        <v>46</v>
      </c>
      <c r="W382" s="438"/>
      <c r="X382" s="41"/>
      <c r="Y382" s="41"/>
    </row>
    <row r="383" spans="1:27" ht="15" x14ac:dyDescent="0.25">
      <c r="B383" s="108" t="s">
        <v>31</v>
      </c>
      <c r="C383" s="109" t="s">
        <v>32</v>
      </c>
      <c r="D383" s="104" t="s">
        <v>33</v>
      </c>
      <c r="E383" s="104" t="s">
        <v>34</v>
      </c>
      <c r="F383" s="107"/>
      <c r="I383" s="108" t="s">
        <v>31</v>
      </c>
      <c r="J383" s="109" t="s">
        <v>32</v>
      </c>
      <c r="K383" s="104" t="s">
        <v>33</v>
      </c>
      <c r="L383" s="104" t="s">
        <v>34</v>
      </c>
      <c r="M383" s="107"/>
      <c r="O383" s="101"/>
      <c r="P383" s="101"/>
      <c r="Q383" s="101"/>
      <c r="R383" s="101">
        <f t="shared" ref="R383:R388" si="8">($M$350/$U$390)*U383</f>
        <v>1284.5681079730068</v>
      </c>
      <c r="S383" s="101"/>
      <c r="T383" s="413" t="s">
        <v>481</v>
      </c>
      <c r="U383" s="41">
        <v>722</v>
      </c>
      <c r="V383" s="41">
        <v>181</v>
      </c>
      <c r="W383" s="41"/>
      <c r="X383" s="330">
        <f>SUM(M87,M88,M90)</f>
        <v>47116.069999999992</v>
      </c>
    </row>
    <row r="384" spans="1:27" x14ac:dyDescent="0.2">
      <c r="B384" s="110">
        <v>1</v>
      </c>
      <c r="C384" s="109">
        <v>55</v>
      </c>
      <c r="D384" s="104">
        <f>B384*C384</f>
        <v>55</v>
      </c>
      <c r="E384" s="104">
        <f>D384*F384</f>
        <v>110</v>
      </c>
      <c r="F384" s="111">
        <v>2</v>
      </c>
      <c r="I384" s="110">
        <v>4</v>
      </c>
      <c r="J384" s="109">
        <v>55</v>
      </c>
      <c r="K384" s="104">
        <f>I384*J384</f>
        <v>220</v>
      </c>
      <c r="L384" s="104">
        <f>K384*M384</f>
        <v>440</v>
      </c>
      <c r="M384" s="111">
        <v>2</v>
      </c>
      <c r="O384" s="101"/>
      <c r="P384" s="101"/>
      <c r="Q384" s="101"/>
      <c r="R384" s="101">
        <f t="shared" si="8"/>
        <v>1663.5334916270933</v>
      </c>
      <c r="S384" s="101"/>
      <c r="T384" s="413" t="s">
        <v>482</v>
      </c>
      <c r="U384" s="41">
        <v>935</v>
      </c>
      <c r="V384" s="41">
        <v>240</v>
      </c>
      <c r="W384" s="41"/>
      <c r="X384" s="330">
        <f>SUM(M149,M150,M152)</f>
        <v>61058.149999999994</v>
      </c>
    </row>
    <row r="385" spans="2:24" x14ac:dyDescent="0.2">
      <c r="B385" s="108" t="s">
        <v>35</v>
      </c>
      <c r="C385" s="109"/>
      <c r="D385" s="104"/>
      <c r="E385" s="104" t="s">
        <v>36</v>
      </c>
      <c r="F385" s="104"/>
      <c r="I385" s="108" t="s">
        <v>35</v>
      </c>
      <c r="J385" s="109"/>
      <c r="K385" s="104"/>
      <c r="L385" s="104" t="s">
        <v>36</v>
      </c>
      <c r="M385" s="104"/>
      <c r="O385" s="101"/>
      <c r="P385" s="101"/>
      <c r="Q385" s="101"/>
      <c r="R385" s="101">
        <f t="shared" si="8"/>
        <v>1478.4987503124219</v>
      </c>
      <c r="S385" s="101"/>
      <c r="T385" s="436" t="s">
        <v>483</v>
      </c>
      <c r="U385" s="41">
        <v>831</v>
      </c>
      <c r="V385" s="41">
        <v>421</v>
      </c>
      <c r="W385" s="41"/>
      <c r="X385" s="330">
        <f>SUM(M189,M190,M192)</f>
        <v>55830.600000000006</v>
      </c>
    </row>
    <row r="386" spans="2:24" ht="15" x14ac:dyDescent="0.25">
      <c r="B386" s="108">
        <v>0.7</v>
      </c>
      <c r="C386" s="112"/>
      <c r="D386" s="107"/>
      <c r="E386" s="104">
        <f>B386*C386</f>
        <v>0</v>
      </c>
      <c r="F386" s="104"/>
      <c r="I386" s="108">
        <v>0.7</v>
      </c>
      <c r="J386" s="112">
        <v>310</v>
      </c>
      <c r="K386" s="107"/>
      <c r="L386" s="104">
        <f>I386*J386</f>
        <v>217</v>
      </c>
      <c r="M386" s="104"/>
      <c r="O386" s="101"/>
      <c r="P386" s="101"/>
      <c r="Q386" s="101"/>
      <c r="R386" s="101">
        <f t="shared" si="8"/>
        <v>1154.6879530117471</v>
      </c>
      <c r="S386" s="101"/>
      <c r="T386" s="436" t="s">
        <v>253</v>
      </c>
      <c r="U386" s="41">
        <v>649</v>
      </c>
      <c r="V386" s="41">
        <v>407</v>
      </c>
      <c r="W386" s="41"/>
      <c r="X386" s="330">
        <f>SUM(M233,M234,M236)</f>
        <v>44191.839999999997</v>
      </c>
    </row>
    <row r="387" spans="2:24" x14ac:dyDescent="0.2">
      <c r="B387" s="108" t="s">
        <v>37</v>
      </c>
      <c r="C387" s="109"/>
      <c r="D387" s="104"/>
      <c r="E387" s="104">
        <f>SUM(E384:E386)</f>
        <v>110</v>
      </c>
      <c r="F387" s="104"/>
      <c r="I387" s="108" t="s">
        <v>37</v>
      </c>
      <c r="J387" s="109"/>
      <c r="K387" s="104"/>
      <c r="L387" s="104">
        <f>SUM(L384:L386)</f>
        <v>657</v>
      </c>
      <c r="M387" s="104"/>
      <c r="O387" s="101"/>
      <c r="P387" s="101"/>
      <c r="Q387" s="101"/>
      <c r="R387" s="101">
        <f t="shared" si="8"/>
        <v>1457.1485878530368</v>
      </c>
      <c r="S387" s="101"/>
      <c r="T387" s="436" t="s">
        <v>484</v>
      </c>
      <c r="U387" s="41">
        <v>819</v>
      </c>
      <c r="V387" s="41">
        <v>388</v>
      </c>
      <c r="W387" s="41"/>
      <c r="X387" s="330">
        <f>SUM(M275,M276,M278)</f>
        <v>54821.67</v>
      </c>
    </row>
    <row r="388" spans="2:24" x14ac:dyDescent="0.2">
      <c r="B388" s="110">
        <v>2</v>
      </c>
      <c r="C388" s="109"/>
      <c r="D388" s="104"/>
      <c r="E388" s="104">
        <f>B388*E387</f>
        <v>220</v>
      </c>
      <c r="F388" s="104"/>
      <c r="I388" s="110">
        <v>1</v>
      </c>
      <c r="J388" s="109"/>
      <c r="K388" s="104"/>
      <c r="L388" s="104">
        <f>I388*L387</f>
        <v>657</v>
      </c>
      <c r="M388" s="104"/>
      <c r="O388" s="101"/>
      <c r="P388" s="101"/>
      <c r="Q388" s="101"/>
      <c r="R388" s="101">
        <f t="shared" si="8"/>
        <v>80.063109222694322</v>
      </c>
      <c r="S388" s="101"/>
      <c r="T388" s="436" t="s">
        <v>485</v>
      </c>
      <c r="U388" s="41">
        <v>45</v>
      </c>
      <c r="V388" s="41">
        <v>61</v>
      </c>
      <c r="W388" s="41"/>
      <c r="X388" s="330">
        <f>SUM(M321,M322,M324)</f>
        <v>3310.98</v>
      </c>
    </row>
    <row r="389" spans="2:24" x14ac:dyDescent="0.2">
      <c r="B389" s="108" t="s">
        <v>38</v>
      </c>
      <c r="C389" s="109" t="s">
        <v>39</v>
      </c>
      <c r="D389" s="104"/>
      <c r="E389" s="104" t="s">
        <v>40</v>
      </c>
      <c r="F389" s="104"/>
      <c r="I389" s="108" t="s">
        <v>38</v>
      </c>
      <c r="J389" s="109" t="s">
        <v>39</v>
      </c>
      <c r="K389" s="104"/>
      <c r="L389" s="104" t="s">
        <v>40</v>
      </c>
      <c r="M389" s="104"/>
      <c r="O389" s="306"/>
      <c r="P389" s="306"/>
      <c r="Q389" s="306"/>
      <c r="R389" s="306"/>
      <c r="S389" s="306"/>
      <c r="T389" s="306"/>
      <c r="U389" s="409"/>
      <c r="V389" s="306"/>
      <c r="W389" s="306"/>
    </row>
    <row r="390" spans="2:24" x14ac:dyDescent="0.2">
      <c r="B390" s="110"/>
      <c r="C390" s="112"/>
      <c r="D390" s="104">
        <f>B390*C390</f>
        <v>0</v>
      </c>
      <c r="E390" s="104">
        <f>D390*F384</f>
        <v>0</v>
      </c>
      <c r="F390" s="104"/>
      <c r="I390" s="110">
        <v>125</v>
      </c>
      <c r="J390" s="112">
        <v>4</v>
      </c>
      <c r="K390" s="104">
        <f>I390*J390</f>
        <v>500</v>
      </c>
      <c r="L390" s="104">
        <f>K390*M384</f>
        <v>1000</v>
      </c>
      <c r="M390" s="104"/>
      <c r="U390" s="12">
        <f>SUM(U383:U389)</f>
        <v>4001</v>
      </c>
      <c r="V390" s="12">
        <f>SUM(V383:V389)</f>
        <v>1698</v>
      </c>
      <c r="X390" s="26">
        <f>SUM(X383:X388)</f>
        <v>266329.31</v>
      </c>
    </row>
    <row r="391" spans="2:24" x14ac:dyDescent="0.2">
      <c r="B391" s="108"/>
      <c r="C391" s="109"/>
      <c r="D391" s="104"/>
      <c r="E391" s="105">
        <f>SUM(E388:E390)</f>
        <v>220</v>
      </c>
      <c r="F391" s="104"/>
      <c r="I391" s="108"/>
      <c r="J391" s="109"/>
      <c r="K391" s="104"/>
      <c r="L391" s="105">
        <f>SUM(L388:L390)</f>
        <v>1657</v>
      </c>
      <c r="M391" s="104"/>
      <c r="X391" s="26">
        <f>X390/U390</f>
        <v>66.565686078480383</v>
      </c>
    </row>
    <row r="392" spans="2:24" x14ac:dyDescent="0.2">
      <c r="R392" s="460"/>
    </row>
  </sheetData>
  <pageMargins left="0.7" right="0.7" top="0.75" bottom="0.75" header="0.3" footer="0.3"/>
  <pageSetup paperSize="9" fitToHeight="0"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1B909-008C-471F-8D7A-8AF0EC222C2E}">
  <dimension ref="A4:AS298"/>
  <sheetViews>
    <sheetView topLeftCell="R258" workbookViewId="0">
      <selection activeCell="X273" sqref="X273:AE278"/>
    </sheetView>
  </sheetViews>
  <sheetFormatPr defaultRowHeight="12.75" x14ac:dyDescent="0.2"/>
  <cols>
    <col min="2" max="2" width="35.7109375" customWidth="1"/>
    <col min="3" max="3" width="39" customWidth="1"/>
    <col min="4" max="4" width="20.85546875" customWidth="1"/>
    <col min="5" max="5" width="34.5703125" bestFit="1" customWidth="1"/>
    <col min="6" max="6" width="19.140625" customWidth="1"/>
    <col min="7" max="7" width="15.85546875" customWidth="1"/>
    <col min="8" max="8" width="19.140625" bestFit="1" customWidth="1"/>
    <col min="9" max="9" width="12.7109375" bestFit="1" customWidth="1"/>
    <col min="10" max="10" width="17" customWidth="1"/>
    <col min="11" max="11" width="15.28515625" customWidth="1"/>
    <col min="12" max="12" width="14.7109375" customWidth="1"/>
    <col min="13" max="13" width="10.28515625" customWidth="1"/>
    <col min="14" max="14" width="17.7109375" bestFit="1" customWidth="1"/>
    <col min="15" max="15" width="29.7109375" bestFit="1" customWidth="1"/>
    <col min="17" max="17" width="34.5703125" bestFit="1" customWidth="1"/>
    <col min="18" max="18" width="13.5703125" bestFit="1" customWidth="1"/>
    <col min="19" max="19" width="15.42578125" bestFit="1" customWidth="1"/>
    <col min="20" max="20" width="19.140625" bestFit="1" customWidth="1"/>
    <col min="23" max="23" width="11.140625" bestFit="1" customWidth="1"/>
    <col min="25" max="25" width="29.140625" customWidth="1"/>
    <col min="26" max="26" width="20.7109375" customWidth="1"/>
    <col min="28" max="28" width="34.5703125" bestFit="1" customWidth="1"/>
    <col min="29" max="29" width="20.42578125" customWidth="1"/>
    <col min="30" max="30" width="14" bestFit="1" customWidth="1"/>
    <col min="31" max="31" width="19.140625" bestFit="1" customWidth="1"/>
    <col min="34" max="34" width="11.140625" bestFit="1" customWidth="1"/>
    <col min="35" max="35" width="35.42578125" bestFit="1" customWidth="1"/>
    <col min="36" max="36" width="14.140625" customWidth="1"/>
    <col min="37" max="37" width="15.7109375" customWidth="1"/>
    <col min="39" max="39" width="34.5703125" bestFit="1" customWidth="1"/>
    <col min="40" max="40" width="13.5703125" bestFit="1" customWidth="1"/>
    <col min="42" max="42" width="19.140625" bestFit="1" customWidth="1"/>
    <col min="44" max="44" width="10.28515625" customWidth="1"/>
    <col min="45" max="45" width="11.140625" bestFit="1" customWidth="1"/>
  </cols>
  <sheetData>
    <row r="4" spans="1:45" ht="18" x14ac:dyDescent="0.25">
      <c r="A4" s="176"/>
      <c r="B4" s="216"/>
      <c r="C4" s="176"/>
      <c r="D4" s="176"/>
      <c r="E4" s="176"/>
      <c r="F4" s="176"/>
      <c r="G4" s="176"/>
      <c r="H4" s="176"/>
      <c r="I4" s="176"/>
      <c r="J4" s="176"/>
      <c r="N4" s="333"/>
      <c r="O4" s="334"/>
      <c r="P4" s="334"/>
      <c r="Q4" s="334"/>
      <c r="R4" s="334"/>
      <c r="S4" s="335"/>
      <c r="T4" s="335"/>
      <c r="U4" s="334"/>
      <c r="V4" s="334"/>
      <c r="W4" s="336"/>
      <c r="Y4" s="333"/>
      <c r="Z4" s="334"/>
      <c r="AA4" s="334"/>
      <c r="AB4" s="334" t="s">
        <v>427</v>
      </c>
      <c r="AC4" s="334"/>
      <c r="AD4" s="335"/>
      <c r="AE4" s="335"/>
      <c r="AF4" s="334"/>
      <c r="AG4" s="334"/>
      <c r="AH4" s="336"/>
      <c r="AJ4" s="333"/>
      <c r="AK4" s="334"/>
      <c r="AL4" s="334"/>
      <c r="AM4" s="334" t="s">
        <v>427</v>
      </c>
      <c r="AN4" s="334"/>
      <c r="AO4" s="335"/>
      <c r="AP4" s="335"/>
      <c r="AQ4" s="334"/>
      <c r="AR4" s="334"/>
      <c r="AS4" s="336"/>
    </row>
    <row r="5" spans="1:45" ht="18" x14ac:dyDescent="0.25">
      <c r="A5" s="178"/>
      <c r="B5" s="178"/>
      <c r="C5" s="177"/>
      <c r="D5" s="177"/>
      <c r="E5" s="178"/>
      <c r="F5" s="178"/>
      <c r="G5" s="178"/>
      <c r="H5" s="178"/>
      <c r="I5" s="178"/>
      <c r="J5" s="176"/>
      <c r="N5" s="337" t="s">
        <v>410</v>
      </c>
      <c r="O5" s="176"/>
      <c r="P5" s="176"/>
      <c r="Q5" s="176"/>
      <c r="R5" s="176"/>
      <c r="S5" s="176"/>
      <c r="T5" s="176"/>
      <c r="U5" s="176"/>
      <c r="V5" s="176"/>
      <c r="W5" s="338"/>
      <c r="Y5" s="337" t="s">
        <v>410</v>
      </c>
      <c r="Z5" s="176"/>
      <c r="AA5" s="176"/>
      <c r="AB5" s="176"/>
      <c r="AC5" s="176"/>
      <c r="AD5" s="176"/>
      <c r="AE5" s="176"/>
      <c r="AF5" s="176"/>
      <c r="AG5" s="176"/>
      <c r="AH5" s="338"/>
      <c r="AJ5" s="337" t="s">
        <v>410</v>
      </c>
      <c r="AK5" s="176"/>
      <c r="AL5" s="176"/>
      <c r="AM5" s="176"/>
      <c r="AN5" s="176"/>
      <c r="AO5" s="176"/>
      <c r="AP5" s="176"/>
      <c r="AQ5" s="176"/>
      <c r="AR5" s="176"/>
      <c r="AS5" s="338"/>
    </row>
    <row r="6" spans="1:45" ht="18.75" thickBot="1" x14ac:dyDescent="0.3">
      <c r="A6" s="180"/>
      <c r="B6" s="180" t="s">
        <v>154</v>
      </c>
      <c r="C6" s="179"/>
      <c r="D6" s="177"/>
      <c r="E6" s="180"/>
      <c r="F6" s="180"/>
      <c r="G6" s="180"/>
      <c r="H6" s="180"/>
      <c r="I6" s="180"/>
      <c r="J6" s="176"/>
      <c r="N6" s="339"/>
      <c r="O6" s="177"/>
      <c r="P6" s="177"/>
      <c r="Q6" s="178"/>
      <c r="R6" s="178"/>
      <c r="S6" s="178"/>
      <c r="T6" s="178"/>
      <c r="U6" s="178"/>
      <c r="V6" s="176"/>
      <c r="W6" s="338"/>
      <c r="Y6" s="339"/>
      <c r="Z6" s="177"/>
      <c r="AA6" s="177"/>
      <c r="AB6" s="178"/>
      <c r="AC6" s="178"/>
      <c r="AD6" s="178"/>
      <c r="AE6" s="178"/>
      <c r="AF6" s="178"/>
      <c r="AG6" s="176"/>
      <c r="AH6" s="338"/>
      <c r="AJ6" s="339"/>
      <c r="AK6" s="177"/>
      <c r="AL6" s="177"/>
      <c r="AM6" s="178"/>
      <c r="AN6" s="178"/>
      <c r="AO6" s="178"/>
      <c r="AP6" s="178"/>
      <c r="AQ6" s="178"/>
      <c r="AR6" s="176"/>
      <c r="AS6" s="338"/>
    </row>
    <row r="7" spans="1:45" ht="18.75" thickBot="1" x14ac:dyDescent="0.3">
      <c r="A7" s="176"/>
      <c r="B7" s="217" t="s">
        <v>155</v>
      </c>
      <c r="C7" s="181">
        <v>5337</v>
      </c>
      <c r="D7" s="182" t="s">
        <v>45</v>
      </c>
      <c r="E7" s="176"/>
      <c r="F7" s="183" t="s">
        <v>156</v>
      </c>
      <c r="G7" s="176"/>
      <c r="H7" s="218" t="s">
        <v>198</v>
      </c>
      <c r="I7" s="176"/>
      <c r="J7" s="176"/>
      <c r="N7" s="340" t="s">
        <v>154</v>
      </c>
      <c r="O7" s="179"/>
      <c r="P7" s="177"/>
      <c r="Q7" s="180"/>
      <c r="R7" s="180"/>
      <c r="S7" s="180"/>
      <c r="T7" s="180"/>
      <c r="U7" s="180"/>
      <c r="V7" s="176"/>
      <c r="W7" s="338"/>
      <c r="Y7" s="340" t="s">
        <v>154</v>
      </c>
      <c r="Z7" s="179"/>
      <c r="AA7" s="177"/>
      <c r="AB7" s="180"/>
      <c r="AC7" s="180"/>
      <c r="AD7" s="180"/>
      <c r="AE7" s="180"/>
      <c r="AF7" s="180"/>
      <c r="AG7" s="176"/>
      <c r="AH7" s="338"/>
      <c r="AJ7" s="340" t="s">
        <v>154</v>
      </c>
      <c r="AK7" s="179"/>
      <c r="AL7" s="177"/>
      <c r="AM7" s="180"/>
      <c r="AN7" s="180"/>
      <c r="AO7" s="180"/>
      <c r="AP7" s="180"/>
      <c r="AQ7" s="180"/>
      <c r="AR7" s="176"/>
      <c r="AS7" s="338"/>
    </row>
    <row r="8" spans="1:45" x14ac:dyDescent="0.2">
      <c r="A8" s="176"/>
      <c r="B8" s="219" t="s">
        <v>157</v>
      </c>
      <c r="C8" s="185"/>
      <c r="D8" s="186"/>
      <c r="E8" s="176"/>
      <c r="F8" s="183" t="s">
        <v>158</v>
      </c>
      <c r="G8" s="183" t="s">
        <v>206</v>
      </c>
      <c r="H8" s="183" t="s">
        <v>159</v>
      </c>
      <c r="I8" s="176"/>
      <c r="J8" s="176"/>
      <c r="N8" s="341" t="s">
        <v>155</v>
      </c>
      <c r="O8" s="181">
        <v>5337</v>
      </c>
      <c r="P8" s="182" t="s">
        <v>45</v>
      </c>
      <c r="Q8" s="176"/>
      <c r="R8" s="183" t="s">
        <v>156</v>
      </c>
      <c r="S8" s="176"/>
      <c r="T8" s="218" t="s">
        <v>198</v>
      </c>
      <c r="U8" s="176"/>
      <c r="V8" s="176"/>
      <c r="W8" s="338"/>
      <c r="Y8" s="341" t="s">
        <v>155</v>
      </c>
      <c r="Z8" s="181">
        <v>5337</v>
      </c>
      <c r="AA8" s="182" t="s">
        <v>45</v>
      </c>
      <c r="AB8" s="176"/>
      <c r="AC8" s="183" t="s">
        <v>156</v>
      </c>
      <c r="AD8" s="176"/>
      <c r="AE8" s="218" t="s">
        <v>198</v>
      </c>
      <c r="AF8" s="176"/>
      <c r="AG8" s="176"/>
      <c r="AH8" s="338"/>
      <c r="AJ8" s="341" t="s">
        <v>155</v>
      </c>
      <c r="AK8" s="181">
        <v>5337</v>
      </c>
      <c r="AL8" s="182" t="s">
        <v>45</v>
      </c>
      <c r="AM8" s="176"/>
      <c r="AN8" s="183" t="s">
        <v>156</v>
      </c>
      <c r="AO8" s="176"/>
      <c r="AP8" s="218" t="s">
        <v>198</v>
      </c>
      <c r="AQ8" s="176"/>
      <c r="AR8" s="176"/>
      <c r="AS8" s="338"/>
    </row>
    <row r="9" spans="1:45" x14ac:dyDescent="0.2">
      <c r="A9" s="176"/>
      <c r="B9" s="219" t="s">
        <v>160</v>
      </c>
      <c r="C9" s="187"/>
      <c r="D9" s="186"/>
      <c r="E9" s="176"/>
      <c r="F9" s="176" t="s">
        <v>161</v>
      </c>
      <c r="G9" s="238">
        <v>2.12</v>
      </c>
      <c r="H9" s="215">
        <f>G9*1.15</f>
        <v>2.4379999999999997</v>
      </c>
      <c r="I9" s="176"/>
      <c r="J9" s="176"/>
      <c r="N9" s="342" t="s">
        <v>157</v>
      </c>
      <c r="O9" s="185"/>
      <c r="P9" s="186"/>
      <c r="Q9" s="176"/>
      <c r="R9" s="183" t="s">
        <v>158</v>
      </c>
      <c r="S9" s="183"/>
      <c r="T9" s="183" t="s">
        <v>159</v>
      </c>
      <c r="U9" s="176"/>
      <c r="V9" s="176"/>
      <c r="W9" s="338"/>
      <c r="Y9" s="342" t="s">
        <v>157</v>
      </c>
      <c r="Z9" s="185"/>
      <c r="AA9" s="186"/>
      <c r="AB9" s="176"/>
      <c r="AC9" s="183" t="s">
        <v>158</v>
      </c>
      <c r="AD9" s="183"/>
      <c r="AE9" s="183" t="s">
        <v>159</v>
      </c>
      <c r="AF9" s="176"/>
      <c r="AG9" s="176"/>
      <c r="AH9" s="338"/>
      <c r="AJ9" s="342" t="s">
        <v>157</v>
      </c>
      <c r="AK9" s="185"/>
      <c r="AL9" s="186"/>
      <c r="AM9" s="176"/>
      <c r="AN9" s="183" t="s">
        <v>158</v>
      </c>
      <c r="AO9" s="183"/>
      <c r="AP9" s="183" t="s">
        <v>159</v>
      </c>
      <c r="AQ9" s="176"/>
      <c r="AR9" s="176"/>
      <c r="AS9" s="338"/>
    </row>
    <row r="10" spans="1:45" x14ac:dyDescent="0.2">
      <c r="A10" s="176"/>
      <c r="B10" s="219" t="s">
        <v>162</v>
      </c>
      <c r="C10" s="188">
        <v>55</v>
      </c>
      <c r="D10" s="186"/>
      <c r="E10" s="176"/>
      <c r="F10" s="176" t="s">
        <v>163</v>
      </c>
      <c r="G10" s="239">
        <v>2.89</v>
      </c>
      <c r="H10" s="215">
        <f>G10*1.15</f>
        <v>3.3234999999999997</v>
      </c>
      <c r="I10" s="176"/>
      <c r="J10" s="176"/>
      <c r="N10" s="342" t="s">
        <v>160</v>
      </c>
      <c r="O10" s="187"/>
      <c r="P10" s="186"/>
      <c r="Q10" s="176"/>
      <c r="R10" s="176" t="s">
        <v>161</v>
      </c>
      <c r="S10" s="215">
        <v>2.12</v>
      </c>
      <c r="T10" s="215">
        <f>S10*1.15</f>
        <v>2.4379999999999997</v>
      </c>
      <c r="U10" s="176"/>
      <c r="V10" s="176"/>
      <c r="W10" s="338"/>
      <c r="Y10" s="342" t="s">
        <v>160</v>
      </c>
      <c r="Z10" s="187"/>
      <c r="AA10" s="186"/>
      <c r="AB10" s="176"/>
      <c r="AC10" s="176" t="s">
        <v>161</v>
      </c>
      <c r="AD10" s="215">
        <v>2.2000000000000002</v>
      </c>
      <c r="AE10" s="215">
        <f>AD10*1.15</f>
        <v>2.5299999999999998</v>
      </c>
      <c r="AF10" s="176"/>
      <c r="AG10" s="176"/>
      <c r="AH10" s="338"/>
      <c r="AJ10" s="342" t="s">
        <v>160</v>
      </c>
      <c r="AK10" s="187"/>
      <c r="AL10" s="186"/>
      <c r="AM10" s="176"/>
      <c r="AN10" s="176" t="s">
        <v>161</v>
      </c>
      <c r="AO10" s="215">
        <v>2.2000000000000002</v>
      </c>
      <c r="AP10" s="215">
        <f>AO10*1.15</f>
        <v>2.5299999999999998</v>
      </c>
      <c r="AQ10" s="176"/>
      <c r="AR10" s="176"/>
      <c r="AS10" s="338"/>
    </row>
    <row r="11" spans="1:45" x14ac:dyDescent="0.2">
      <c r="A11" s="176"/>
      <c r="B11" s="219" t="s">
        <v>164</v>
      </c>
      <c r="C11" s="189">
        <v>1467</v>
      </c>
      <c r="D11" s="186" t="s">
        <v>46</v>
      </c>
      <c r="E11" s="176"/>
      <c r="F11" s="176" t="s">
        <v>199</v>
      </c>
      <c r="G11" s="239">
        <v>2.62</v>
      </c>
      <c r="H11" s="215">
        <f>G11*1.15</f>
        <v>3.0129999999999999</v>
      </c>
      <c r="I11" s="176"/>
      <c r="J11" s="176"/>
      <c r="N11" s="342" t="s">
        <v>162</v>
      </c>
      <c r="O11" s="188">
        <v>55</v>
      </c>
      <c r="P11" s="186"/>
      <c r="Q11" s="176"/>
      <c r="R11" s="176" t="s">
        <v>163</v>
      </c>
      <c r="S11" s="368">
        <v>2.89</v>
      </c>
      <c r="T11" s="215">
        <f>S11*1.15</f>
        <v>3.3234999999999997</v>
      </c>
      <c r="U11" s="176"/>
      <c r="V11" s="176"/>
      <c r="W11" s="338"/>
      <c r="Y11" s="342" t="s">
        <v>162</v>
      </c>
      <c r="Z11" s="188">
        <v>55</v>
      </c>
      <c r="AA11" s="186"/>
      <c r="AB11" s="176"/>
      <c r="AC11" s="176" t="s">
        <v>163</v>
      </c>
      <c r="AD11" s="368">
        <v>3.01</v>
      </c>
      <c r="AE11" s="215">
        <f>AD11*1.15</f>
        <v>3.4614999999999996</v>
      </c>
      <c r="AF11" s="176"/>
      <c r="AG11" s="176"/>
      <c r="AH11" s="338"/>
      <c r="AJ11" s="342" t="s">
        <v>162</v>
      </c>
      <c r="AK11" s="188">
        <v>55</v>
      </c>
      <c r="AL11" s="186"/>
      <c r="AM11" s="176"/>
      <c r="AN11" s="176" t="s">
        <v>163</v>
      </c>
      <c r="AO11" s="368">
        <v>3</v>
      </c>
      <c r="AP11" s="215">
        <f>AO11*1.15</f>
        <v>3.4499999999999997</v>
      </c>
      <c r="AQ11" s="176"/>
      <c r="AR11" s="176"/>
      <c r="AS11" s="338"/>
    </row>
    <row r="12" spans="1:45" x14ac:dyDescent="0.2">
      <c r="A12" s="176"/>
      <c r="B12" s="219" t="s">
        <v>165</v>
      </c>
      <c r="C12" s="190" t="s">
        <v>207</v>
      </c>
      <c r="D12" s="186"/>
      <c r="E12" s="176"/>
      <c r="F12" s="176"/>
      <c r="G12" s="220"/>
      <c r="H12" s="104"/>
      <c r="I12" s="176"/>
      <c r="J12" s="176"/>
      <c r="N12" s="342" t="s">
        <v>164</v>
      </c>
      <c r="O12" s="189">
        <v>1224</v>
      </c>
      <c r="P12" s="186" t="s">
        <v>46</v>
      </c>
      <c r="Q12" s="176"/>
      <c r="R12" s="176" t="s">
        <v>411</v>
      </c>
      <c r="S12" s="368">
        <v>3.53</v>
      </c>
      <c r="T12" s="215">
        <f>S12*1.15</f>
        <v>4.0594999999999999</v>
      </c>
      <c r="U12" s="176"/>
      <c r="V12" s="176"/>
      <c r="W12" s="338"/>
      <c r="Y12" s="342" t="s">
        <v>164</v>
      </c>
      <c r="Z12" s="189">
        <v>1224</v>
      </c>
      <c r="AA12" s="186" t="s">
        <v>46</v>
      </c>
      <c r="AB12" s="176"/>
      <c r="AC12" s="176" t="s">
        <v>411</v>
      </c>
      <c r="AD12" s="368">
        <v>3.67</v>
      </c>
      <c r="AE12" s="215">
        <f>AD12*1.15</f>
        <v>4.2204999999999995</v>
      </c>
      <c r="AF12" s="176"/>
      <c r="AG12" s="176"/>
      <c r="AH12" s="338"/>
      <c r="AJ12" s="342" t="s">
        <v>164</v>
      </c>
      <c r="AK12" s="189">
        <v>1224</v>
      </c>
      <c r="AL12" s="186" t="s">
        <v>46</v>
      </c>
      <c r="AM12" s="176"/>
      <c r="AN12" s="176" t="s">
        <v>411</v>
      </c>
      <c r="AO12" s="368">
        <v>3.36</v>
      </c>
      <c r="AP12" s="215">
        <f>AO12*1.15</f>
        <v>3.8639999999999994</v>
      </c>
      <c r="AQ12" s="176"/>
      <c r="AR12" s="176"/>
      <c r="AS12" s="338"/>
    </row>
    <row r="13" spans="1:45" ht="25.5" x14ac:dyDescent="0.2">
      <c r="A13" s="176"/>
      <c r="B13" s="219" t="s">
        <v>166</v>
      </c>
      <c r="C13" s="193">
        <f>K17</f>
        <v>22.636897133220909</v>
      </c>
      <c r="D13" s="186" t="s">
        <v>167</v>
      </c>
      <c r="E13" s="176"/>
      <c r="F13" s="183" t="s">
        <v>200</v>
      </c>
      <c r="G13" s="176"/>
      <c r="H13" s="176"/>
      <c r="I13" s="176" t="s">
        <v>385</v>
      </c>
      <c r="J13" s="176"/>
      <c r="N13" s="342" t="s">
        <v>165</v>
      </c>
      <c r="O13" s="190" t="s">
        <v>412</v>
      </c>
      <c r="P13" s="186"/>
      <c r="Q13" s="176"/>
      <c r="R13" s="176"/>
      <c r="S13" s="215"/>
      <c r="T13" s="215"/>
      <c r="U13" s="176"/>
      <c r="V13" s="176"/>
      <c r="W13" s="338"/>
      <c r="Y13" s="342" t="s">
        <v>165</v>
      </c>
      <c r="Z13" s="190" t="s">
        <v>412</v>
      </c>
      <c r="AA13" s="186"/>
      <c r="AB13" s="176"/>
      <c r="AC13" s="176"/>
      <c r="AD13" s="215"/>
      <c r="AE13" s="215"/>
      <c r="AF13" s="176"/>
      <c r="AG13" s="176"/>
      <c r="AH13" s="338"/>
      <c r="AJ13" s="342" t="s">
        <v>165</v>
      </c>
      <c r="AK13" s="190" t="s">
        <v>412</v>
      </c>
      <c r="AL13" s="186"/>
      <c r="AM13" s="176"/>
      <c r="AN13" s="176"/>
      <c r="AO13" s="215"/>
      <c r="AP13" s="215"/>
      <c r="AQ13" s="176"/>
      <c r="AR13" s="176"/>
      <c r="AS13" s="338"/>
    </row>
    <row r="14" spans="1:45" ht="13.5" thickBot="1" x14ac:dyDescent="0.25">
      <c r="A14" s="176"/>
      <c r="B14" s="221" t="s">
        <v>168</v>
      </c>
      <c r="C14" s="194" t="s">
        <v>201</v>
      </c>
      <c r="D14" s="195"/>
      <c r="E14" s="176"/>
      <c r="F14" s="176"/>
      <c r="G14" s="176"/>
      <c r="H14" s="176"/>
      <c r="I14" s="176" t="s">
        <v>208</v>
      </c>
      <c r="J14" s="176"/>
      <c r="K14" s="70">
        <v>1191</v>
      </c>
      <c r="N14" s="342" t="s">
        <v>166</v>
      </c>
      <c r="O14" s="193">
        <f>W20</f>
        <v>31.689713322091063</v>
      </c>
      <c r="P14" s="186" t="s">
        <v>167</v>
      </c>
      <c r="Q14" s="176"/>
      <c r="R14" s="176" t="s">
        <v>413</v>
      </c>
      <c r="S14" s="368">
        <v>1.97</v>
      </c>
      <c r="T14" s="215">
        <f>S14*1.15</f>
        <v>2.2654999999999998</v>
      </c>
      <c r="U14" s="176"/>
      <c r="V14" s="176"/>
      <c r="W14" s="338"/>
      <c r="Y14" s="342" t="s">
        <v>166</v>
      </c>
      <c r="Z14" s="193">
        <f>AH20</f>
        <v>34.360876897133224</v>
      </c>
      <c r="AA14" s="186" t="s">
        <v>167</v>
      </c>
      <c r="AB14" s="176"/>
      <c r="AC14" s="176" t="s">
        <v>413</v>
      </c>
      <c r="AD14" s="368">
        <v>1.97</v>
      </c>
      <c r="AE14" s="215">
        <f>AD14*1.15</f>
        <v>2.2654999999999998</v>
      </c>
      <c r="AF14" s="176"/>
      <c r="AG14" s="176"/>
      <c r="AH14" s="338"/>
      <c r="AJ14" s="342" t="s">
        <v>166</v>
      </c>
      <c r="AK14" s="193">
        <f>AS20</f>
        <v>32.693929173693085</v>
      </c>
      <c r="AL14" s="186" t="s">
        <v>167</v>
      </c>
      <c r="AM14" s="176"/>
      <c r="AN14" s="176" t="s">
        <v>413</v>
      </c>
      <c r="AO14" s="368">
        <v>1.97</v>
      </c>
      <c r="AP14" s="215">
        <f>AO14*1.15</f>
        <v>2.2654999999999998</v>
      </c>
      <c r="AQ14" s="176"/>
      <c r="AR14" s="176"/>
      <c r="AS14" s="338"/>
    </row>
    <row r="15" spans="1:45" ht="13.5" thickBot="1" x14ac:dyDescent="0.25">
      <c r="A15" s="176"/>
      <c r="B15" s="176"/>
      <c r="C15" s="176"/>
      <c r="D15" s="176"/>
      <c r="E15" s="176"/>
      <c r="F15" s="176"/>
      <c r="G15" s="176"/>
      <c r="H15" s="176"/>
      <c r="I15" s="240">
        <v>8525</v>
      </c>
      <c r="J15" s="176"/>
      <c r="N15" s="343" t="s">
        <v>168</v>
      </c>
      <c r="O15" s="194" t="s">
        <v>414</v>
      </c>
      <c r="P15" s="195"/>
      <c r="Q15" s="176"/>
      <c r="R15" s="176"/>
      <c r="S15" s="176"/>
      <c r="T15" s="176"/>
      <c r="U15" s="176"/>
      <c r="V15" s="176"/>
      <c r="W15" s="369"/>
      <c r="X15" s="362"/>
      <c r="Y15" s="343" t="s">
        <v>168</v>
      </c>
      <c r="Z15" s="194" t="s">
        <v>414</v>
      </c>
      <c r="AA15" s="195"/>
      <c r="AB15" s="176"/>
      <c r="AC15" s="176"/>
      <c r="AD15" s="176"/>
      <c r="AE15" s="176"/>
      <c r="AF15" s="176"/>
      <c r="AG15" s="176"/>
      <c r="AH15" s="369"/>
      <c r="AJ15" s="343" t="s">
        <v>168</v>
      </c>
      <c r="AK15" s="194" t="s">
        <v>414</v>
      </c>
      <c r="AL15" s="195"/>
      <c r="AM15" s="176"/>
      <c r="AN15" s="176"/>
      <c r="AO15" s="176"/>
      <c r="AP15" s="176"/>
      <c r="AQ15" s="176"/>
      <c r="AR15" s="176"/>
      <c r="AS15" s="369"/>
    </row>
    <row r="16" spans="1:45" ht="18.75" thickBot="1" x14ac:dyDescent="0.3">
      <c r="A16" s="176"/>
      <c r="B16" s="180"/>
      <c r="C16" s="176"/>
      <c r="D16" s="176"/>
      <c r="E16" s="176"/>
      <c r="F16" s="178"/>
      <c r="G16" s="176"/>
      <c r="H16" s="176"/>
      <c r="I16" s="176" t="s">
        <v>386</v>
      </c>
      <c r="J16" s="176"/>
      <c r="K16" s="222">
        <v>167796</v>
      </c>
      <c r="N16" s="344"/>
      <c r="O16" s="176"/>
      <c r="P16" s="176"/>
      <c r="Q16" s="176"/>
      <c r="R16" s="176"/>
      <c r="S16" s="176"/>
      <c r="T16" s="176"/>
      <c r="U16" s="176" t="s">
        <v>423</v>
      </c>
      <c r="V16" s="176"/>
      <c r="X16" s="362"/>
      <c r="Y16" s="344"/>
      <c r="Z16" s="176"/>
      <c r="AA16" s="176"/>
      <c r="AB16" s="176"/>
      <c r="AC16" s="176"/>
      <c r="AD16" s="176"/>
      <c r="AE16" s="176"/>
      <c r="AF16" s="176" t="s">
        <v>428</v>
      </c>
      <c r="AG16" s="176"/>
      <c r="AJ16" s="344"/>
      <c r="AK16" s="176"/>
      <c r="AL16" s="176"/>
      <c r="AM16" s="176"/>
      <c r="AN16" s="176"/>
      <c r="AO16" s="176"/>
      <c r="AP16" s="176"/>
      <c r="AQ16" s="176" t="s">
        <v>432</v>
      </c>
      <c r="AR16" s="176"/>
    </row>
    <row r="17" spans="1:45" ht="18.75" thickBot="1" x14ac:dyDescent="0.3">
      <c r="A17" s="176"/>
      <c r="B17" s="223" t="s">
        <v>169</v>
      </c>
      <c r="C17" s="196">
        <f>C7*C36</f>
        <v>316331.26202558528</v>
      </c>
      <c r="D17" s="176"/>
      <c r="E17" s="224"/>
      <c r="F17" s="178"/>
      <c r="G17" s="176"/>
      <c r="H17" s="176"/>
      <c r="I17" s="176"/>
      <c r="J17" s="176"/>
      <c r="K17" s="222">
        <f>K16/C32</f>
        <v>22.636897133220909</v>
      </c>
      <c r="N17" s="340"/>
      <c r="O17" s="176"/>
      <c r="P17" s="176"/>
      <c r="Q17" s="176"/>
      <c r="R17" s="178"/>
      <c r="S17" s="176"/>
      <c r="T17" s="176"/>
      <c r="U17" s="176" t="s">
        <v>208</v>
      </c>
      <c r="V17" s="176"/>
      <c r="W17" s="70"/>
      <c r="X17" s="362"/>
      <c r="Y17" s="340"/>
      <c r="Z17" s="176"/>
      <c r="AA17" s="176"/>
      <c r="AB17" s="176"/>
      <c r="AC17" s="178"/>
      <c r="AD17" s="176"/>
      <c r="AE17" s="176"/>
      <c r="AF17" s="176" t="s">
        <v>208</v>
      </c>
      <c r="AG17" s="176"/>
      <c r="AH17" s="70"/>
      <c r="AJ17" s="340"/>
      <c r="AK17" s="176"/>
      <c r="AL17" s="176"/>
      <c r="AM17" s="176"/>
      <c r="AN17" s="178"/>
      <c r="AO17" s="176"/>
      <c r="AP17" s="176"/>
      <c r="AQ17" s="176" t="s">
        <v>431</v>
      </c>
      <c r="AR17" s="176"/>
      <c r="AS17" s="70"/>
    </row>
    <row r="18" spans="1:45" x14ac:dyDescent="0.2">
      <c r="A18" s="176"/>
      <c r="B18" s="225" t="s">
        <v>170</v>
      </c>
      <c r="C18" s="197">
        <f>C17*(1+C8)</f>
        <v>316331.26202558528</v>
      </c>
      <c r="D18" s="178" t="s">
        <v>171</v>
      </c>
      <c r="E18" s="224"/>
      <c r="F18" s="178"/>
      <c r="G18" s="176"/>
      <c r="H18" s="176"/>
      <c r="I18" s="176"/>
      <c r="J18" s="176"/>
      <c r="N18" s="345" t="s">
        <v>169</v>
      </c>
      <c r="O18" s="196">
        <f>O8*O38</f>
        <v>336794.89490877365</v>
      </c>
      <c r="P18" s="176"/>
      <c r="Q18" s="346"/>
      <c r="R18" s="178"/>
      <c r="S18" s="176"/>
      <c r="T18" s="176"/>
      <c r="U18" s="240">
        <v>7191</v>
      </c>
      <c r="V18" s="176"/>
      <c r="X18" s="362"/>
      <c r="Y18" s="345" t="s">
        <v>169</v>
      </c>
      <c r="Z18" s="196">
        <f>Z8*Z38</f>
        <v>354819.53978877375</v>
      </c>
      <c r="AA18" s="176"/>
      <c r="AB18" s="346"/>
      <c r="AC18" s="178"/>
      <c r="AD18" s="176"/>
      <c r="AE18" s="176"/>
      <c r="AF18" s="240">
        <v>7191</v>
      </c>
      <c r="AG18" s="176"/>
      <c r="AJ18" s="345" t="s">
        <v>169</v>
      </c>
      <c r="AK18" s="196">
        <f>AK8*AK38</f>
        <v>341466.00569877372</v>
      </c>
      <c r="AL18" s="176"/>
      <c r="AM18" s="346"/>
      <c r="AN18" s="178"/>
      <c r="AO18" s="176"/>
      <c r="AP18" s="176"/>
      <c r="AQ18" s="240">
        <v>6523</v>
      </c>
      <c r="AR18" s="176" t="s">
        <v>433</v>
      </c>
    </row>
    <row r="19" spans="1:45" ht="13.5" thickBot="1" x14ac:dyDescent="0.25">
      <c r="A19" s="176"/>
      <c r="B19" s="226" t="s">
        <v>172</v>
      </c>
      <c r="C19" s="198">
        <f>C18-C17</f>
        <v>0</v>
      </c>
      <c r="D19" s="176"/>
      <c r="E19" s="224"/>
      <c r="F19" s="178"/>
      <c r="G19" s="176"/>
      <c r="H19" s="176"/>
      <c r="I19" s="176"/>
      <c r="J19" s="176"/>
      <c r="N19" s="347" t="s">
        <v>170</v>
      </c>
      <c r="O19" s="197">
        <f>O18*(1+O9)</f>
        <v>336794.89490877365</v>
      </c>
      <c r="P19" s="178" t="s">
        <v>171</v>
      </c>
      <c r="Q19" s="346"/>
      <c r="R19" s="178"/>
      <c r="S19" s="176"/>
      <c r="T19" s="176"/>
      <c r="U19" s="176" t="s">
        <v>424</v>
      </c>
      <c r="V19" s="176"/>
      <c r="W19" s="222">
        <v>187920</v>
      </c>
      <c r="X19" s="362"/>
      <c r="Y19" s="347" t="s">
        <v>170</v>
      </c>
      <c r="Z19" s="197">
        <f>Z18*(1+Z9)</f>
        <v>354819.53978877375</v>
      </c>
      <c r="AA19" s="178" t="s">
        <v>171</v>
      </c>
      <c r="AB19" s="346"/>
      <c r="AC19" s="178"/>
      <c r="AD19" s="176"/>
      <c r="AE19" s="176"/>
      <c r="AF19" s="176" t="s">
        <v>429</v>
      </c>
      <c r="AG19" s="176"/>
      <c r="AH19" s="222">
        <v>203760</v>
      </c>
      <c r="AJ19" s="347" t="s">
        <v>170</v>
      </c>
      <c r="AK19" s="197">
        <f>AK18*(1+AK9)</f>
        <v>341466.00569877372</v>
      </c>
      <c r="AL19" s="178" t="s">
        <v>171</v>
      </c>
      <c r="AM19" s="346"/>
      <c r="AN19" s="178"/>
      <c r="AO19" s="176"/>
      <c r="AP19" s="176"/>
      <c r="AQ19" s="176" t="s">
        <v>434</v>
      </c>
      <c r="AR19" s="176"/>
      <c r="AS19" s="222">
        <v>193875</v>
      </c>
    </row>
    <row r="20" spans="1:45" ht="18.75" thickBot="1" x14ac:dyDescent="0.3">
      <c r="A20" s="176"/>
      <c r="B20" s="180"/>
      <c r="C20" s="199"/>
      <c r="D20" s="176"/>
      <c r="E20" s="224"/>
      <c r="F20" s="178"/>
      <c r="G20" s="176"/>
      <c r="H20" s="176"/>
      <c r="I20" s="176"/>
      <c r="J20" s="176"/>
      <c r="N20" s="348" t="s">
        <v>172</v>
      </c>
      <c r="O20" s="198">
        <f>O19-O18</f>
        <v>0</v>
      </c>
      <c r="P20" s="176"/>
      <c r="Q20" s="346"/>
      <c r="R20" s="178"/>
      <c r="S20" s="176"/>
      <c r="T20" s="176"/>
      <c r="U20" s="176"/>
      <c r="V20" s="176"/>
      <c r="W20" s="222">
        <f>W19/O34</f>
        <v>31.689713322091063</v>
      </c>
      <c r="X20" s="362"/>
      <c r="Y20" s="348" t="s">
        <v>172</v>
      </c>
      <c r="Z20" s="198">
        <f>Z19-Z18</f>
        <v>0</v>
      </c>
      <c r="AA20" s="176"/>
      <c r="AB20" s="346"/>
      <c r="AC20" s="178"/>
      <c r="AD20" s="176"/>
      <c r="AE20" s="176"/>
      <c r="AF20" s="176"/>
      <c r="AG20" s="176"/>
      <c r="AH20" s="222">
        <f>AH19/Z34</f>
        <v>34.360876897133224</v>
      </c>
      <c r="AJ20" s="348" t="s">
        <v>172</v>
      </c>
      <c r="AK20" s="198">
        <f>AK19-AK18</f>
        <v>0</v>
      </c>
      <c r="AL20" s="176"/>
      <c r="AM20" s="346"/>
      <c r="AN20" s="178"/>
      <c r="AO20" s="176"/>
      <c r="AP20" s="176"/>
      <c r="AQ20" s="176"/>
      <c r="AR20" s="176"/>
      <c r="AS20" s="222">
        <f>AS19/AK34</f>
        <v>32.693929173693085</v>
      </c>
    </row>
    <row r="21" spans="1:45" ht="18" x14ac:dyDescent="0.25">
      <c r="A21" s="176"/>
      <c r="B21" s="180" t="s">
        <v>156</v>
      </c>
      <c r="C21" s="176"/>
      <c r="D21" s="176"/>
      <c r="E21" s="227"/>
      <c r="F21" s="104"/>
      <c r="G21" s="104"/>
      <c r="H21" s="178"/>
      <c r="I21" s="176"/>
      <c r="J21" s="176"/>
      <c r="N21" s="340"/>
      <c r="O21" s="199"/>
      <c r="P21" s="176"/>
      <c r="Q21" s="346"/>
      <c r="R21" s="178"/>
      <c r="S21" s="176"/>
      <c r="T21" s="176"/>
      <c r="U21" s="176"/>
      <c r="V21" s="176"/>
      <c r="W21" s="369"/>
      <c r="X21" s="362"/>
      <c r="Y21" s="340"/>
      <c r="Z21" s="199"/>
      <c r="AA21" s="176"/>
      <c r="AB21" s="346"/>
      <c r="AC21" s="178"/>
      <c r="AD21" s="176"/>
      <c r="AE21" s="176"/>
      <c r="AF21" s="176"/>
      <c r="AG21" s="176"/>
      <c r="AH21" s="369"/>
      <c r="AJ21" s="340"/>
      <c r="AK21" s="199"/>
      <c r="AL21" s="176"/>
      <c r="AM21" s="346"/>
      <c r="AN21" s="178"/>
      <c r="AO21" s="176"/>
      <c r="AP21" s="176"/>
      <c r="AQ21" s="176"/>
      <c r="AR21" s="176"/>
      <c r="AS21" s="369"/>
    </row>
    <row r="22" spans="1:45" ht="18" x14ac:dyDescent="0.25">
      <c r="A22" s="176"/>
      <c r="B22" s="183" t="s">
        <v>202</v>
      </c>
      <c r="C22" s="176"/>
      <c r="D22" s="176"/>
      <c r="E22" s="224" t="s">
        <v>173</v>
      </c>
      <c r="F22" s="176"/>
      <c r="G22" s="200"/>
      <c r="H22" s="176"/>
      <c r="I22" s="176"/>
      <c r="J22" s="176"/>
      <c r="N22" s="340" t="s">
        <v>156</v>
      </c>
      <c r="O22" s="176"/>
      <c r="P22" s="176"/>
      <c r="Q22" s="349"/>
      <c r="R22" s="104"/>
      <c r="S22" s="104"/>
      <c r="T22" s="178"/>
      <c r="U22" s="176"/>
      <c r="V22" s="176"/>
      <c r="W22" s="338"/>
      <c r="Y22" s="340" t="s">
        <v>156</v>
      </c>
      <c r="Z22" s="176"/>
      <c r="AA22" s="176"/>
      <c r="AB22" s="349"/>
      <c r="AC22" s="104"/>
      <c r="AD22" s="104"/>
      <c r="AE22" s="178"/>
      <c r="AF22" s="176"/>
      <c r="AG22" s="176"/>
      <c r="AH22" s="338"/>
      <c r="AJ22" s="340" t="s">
        <v>156</v>
      </c>
      <c r="AK22" s="176"/>
      <c r="AL22" s="176"/>
      <c r="AM22" s="349"/>
      <c r="AN22" s="104"/>
      <c r="AO22" s="104"/>
      <c r="AP22" s="178"/>
      <c r="AQ22" s="176"/>
      <c r="AR22" s="176"/>
      <c r="AS22" s="338"/>
    </row>
    <row r="23" spans="1:45" x14ac:dyDescent="0.2">
      <c r="A23" s="176"/>
      <c r="B23" s="176" t="s">
        <v>174</v>
      </c>
      <c r="C23" s="176"/>
      <c r="D23" s="176"/>
      <c r="E23" s="176" t="s">
        <v>175</v>
      </c>
      <c r="F23" s="228">
        <f>SUM(C9)</f>
        <v>0</v>
      </c>
      <c r="G23" s="178" t="s">
        <v>176</v>
      </c>
      <c r="H23" s="176" t="s">
        <v>177</v>
      </c>
      <c r="I23" s="191">
        <f>C10</f>
        <v>55</v>
      </c>
      <c r="J23" s="176"/>
      <c r="N23" s="350" t="s">
        <v>415</v>
      </c>
      <c r="O23" s="176"/>
      <c r="P23" s="176"/>
      <c r="Q23" s="346" t="s">
        <v>173</v>
      </c>
      <c r="R23" s="176"/>
      <c r="S23" s="200"/>
      <c r="T23" s="176"/>
      <c r="U23" s="176"/>
      <c r="V23" s="176"/>
      <c r="W23" s="338"/>
      <c r="Y23" s="350" t="s">
        <v>415</v>
      </c>
      <c r="Z23" s="176"/>
      <c r="AA23" s="176"/>
      <c r="AB23" s="346" t="s">
        <v>173</v>
      </c>
      <c r="AC23" s="176"/>
      <c r="AD23" s="200"/>
      <c r="AE23" s="176"/>
      <c r="AF23" s="176"/>
      <c r="AG23" s="176"/>
      <c r="AH23" s="338"/>
      <c r="AJ23" s="350" t="s">
        <v>415</v>
      </c>
      <c r="AK23" s="176"/>
      <c r="AL23" s="176"/>
      <c r="AM23" s="346" t="s">
        <v>173</v>
      </c>
      <c r="AN23" s="176"/>
      <c r="AO23" s="200"/>
      <c r="AP23" s="176"/>
      <c r="AQ23" s="176"/>
      <c r="AR23" s="176"/>
      <c r="AS23" s="338"/>
    </row>
    <row r="24" spans="1:45" x14ac:dyDescent="0.2">
      <c r="A24" s="176"/>
      <c r="B24" s="176" t="s">
        <v>203</v>
      </c>
      <c r="C24" s="176">
        <f>C11</f>
        <v>1467</v>
      </c>
      <c r="D24" s="176" t="s">
        <v>46</v>
      </c>
      <c r="E24" s="229">
        <f>H9</f>
        <v>2.4379999999999997</v>
      </c>
      <c r="F24" s="230">
        <f>C24*E24</f>
        <v>3576.5459999999994</v>
      </c>
      <c r="G24" s="200">
        <f>C24/10</f>
        <v>146.69999999999999</v>
      </c>
      <c r="H24" s="229">
        <f>G24*$I$23</f>
        <v>8068.4999999999991</v>
      </c>
      <c r="I24" s="176"/>
      <c r="J24" s="176"/>
      <c r="N24" s="344" t="s">
        <v>174</v>
      </c>
      <c r="O24" s="176"/>
      <c r="P24" s="176"/>
      <c r="Q24" s="176" t="s">
        <v>175</v>
      </c>
      <c r="R24" s="351">
        <f>SUM(O10)</f>
        <v>0</v>
      </c>
      <c r="S24" s="178" t="s">
        <v>176</v>
      </c>
      <c r="T24" s="176" t="s">
        <v>177</v>
      </c>
      <c r="U24" s="191">
        <f>O11</f>
        <v>55</v>
      </c>
      <c r="V24" s="176"/>
      <c r="W24" s="338"/>
      <c r="Y24" s="344" t="s">
        <v>174</v>
      </c>
      <c r="Z24" s="176"/>
      <c r="AA24" s="176"/>
      <c r="AB24" s="176" t="s">
        <v>175</v>
      </c>
      <c r="AC24" s="351">
        <f>SUM(Z10)</f>
        <v>0</v>
      </c>
      <c r="AD24" s="178" t="s">
        <v>176</v>
      </c>
      <c r="AE24" s="176" t="s">
        <v>177</v>
      </c>
      <c r="AF24" s="191">
        <f>Z11</f>
        <v>55</v>
      </c>
      <c r="AG24" s="176"/>
      <c r="AH24" s="338"/>
      <c r="AJ24" s="344" t="s">
        <v>174</v>
      </c>
      <c r="AK24" s="176"/>
      <c r="AL24" s="176"/>
      <c r="AM24" s="176" t="s">
        <v>175</v>
      </c>
      <c r="AN24" s="351">
        <f>SUM(AK10)</f>
        <v>0</v>
      </c>
      <c r="AO24" s="178" t="s">
        <v>176</v>
      </c>
      <c r="AP24" s="176" t="s">
        <v>177</v>
      </c>
      <c r="AQ24" s="191">
        <f>AK11</f>
        <v>55</v>
      </c>
      <c r="AR24" s="176"/>
      <c r="AS24" s="338"/>
    </row>
    <row r="25" spans="1:45" x14ac:dyDescent="0.2">
      <c r="A25" s="176"/>
      <c r="B25" s="176" t="s">
        <v>204</v>
      </c>
      <c r="C25" s="199">
        <f>C7*90%</f>
        <v>4803.3</v>
      </c>
      <c r="D25" s="176" t="s">
        <v>46</v>
      </c>
      <c r="E25" s="229">
        <f>H10</f>
        <v>3.3234999999999997</v>
      </c>
      <c r="F25" s="230">
        <f>C25*E25</f>
        <v>15963.767549999999</v>
      </c>
      <c r="G25" s="200">
        <f>C25/23</f>
        <v>208.83913043478262</v>
      </c>
      <c r="H25" s="229">
        <f>G25*$I$23</f>
        <v>11486.152173913044</v>
      </c>
      <c r="I25" s="176"/>
      <c r="J25" s="176"/>
      <c r="N25" s="344" t="s">
        <v>416</v>
      </c>
      <c r="O25" s="352">
        <f>O12</f>
        <v>1224</v>
      </c>
      <c r="P25" s="176" t="s">
        <v>46</v>
      </c>
      <c r="Q25" s="353">
        <f>T10</f>
        <v>2.4379999999999997</v>
      </c>
      <c r="R25" s="354">
        <f t="shared" ref="R25:R30" si="0">O25*Q25</f>
        <v>2984.1119999999996</v>
      </c>
      <c r="S25" s="355">
        <f>O25/10</f>
        <v>122.4</v>
      </c>
      <c r="T25" s="353">
        <f>S25*$U$24</f>
        <v>6732</v>
      </c>
      <c r="U25" s="176"/>
      <c r="V25" s="176"/>
      <c r="W25" s="338"/>
      <c r="Y25" s="344" t="s">
        <v>416</v>
      </c>
      <c r="Z25" s="352">
        <f>Z12</f>
        <v>1224</v>
      </c>
      <c r="AA25" s="176" t="s">
        <v>46</v>
      </c>
      <c r="AB25" s="353">
        <f>AE10</f>
        <v>2.5299999999999998</v>
      </c>
      <c r="AC25" s="354">
        <f t="shared" ref="AC25:AC30" si="1">Z25*AB25</f>
        <v>3096.72</v>
      </c>
      <c r="AD25" s="355">
        <f>Z25/10</f>
        <v>122.4</v>
      </c>
      <c r="AE25" s="353">
        <f>AD25*$U$24</f>
        <v>6732</v>
      </c>
      <c r="AF25" s="176"/>
      <c r="AG25" s="176"/>
      <c r="AH25" s="338"/>
      <c r="AJ25" s="344" t="s">
        <v>416</v>
      </c>
      <c r="AK25" s="352">
        <f>AK12</f>
        <v>1224</v>
      </c>
      <c r="AL25" s="176" t="s">
        <v>46</v>
      </c>
      <c r="AM25" s="353">
        <f>AP10</f>
        <v>2.5299999999999998</v>
      </c>
      <c r="AN25" s="354">
        <f t="shared" ref="AN25:AN30" si="2">AK25*AM25</f>
        <v>3096.72</v>
      </c>
      <c r="AO25" s="355">
        <f>AK25/10</f>
        <v>122.4</v>
      </c>
      <c r="AP25" s="353">
        <f>AO25*$U$24</f>
        <v>6732</v>
      </c>
      <c r="AQ25" s="176"/>
      <c r="AR25" s="176"/>
      <c r="AS25" s="338"/>
    </row>
    <row r="26" spans="1:45" x14ac:dyDescent="0.2">
      <c r="A26" s="176"/>
      <c r="B26" s="176" t="s">
        <v>205</v>
      </c>
      <c r="C26" s="201">
        <f>C7*180%</f>
        <v>9606.6</v>
      </c>
      <c r="D26" s="176" t="s">
        <v>46</v>
      </c>
      <c r="E26" s="229">
        <f>H11</f>
        <v>3.0129999999999999</v>
      </c>
      <c r="F26" s="230">
        <f>C26*E26</f>
        <v>28944.685799999999</v>
      </c>
      <c r="G26" s="200">
        <f>C26/23</f>
        <v>417.67826086956524</v>
      </c>
      <c r="H26" s="229">
        <f>G26*$I$23</f>
        <v>22972.304347826088</v>
      </c>
      <c r="I26" s="176"/>
      <c r="J26" s="176"/>
      <c r="N26" s="344" t="s">
        <v>417</v>
      </c>
      <c r="O26" s="199">
        <f>(O8/1.5)*1.07</f>
        <v>3807.0600000000004</v>
      </c>
      <c r="P26" s="176" t="s">
        <v>46</v>
      </c>
      <c r="Q26" s="353">
        <f>T11</f>
        <v>3.3234999999999997</v>
      </c>
      <c r="R26" s="354">
        <f t="shared" si="0"/>
        <v>12652.76391</v>
      </c>
      <c r="S26" s="355">
        <f>O26/23</f>
        <v>165.52434782608697</v>
      </c>
      <c r="T26" s="353">
        <f>S26*$U$24</f>
        <v>9103.8391304347824</v>
      </c>
      <c r="U26" s="176"/>
      <c r="V26" s="176"/>
      <c r="W26" s="338"/>
      <c r="Y26" s="344" t="s">
        <v>417</v>
      </c>
      <c r="Z26" s="199">
        <f>(Z8/1.5)*1.07</f>
        <v>3807.0600000000004</v>
      </c>
      <c r="AA26" s="176" t="s">
        <v>46</v>
      </c>
      <c r="AB26" s="353">
        <f>AE11</f>
        <v>3.4614999999999996</v>
      </c>
      <c r="AC26" s="354">
        <f t="shared" si="1"/>
        <v>13178.13819</v>
      </c>
      <c r="AD26" s="355">
        <f>Z26/23</f>
        <v>165.52434782608697</v>
      </c>
      <c r="AE26" s="353">
        <f>AD26*$U$24</f>
        <v>9103.8391304347824</v>
      </c>
      <c r="AF26" s="176"/>
      <c r="AG26" s="176"/>
      <c r="AH26" s="338"/>
      <c r="AJ26" s="344" t="s">
        <v>417</v>
      </c>
      <c r="AK26" s="199">
        <f>(AK8/1.5)*1.07</f>
        <v>3807.0600000000004</v>
      </c>
      <c r="AL26" s="176" t="s">
        <v>46</v>
      </c>
      <c r="AM26" s="353">
        <f>AP11</f>
        <v>3.4499999999999997</v>
      </c>
      <c r="AN26" s="354">
        <f t="shared" si="2"/>
        <v>13134.357</v>
      </c>
      <c r="AO26" s="355">
        <f>AK26/23</f>
        <v>165.52434782608697</v>
      </c>
      <c r="AP26" s="353">
        <f>AO26*$U$24</f>
        <v>9103.8391304347824</v>
      </c>
      <c r="AQ26" s="176"/>
      <c r="AR26" s="176"/>
      <c r="AS26" s="338"/>
    </row>
    <row r="27" spans="1:45" x14ac:dyDescent="0.2">
      <c r="A27" s="176"/>
      <c r="B27" s="176" t="s">
        <v>178</v>
      </c>
      <c r="C27" s="176">
        <f>ROUND(C7/200, 0)</f>
        <v>27</v>
      </c>
      <c r="D27" s="176" t="s">
        <v>179</v>
      </c>
      <c r="E27" s="229">
        <v>100</v>
      </c>
      <c r="F27" s="230">
        <f>C27*E27</f>
        <v>2700</v>
      </c>
      <c r="G27" s="176"/>
      <c r="H27" s="229"/>
      <c r="I27" s="176"/>
      <c r="J27" s="176"/>
      <c r="N27" s="344" t="s">
        <v>418</v>
      </c>
      <c r="O27" s="356">
        <f>O8*180%</f>
        <v>9606.6</v>
      </c>
      <c r="P27" s="176" t="s">
        <v>46</v>
      </c>
      <c r="Q27" s="353">
        <f>T12</f>
        <v>4.0594999999999999</v>
      </c>
      <c r="R27" s="354">
        <f>O27*Q27</f>
        <v>38997.992700000003</v>
      </c>
      <c r="S27" s="355">
        <f>O27/23</f>
        <v>417.67826086956524</v>
      </c>
      <c r="T27" s="353">
        <f>S27*$U$24</f>
        <v>22972.304347826088</v>
      </c>
      <c r="U27" s="176"/>
      <c r="V27" s="176"/>
      <c r="W27" s="338"/>
      <c r="Y27" s="344" t="s">
        <v>418</v>
      </c>
      <c r="Z27" s="356">
        <f>Z8*180%</f>
        <v>9606.6</v>
      </c>
      <c r="AA27" s="176" t="s">
        <v>46</v>
      </c>
      <c r="AB27" s="353">
        <f>AE12</f>
        <v>4.2204999999999995</v>
      </c>
      <c r="AC27" s="354">
        <f t="shared" si="1"/>
        <v>40544.655299999999</v>
      </c>
      <c r="AD27" s="355">
        <f>Z27/23</f>
        <v>417.67826086956524</v>
      </c>
      <c r="AE27" s="353">
        <f>AD27*$U$24</f>
        <v>22972.304347826088</v>
      </c>
      <c r="AF27" s="176"/>
      <c r="AG27" s="176"/>
      <c r="AH27" s="338"/>
      <c r="AJ27" s="344" t="s">
        <v>418</v>
      </c>
      <c r="AK27" s="356">
        <f>AK8*180%</f>
        <v>9606.6</v>
      </c>
      <c r="AL27" s="176" t="s">
        <v>46</v>
      </c>
      <c r="AM27" s="353">
        <f>AP12</f>
        <v>3.8639999999999994</v>
      </c>
      <c r="AN27" s="354">
        <f t="shared" si="2"/>
        <v>37119.902399999999</v>
      </c>
      <c r="AO27" s="355">
        <f>AK27/23</f>
        <v>417.67826086956524</v>
      </c>
      <c r="AP27" s="353">
        <f>AO27*$U$24</f>
        <v>22972.304347826088</v>
      </c>
      <c r="AQ27" s="176"/>
      <c r="AR27" s="176"/>
      <c r="AS27" s="338"/>
    </row>
    <row r="28" spans="1:45" x14ac:dyDescent="0.2">
      <c r="A28" s="176"/>
      <c r="B28" s="176" t="s">
        <v>180</v>
      </c>
      <c r="C28" s="200">
        <f>C7*66%</f>
        <v>3522.42</v>
      </c>
      <c r="D28" s="176" t="s">
        <v>179</v>
      </c>
      <c r="E28" s="229">
        <v>3</v>
      </c>
      <c r="F28" s="230">
        <f>C28*E28</f>
        <v>10567.26</v>
      </c>
      <c r="G28" s="200">
        <f>C28/13</f>
        <v>270.95538461538462</v>
      </c>
      <c r="H28" s="231">
        <f>G28*$I$23</f>
        <v>14902.546153846153</v>
      </c>
      <c r="I28" s="176"/>
      <c r="J28" s="176"/>
      <c r="N28" s="344" t="s">
        <v>419</v>
      </c>
      <c r="O28" s="201">
        <f>SUM(O12/2)/0.9</f>
        <v>680</v>
      </c>
      <c r="P28" s="176" t="s">
        <v>420</v>
      </c>
      <c r="Q28" s="353">
        <f>T14</f>
        <v>2.2654999999999998</v>
      </c>
      <c r="R28" s="354">
        <f t="shared" si="0"/>
        <v>1540.54</v>
      </c>
      <c r="S28" s="355">
        <f>O28/30</f>
        <v>22.666666666666668</v>
      </c>
      <c r="T28" s="353">
        <f>S28*$U$24</f>
        <v>1246.6666666666667</v>
      </c>
      <c r="U28" s="176"/>
      <c r="V28" s="176"/>
      <c r="W28" s="338"/>
      <c r="Y28" s="344" t="s">
        <v>419</v>
      </c>
      <c r="Z28" s="201">
        <f>SUM(Z12/2)/0.9</f>
        <v>680</v>
      </c>
      <c r="AA28" s="176" t="s">
        <v>420</v>
      </c>
      <c r="AB28" s="353">
        <f>AE14</f>
        <v>2.2654999999999998</v>
      </c>
      <c r="AC28" s="354">
        <f t="shared" si="1"/>
        <v>1540.54</v>
      </c>
      <c r="AD28" s="355">
        <f>Z28/30</f>
        <v>22.666666666666668</v>
      </c>
      <c r="AE28" s="353">
        <f>AD28*$U$24</f>
        <v>1246.6666666666667</v>
      </c>
      <c r="AF28" s="176"/>
      <c r="AG28" s="176"/>
      <c r="AH28" s="338"/>
      <c r="AJ28" s="344" t="s">
        <v>419</v>
      </c>
      <c r="AK28" s="201">
        <f>SUM(AK12/2)/0.9</f>
        <v>680</v>
      </c>
      <c r="AL28" s="176" t="s">
        <v>420</v>
      </c>
      <c r="AM28" s="353">
        <f>AP14</f>
        <v>2.2654999999999998</v>
      </c>
      <c r="AN28" s="354">
        <f t="shared" si="2"/>
        <v>1540.54</v>
      </c>
      <c r="AO28" s="355">
        <f>AK28/30</f>
        <v>22.666666666666668</v>
      </c>
      <c r="AP28" s="353">
        <f>AO28*$U$24</f>
        <v>1246.6666666666667</v>
      </c>
      <c r="AQ28" s="176"/>
      <c r="AR28" s="176"/>
      <c r="AS28" s="338"/>
    </row>
    <row r="29" spans="1:45" x14ac:dyDescent="0.2">
      <c r="A29" s="176"/>
      <c r="B29" s="176" t="s">
        <v>181</v>
      </c>
      <c r="C29" s="230">
        <f>F29+H29</f>
        <v>119181.76202558528</v>
      </c>
      <c r="D29" s="176"/>
      <c r="E29" s="104"/>
      <c r="F29" s="230">
        <f>SUM(F23:F28)</f>
        <v>61752.25935</v>
      </c>
      <c r="G29" s="176"/>
      <c r="H29" s="229">
        <f>SUM(H24:H28)</f>
        <v>57429.502675585289</v>
      </c>
      <c r="I29" s="176"/>
      <c r="J29" s="176"/>
      <c r="N29" s="344" t="s">
        <v>178</v>
      </c>
      <c r="O29" s="176">
        <f>ROUND(O8/200, 0)</f>
        <v>27</v>
      </c>
      <c r="P29" s="176" t="s">
        <v>179</v>
      </c>
      <c r="Q29" s="353">
        <v>115</v>
      </c>
      <c r="R29" s="354">
        <f t="shared" si="0"/>
        <v>3105</v>
      </c>
      <c r="S29" s="176"/>
      <c r="T29" s="353"/>
      <c r="U29" s="353">
        <f>T29*$I$21</f>
        <v>0</v>
      </c>
      <c r="V29" s="176"/>
      <c r="W29" s="338"/>
      <c r="Y29" s="344" t="s">
        <v>178</v>
      </c>
      <c r="Z29" s="176">
        <f>ROUND(Z8/200, 0)</f>
        <v>27</v>
      </c>
      <c r="AA29" s="176" t="s">
        <v>179</v>
      </c>
      <c r="AB29" s="353">
        <v>115</v>
      </c>
      <c r="AC29" s="354">
        <f t="shared" si="1"/>
        <v>3105</v>
      </c>
      <c r="AD29" s="176"/>
      <c r="AE29" s="353"/>
      <c r="AF29" s="353">
        <f>AE29*$I$21</f>
        <v>0</v>
      </c>
      <c r="AG29" s="176"/>
      <c r="AH29" s="338"/>
      <c r="AJ29" s="344" t="s">
        <v>178</v>
      </c>
      <c r="AK29" s="176">
        <f>ROUND(AK8/200, 0)</f>
        <v>27</v>
      </c>
      <c r="AL29" s="176" t="s">
        <v>179</v>
      </c>
      <c r="AM29" s="353">
        <v>115</v>
      </c>
      <c r="AN29" s="354">
        <f t="shared" si="2"/>
        <v>3105</v>
      </c>
      <c r="AO29" s="176"/>
      <c r="AP29" s="353"/>
      <c r="AQ29" s="353">
        <f>AP29*$I$21</f>
        <v>0</v>
      </c>
      <c r="AR29" s="176"/>
      <c r="AS29" s="338"/>
    </row>
    <row r="30" spans="1:45" x14ac:dyDescent="0.2">
      <c r="A30" s="176"/>
      <c r="B30" s="176"/>
      <c r="C30" s="232">
        <f>C29/C7</f>
        <v>22.331227660780453</v>
      </c>
      <c r="D30" s="183" t="s">
        <v>182</v>
      </c>
      <c r="E30" s="202" t="s">
        <v>183</v>
      </c>
      <c r="F30" s="105">
        <f>F29/C7</f>
        <v>11.570593844856662</v>
      </c>
      <c r="G30" s="203" t="s">
        <v>184</v>
      </c>
      <c r="H30" s="232">
        <f>H29/C7</f>
        <v>10.760633815923795</v>
      </c>
      <c r="I30" s="105">
        <f>H30/I23</f>
        <v>0.19564788756225082</v>
      </c>
      <c r="J30" s="176"/>
      <c r="N30" s="344" t="s">
        <v>180</v>
      </c>
      <c r="O30" s="200">
        <f>O8*66%</f>
        <v>3522.42</v>
      </c>
      <c r="P30" s="176" t="s">
        <v>179</v>
      </c>
      <c r="Q30" s="353">
        <v>1.5</v>
      </c>
      <c r="R30" s="354">
        <f t="shared" si="0"/>
        <v>5283.63</v>
      </c>
      <c r="S30" s="200">
        <f>O30/13</f>
        <v>270.95538461538462</v>
      </c>
      <c r="T30" s="353">
        <f>S30*$U$24</f>
        <v>14902.546153846153</v>
      </c>
      <c r="U30" s="176"/>
      <c r="V30" s="176"/>
      <c r="W30" s="338"/>
      <c r="Y30" s="344" t="s">
        <v>180</v>
      </c>
      <c r="Z30" s="200">
        <f>Z8*66%</f>
        <v>3522.42</v>
      </c>
      <c r="AA30" s="176" t="s">
        <v>179</v>
      </c>
      <c r="AB30" s="353">
        <v>1.5</v>
      </c>
      <c r="AC30" s="354">
        <f t="shared" si="1"/>
        <v>5283.63</v>
      </c>
      <c r="AD30" s="200">
        <f>Z30/13</f>
        <v>270.95538461538462</v>
      </c>
      <c r="AE30" s="353">
        <f>AD30*$U$24</f>
        <v>14902.546153846153</v>
      </c>
      <c r="AF30" s="176"/>
      <c r="AG30" s="176"/>
      <c r="AH30" s="338"/>
      <c r="AJ30" s="344" t="s">
        <v>180</v>
      </c>
      <c r="AK30" s="200">
        <f>AK8*66%</f>
        <v>3522.42</v>
      </c>
      <c r="AL30" s="176" t="s">
        <v>179</v>
      </c>
      <c r="AM30" s="353">
        <v>1.5</v>
      </c>
      <c r="AN30" s="354">
        <f t="shared" si="2"/>
        <v>5283.63</v>
      </c>
      <c r="AO30" s="200">
        <f>AK30/13</f>
        <v>270.95538461538462</v>
      </c>
      <c r="AP30" s="353">
        <f>AO30*$U$24</f>
        <v>14902.546153846153</v>
      </c>
      <c r="AQ30" s="176"/>
      <c r="AR30" s="176"/>
      <c r="AS30" s="338"/>
    </row>
    <row r="31" spans="1:45" x14ac:dyDescent="0.2">
      <c r="A31" s="176"/>
      <c r="B31" s="176"/>
      <c r="C31" s="176"/>
      <c r="D31" s="176"/>
      <c r="E31" s="183"/>
      <c r="F31" s="105"/>
      <c r="G31" s="176"/>
      <c r="H31" s="229"/>
      <c r="I31" s="176"/>
      <c r="J31" s="176"/>
      <c r="N31" s="344" t="s">
        <v>181</v>
      </c>
      <c r="O31" s="354">
        <f>R31+T31</f>
        <v>119521.39490877368</v>
      </c>
      <c r="P31" s="176"/>
      <c r="Q31" s="104"/>
      <c r="R31" s="354">
        <f>SUM(R24:R30)</f>
        <v>64564.038610000003</v>
      </c>
      <c r="S31" s="176"/>
      <c r="T31" s="353">
        <f>SUM(T25:T30)</f>
        <v>54957.356298773688</v>
      </c>
      <c r="U31" s="176"/>
      <c r="V31" s="176"/>
      <c r="W31" s="338"/>
      <c r="Y31" s="344" t="s">
        <v>181</v>
      </c>
      <c r="Z31" s="354">
        <f>AC31+AE31</f>
        <v>121706.03978877369</v>
      </c>
      <c r="AA31" s="176"/>
      <c r="AB31" s="104"/>
      <c r="AC31" s="354">
        <f>SUM(AC24:AC30)</f>
        <v>66748.683489999996</v>
      </c>
      <c r="AD31" s="176"/>
      <c r="AE31" s="353">
        <f>SUM(AE25:AE30)</f>
        <v>54957.356298773688</v>
      </c>
      <c r="AF31" s="176"/>
      <c r="AG31" s="176"/>
      <c r="AH31" s="338"/>
      <c r="AJ31" s="344" t="s">
        <v>181</v>
      </c>
      <c r="AK31" s="354">
        <f>AN31+AP31</f>
        <v>118237.50569877369</v>
      </c>
      <c r="AL31" s="176"/>
      <c r="AM31" s="104"/>
      <c r="AN31" s="354">
        <f>SUM(AN24:AN30)</f>
        <v>63280.149399999995</v>
      </c>
      <c r="AO31" s="176"/>
      <c r="AP31" s="353">
        <f>SUM(AP25:AP30)</f>
        <v>54957.356298773688</v>
      </c>
      <c r="AQ31" s="176"/>
      <c r="AR31" s="176"/>
      <c r="AS31" s="338"/>
    </row>
    <row r="32" spans="1:45" x14ac:dyDescent="0.2">
      <c r="A32" s="176"/>
      <c r="B32" s="176" t="s">
        <v>185</v>
      </c>
      <c r="C32" s="200">
        <f>C7/0.72</f>
        <v>7412.5</v>
      </c>
      <c r="D32" s="176" t="s">
        <v>179</v>
      </c>
      <c r="E32" s="229">
        <f>C13</f>
        <v>22.636897133220909</v>
      </c>
      <c r="F32" s="233">
        <f>C32*E32</f>
        <v>167796</v>
      </c>
      <c r="G32" s="201">
        <f>C7/10</f>
        <v>533.70000000000005</v>
      </c>
      <c r="H32" s="230">
        <f>G32*$I$23</f>
        <v>29353.500000000004</v>
      </c>
      <c r="I32" s="176"/>
      <c r="J32" s="176"/>
      <c r="N32" s="344"/>
      <c r="O32" s="357">
        <f>O31/O8</f>
        <v>22.394865075655552</v>
      </c>
      <c r="P32" s="183" t="s">
        <v>182</v>
      </c>
      <c r="Q32" s="202" t="s">
        <v>183</v>
      </c>
      <c r="R32" s="105">
        <f>R31/O8</f>
        <v>12.097440249203673</v>
      </c>
      <c r="S32" s="203" t="s">
        <v>184</v>
      </c>
      <c r="T32" s="357">
        <f>T31/O8</f>
        <v>10.297424826451881</v>
      </c>
      <c r="U32" s="105">
        <f>T32/U24</f>
        <v>0.18722590593548874</v>
      </c>
      <c r="V32" s="176"/>
      <c r="W32" s="338"/>
      <c r="Y32" s="344"/>
      <c r="Z32" s="357">
        <f>Z31/Z8</f>
        <v>22.804204569753363</v>
      </c>
      <c r="AA32" s="183" t="s">
        <v>182</v>
      </c>
      <c r="AB32" s="202" t="s">
        <v>183</v>
      </c>
      <c r="AC32" s="105">
        <f>AC31/Z8</f>
        <v>12.506779743301479</v>
      </c>
      <c r="AD32" s="203" t="s">
        <v>184</v>
      </c>
      <c r="AE32" s="357">
        <f>AE31/Z8</f>
        <v>10.297424826451881</v>
      </c>
      <c r="AF32" s="105">
        <f>AE32/AF24</f>
        <v>0.18722590593548874</v>
      </c>
      <c r="AG32" s="176"/>
      <c r="AH32" s="338"/>
      <c r="AJ32" s="344"/>
      <c r="AK32" s="357">
        <f>AK31/AK8</f>
        <v>22.154301236420029</v>
      </c>
      <c r="AL32" s="183" t="s">
        <v>182</v>
      </c>
      <c r="AM32" s="202" t="s">
        <v>183</v>
      </c>
      <c r="AN32" s="105">
        <f>AN31/AK8</f>
        <v>11.856876409968146</v>
      </c>
      <c r="AO32" s="203" t="s">
        <v>184</v>
      </c>
      <c r="AP32" s="357">
        <f>AP31/AK8</f>
        <v>10.297424826451881</v>
      </c>
      <c r="AQ32" s="105">
        <f>AP32/AQ24</f>
        <v>0.18722590593548874</v>
      </c>
      <c r="AR32" s="176"/>
      <c r="AS32" s="338"/>
    </row>
    <row r="33" spans="1:45" x14ac:dyDescent="0.2">
      <c r="A33" s="176"/>
      <c r="B33" s="176" t="s">
        <v>186</v>
      </c>
      <c r="C33" s="230">
        <f>F32+H32</f>
        <v>197149.5</v>
      </c>
      <c r="D33" s="176"/>
      <c r="E33" s="105" t="s">
        <v>28</v>
      </c>
      <c r="I33" s="183"/>
      <c r="J33" s="176"/>
      <c r="N33" s="344"/>
      <c r="O33" s="176"/>
      <c r="P33" s="176"/>
      <c r="Q33" s="183"/>
      <c r="R33" s="105"/>
      <c r="S33" s="176"/>
      <c r="T33" s="353"/>
      <c r="U33" s="176"/>
      <c r="V33" s="176"/>
      <c r="W33" s="338"/>
      <c r="Y33" s="344"/>
      <c r="Z33" s="176"/>
      <c r="AA33" s="176"/>
      <c r="AB33" s="183"/>
      <c r="AC33" s="105"/>
      <c r="AD33" s="176"/>
      <c r="AE33" s="353"/>
      <c r="AF33" s="176"/>
      <c r="AG33" s="176"/>
      <c r="AH33" s="338"/>
      <c r="AJ33" s="344"/>
      <c r="AK33" s="176"/>
      <c r="AL33" s="176"/>
      <c r="AM33" s="183"/>
      <c r="AN33" s="105"/>
      <c r="AO33" s="176"/>
      <c r="AP33" s="353"/>
      <c r="AQ33" s="176"/>
      <c r="AR33" s="176"/>
      <c r="AS33" s="338"/>
    </row>
    <row r="34" spans="1:45" x14ac:dyDescent="0.2">
      <c r="A34" s="176"/>
      <c r="B34" s="176"/>
      <c r="C34" s="232">
        <f>C33/C7</f>
        <v>36.940134907251263</v>
      </c>
      <c r="D34" s="176" t="s">
        <v>182</v>
      </c>
      <c r="E34" s="202" t="s">
        <v>183</v>
      </c>
      <c r="F34" s="105">
        <f>F32/C7</f>
        <v>31.440134907251263</v>
      </c>
      <c r="G34" s="203" t="s">
        <v>184</v>
      </c>
      <c r="H34" s="105">
        <f>H32/C7</f>
        <v>5.5000000000000009</v>
      </c>
      <c r="I34" s="183" t="s">
        <v>45</v>
      </c>
      <c r="J34" s="234">
        <f>H34/I23</f>
        <v>0.10000000000000002</v>
      </c>
      <c r="N34" s="344" t="s">
        <v>185</v>
      </c>
      <c r="O34" s="200">
        <f>O8/0.9</f>
        <v>5930</v>
      </c>
      <c r="P34" s="176" t="s">
        <v>179</v>
      </c>
      <c r="Q34" s="353">
        <f>O14</f>
        <v>31.689713322091063</v>
      </c>
      <c r="R34" s="358">
        <f>O34*Q34</f>
        <v>187920</v>
      </c>
      <c r="S34" s="201">
        <f>O8/10</f>
        <v>533.70000000000005</v>
      </c>
      <c r="T34" s="353">
        <f>S34*$U$24</f>
        <v>29353.500000000004</v>
      </c>
      <c r="U34" s="176"/>
      <c r="V34" s="176"/>
      <c r="W34" s="338"/>
      <c r="Y34" s="344" t="s">
        <v>185</v>
      </c>
      <c r="Z34" s="200">
        <f>Z8/0.9</f>
        <v>5930</v>
      </c>
      <c r="AA34" s="176" t="s">
        <v>179</v>
      </c>
      <c r="AB34" s="353">
        <f>Z14</f>
        <v>34.360876897133224</v>
      </c>
      <c r="AC34" s="358">
        <f>Z34*AB34</f>
        <v>203760.00000000003</v>
      </c>
      <c r="AD34" s="201">
        <f>Z8/10</f>
        <v>533.70000000000005</v>
      </c>
      <c r="AE34" s="353">
        <f>AD34*$U$24</f>
        <v>29353.500000000004</v>
      </c>
      <c r="AF34" s="176"/>
      <c r="AG34" s="176"/>
      <c r="AH34" s="338"/>
      <c r="AJ34" s="344" t="s">
        <v>185</v>
      </c>
      <c r="AK34" s="200">
        <f>AK8/0.9</f>
        <v>5930</v>
      </c>
      <c r="AL34" s="176" t="s">
        <v>179</v>
      </c>
      <c r="AM34" s="353">
        <f>AK14</f>
        <v>32.693929173693085</v>
      </c>
      <c r="AN34" s="358">
        <f>AK34*AM34</f>
        <v>193875</v>
      </c>
      <c r="AO34" s="201">
        <f>AK8/10</f>
        <v>533.70000000000005</v>
      </c>
      <c r="AP34" s="353">
        <f>AO34*$U$24</f>
        <v>29353.500000000004</v>
      </c>
      <c r="AQ34" s="176"/>
      <c r="AR34" s="176"/>
      <c r="AS34" s="338"/>
    </row>
    <row r="35" spans="1:45" x14ac:dyDescent="0.2">
      <c r="A35" s="176"/>
      <c r="B35" s="176"/>
      <c r="C35" s="230"/>
      <c r="D35" s="176"/>
      <c r="E35" s="104"/>
      <c r="F35" s="176"/>
      <c r="G35" s="204">
        <f>SUM(G24:G32)</f>
        <v>1577.8727759197325</v>
      </c>
      <c r="H35" s="105" t="s">
        <v>187</v>
      </c>
      <c r="I35" s="176"/>
      <c r="J35" s="176"/>
      <c r="N35" s="344" t="s">
        <v>186</v>
      </c>
      <c r="O35" s="354">
        <f>R34+T34</f>
        <v>217273.5</v>
      </c>
      <c r="P35" s="176"/>
      <c r="Q35" s="105" t="s">
        <v>28</v>
      </c>
      <c r="U35" s="183"/>
      <c r="V35" s="176"/>
      <c r="W35" s="338"/>
      <c r="Y35" s="344" t="s">
        <v>186</v>
      </c>
      <c r="Z35" s="354">
        <f>AC34+AE34</f>
        <v>233113.50000000003</v>
      </c>
      <c r="AA35" s="176"/>
      <c r="AB35" s="105" t="s">
        <v>28</v>
      </c>
      <c r="AF35" s="183"/>
      <c r="AG35" s="176"/>
      <c r="AH35" s="338"/>
      <c r="AJ35" s="344" t="s">
        <v>186</v>
      </c>
      <c r="AK35" s="354">
        <f>AN34+AP34</f>
        <v>223228.5</v>
      </c>
      <c r="AL35" s="176"/>
      <c r="AM35" s="105" t="s">
        <v>28</v>
      </c>
      <c r="AQ35" s="183"/>
      <c r="AR35" s="176"/>
      <c r="AS35" s="338"/>
    </row>
    <row r="36" spans="1:45" ht="15" x14ac:dyDescent="0.2">
      <c r="A36" s="176"/>
      <c r="B36" s="235" t="s">
        <v>188</v>
      </c>
      <c r="C36" s="236">
        <f>C30+C34</f>
        <v>59.271362568031719</v>
      </c>
      <c r="D36" s="176" t="s">
        <v>182</v>
      </c>
      <c r="E36" s="176"/>
      <c r="F36" s="176"/>
      <c r="I36" s="176"/>
      <c r="J36" s="176"/>
      <c r="N36" s="344"/>
      <c r="O36" s="357">
        <f>O35/O8</f>
        <v>40.710792580101177</v>
      </c>
      <c r="P36" s="176" t="s">
        <v>182</v>
      </c>
      <c r="Q36" s="202" t="s">
        <v>183</v>
      </c>
      <c r="R36" s="105">
        <f>R34/O8</f>
        <v>35.210792580101177</v>
      </c>
      <c r="S36" s="203" t="s">
        <v>184</v>
      </c>
      <c r="T36" s="105">
        <f>T34/O8</f>
        <v>5.5000000000000009</v>
      </c>
      <c r="U36" s="183" t="s">
        <v>45</v>
      </c>
      <c r="V36" s="370">
        <f>T36/U24</f>
        <v>0.10000000000000002</v>
      </c>
      <c r="W36" s="338"/>
      <c r="Y36" s="344"/>
      <c r="Z36" s="357">
        <f>Z35/Z8</f>
        <v>43.67875210792581</v>
      </c>
      <c r="AA36" s="176" t="s">
        <v>182</v>
      </c>
      <c r="AB36" s="202" t="s">
        <v>183</v>
      </c>
      <c r="AC36" s="105">
        <f>AC34/Z8</f>
        <v>38.17875210792581</v>
      </c>
      <c r="AD36" s="203" t="s">
        <v>184</v>
      </c>
      <c r="AE36" s="105">
        <f>AE34/Z8</f>
        <v>5.5000000000000009</v>
      </c>
      <c r="AF36" s="183" t="s">
        <v>45</v>
      </c>
      <c r="AG36" s="370">
        <f>AE36/AF24</f>
        <v>0.10000000000000002</v>
      </c>
      <c r="AH36" s="338"/>
      <c r="AJ36" s="344"/>
      <c r="AK36" s="357">
        <f>AK35/AK8</f>
        <v>41.826587970770099</v>
      </c>
      <c r="AL36" s="176" t="s">
        <v>182</v>
      </c>
      <c r="AM36" s="202" t="s">
        <v>183</v>
      </c>
      <c r="AN36" s="105">
        <f>AN34/AK8</f>
        <v>36.326587970770099</v>
      </c>
      <c r="AO36" s="203" t="s">
        <v>184</v>
      </c>
      <c r="AP36" s="105">
        <f>AP34/AK8</f>
        <v>5.5000000000000009</v>
      </c>
      <c r="AQ36" s="183" t="s">
        <v>45</v>
      </c>
      <c r="AR36" s="370">
        <f>AP36/AQ24</f>
        <v>0.10000000000000002</v>
      </c>
      <c r="AS36" s="338"/>
    </row>
    <row r="37" spans="1:45" x14ac:dyDescent="0.2">
      <c r="A37" s="176"/>
      <c r="B37" s="183"/>
      <c r="C37" s="205"/>
      <c r="D37" s="183"/>
      <c r="E37" s="176" t="s">
        <v>183</v>
      </c>
      <c r="F37" s="176"/>
      <c r="I37" s="176"/>
      <c r="J37" s="176"/>
      <c r="N37" s="344"/>
      <c r="O37" s="354"/>
      <c r="P37" s="176"/>
      <c r="Q37" s="104"/>
      <c r="R37" s="176"/>
      <c r="S37" s="204">
        <f>SUM(S25:S34)</f>
        <v>1532.9246599777034</v>
      </c>
      <c r="T37" s="105" t="s">
        <v>187</v>
      </c>
      <c r="U37" s="176"/>
      <c r="V37" s="176"/>
      <c r="W37" s="338"/>
      <c r="Y37" s="344"/>
      <c r="Z37" s="354"/>
      <c r="AA37" s="176"/>
      <c r="AB37" s="104"/>
      <c r="AC37" s="176"/>
      <c r="AD37" s="204">
        <f>SUM(AD25:AD34)</f>
        <v>1532.9246599777034</v>
      </c>
      <c r="AE37" s="105" t="s">
        <v>187</v>
      </c>
      <c r="AF37" s="176"/>
      <c r="AG37" s="176"/>
      <c r="AH37" s="338"/>
      <c r="AJ37" s="344"/>
      <c r="AK37" s="354"/>
      <c r="AL37" s="176"/>
      <c r="AM37" s="104"/>
      <c r="AN37" s="176"/>
      <c r="AO37" s="204">
        <f>SUM(AO25:AO34)</f>
        <v>1532.9246599777034</v>
      </c>
      <c r="AP37" s="105" t="s">
        <v>187</v>
      </c>
      <c r="AQ37" s="176"/>
      <c r="AR37" s="176"/>
      <c r="AS37" s="338"/>
    </row>
    <row r="38" spans="1:45" ht="15" x14ac:dyDescent="0.2">
      <c r="A38" s="176"/>
      <c r="B38" s="176"/>
      <c r="C38" s="176"/>
      <c r="D38" s="176"/>
      <c r="E38" s="184">
        <f>F32+F29</f>
        <v>229548.25935000001</v>
      </c>
      <c r="H38" s="70" t="s">
        <v>189</v>
      </c>
      <c r="I38" s="176"/>
      <c r="J38" s="176"/>
      <c r="N38" s="359" t="s">
        <v>188</v>
      </c>
      <c r="O38" s="360">
        <f>O32+O36</f>
        <v>63.10565765575673</v>
      </c>
      <c r="P38" s="176" t="s">
        <v>182</v>
      </c>
      <c r="Q38" s="176"/>
      <c r="R38" s="176"/>
      <c r="U38" s="176"/>
      <c r="V38" s="176"/>
      <c r="W38" s="338"/>
      <c r="Y38" s="359" t="s">
        <v>188</v>
      </c>
      <c r="Z38" s="360">
        <f>Z32+Z36</f>
        <v>66.482956677679169</v>
      </c>
      <c r="AA38" s="176" t="s">
        <v>182</v>
      </c>
      <c r="AB38" s="176"/>
      <c r="AC38" s="176"/>
      <c r="AF38" s="176"/>
      <c r="AG38" s="176"/>
      <c r="AH38" s="338"/>
      <c r="AJ38" s="359" t="s">
        <v>188</v>
      </c>
      <c r="AK38" s="360">
        <f>AK32+AK36</f>
        <v>63.980889207190131</v>
      </c>
      <c r="AL38" s="176" t="s">
        <v>182</v>
      </c>
      <c r="AM38" s="176"/>
      <c r="AN38" s="176"/>
      <c r="AQ38" s="176"/>
      <c r="AR38" s="176"/>
      <c r="AS38" s="338"/>
    </row>
    <row r="39" spans="1:45" ht="15" x14ac:dyDescent="0.25">
      <c r="A39" s="176"/>
      <c r="B39" s="176"/>
      <c r="C39" s="176"/>
      <c r="D39" s="206"/>
      <c r="E39" s="207">
        <f>F34+F30</f>
        <v>43.010728752107923</v>
      </c>
      <c r="F39" s="183" t="s">
        <v>45</v>
      </c>
      <c r="H39" s="208">
        <f>E39</f>
        <v>43.010728752107923</v>
      </c>
      <c r="I39" s="176" t="s">
        <v>45</v>
      </c>
      <c r="J39" s="176"/>
      <c r="N39" s="350"/>
      <c r="O39" s="205"/>
      <c r="P39" s="183"/>
      <c r="Q39" s="176" t="s">
        <v>183</v>
      </c>
      <c r="R39" s="176"/>
      <c r="U39" s="176"/>
      <c r="V39" s="176"/>
      <c r="W39" s="338"/>
      <c r="Y39" s="350"/>
      <c r="Z39" s="205"/>
      <c r="AA39" s="183"/>
      <c r="AB39" s="176" t="s">
        <v>183</v>
      </c>
      <c r="AC39" s="176"/>
      <c r="AF39" s="176"/>
      <c r="AG39" s="176"/>
      <c r="AH39" s="338"/>
      <c r="AJ39" s="350"/>
      <c r="AK39" s="205"/>
      <c r="AL39" s="183"/>
      <c r="AM39" s="176" t="s">
        <v>183</v>
      </c>
      <c r="AN39" s="176"/>
      <c r="AQ39" s="176"/>
      <c r="AR39" s="176"/>
      <c r="AS39" s="338"/>
    </row>
    <row r="40" spans="1:45" x14ac:dyDescent="0.2">
      <c r="A40" s="176"/>
      <c r="B40" s="176"/>
      <c r="C40" s="176"/>
      <c r="D40" s="176"/>
      <c r="E40" s="176" t="s">
        <v>190</v>
      </c>
      <c r="F40" s="176"/>
      <c r="I40" s="176"/>
      <c r="J40" s="176"/>
      <c r="N40" s="344"/>
      <c r="O40" s="176"/>
      <c r="P40" s="176"/>
      <c r="Q40" s="191">
        <f>R34+R31</f>
        <v>252484.03860999999</v>
      </c>
      <c r="T40" s="70" t="s">
        <v>189</v>
      </c>
      <c r="U40" s="176"/>
      <c r="V40" s="176"/>
      <c r="W40" s="338"/>
      <c r="Y40" s="344"/>
      <c r="Z40" s="176"/>
      <c r="AA40" s="176"/>
      <c r="AB40" s="191">
        <f>AC34+AC31</f>
        <v>270508.68349000002</v>
      </c>
      <c r="AE40" s="70" t="s">
        <v>189</v>
      </c>
      <c r="AF40" s="176"/>
      <c r="AG40" s="176"/>
      <c r="AH40" s="338"/>
      <c r="AJ40" s="344"/>
      <c r="AK40" s="176"/>
      <c r="AL40" s="176"/>
      <c r="AM40" s="191">
        <f>AN34+AN31</f>
        <v>257155.14939999999</v>
      </c>
      <c r="AP40" s="70" t="s">
        <v>189</v>
      </c>
      <c r="AQ40" s="176"/>
      <c r="AR40" s="176"/>
      <c r="AS40" s="338"/>
    </row>
    <row r="41" spans="1:45" ht="15" x14ac:dyDescent="0.25">
      <c r="A41" s="176"/>
      <c r="B41" s="176"/>
      <c r="C41" s="176"/>
      <c r="D41" s="176"/>
      <c r="E41" s="57">
        <f>H32+H29</f>
        <v>86783.002675585289</v>
      </c>
      <c r="H41" s="70" t="s">
        <v>191</v>
      </c>
      <c r="I41" s="176"/>
      <c r="J41" s="176"/>
      <c r="N41" s="344"/>
      <c r="O41" s="361">
        <f>Q41/Q46</f>
        <v>0.7496670597646361</v>
      </c>
      <c r="P41" s="206"/>
      <c r="Q41" s="207">
        <f>R36+R32</f>
        <v>47.308232829304849</v>
      </c>
      <c r="R41" s="183" t="s">
        <v>45</v>
      </c>
      <c r="T41" s="208">
        <f>Q41</f>
        <v>47.308232829304849</v>
      </c>
      <c r="U41" s="176" t="s">
        <v>45</v>
      </c>
      <c r="V41" s="176"/>
      <c r="W41" s="338"/>
      <c r="Y41" s="344"/>
      <c r="Z41" s="361">
        <f>AB41/AB46</f>
        <v>0.76238384067302367</v>
      </c>
      <c r="AA41" s="206"/>
      <c r="AB41" s="207">
        <f>AC36+AC32</f>
        <v>50.685531851227289</v>
      </c>
      <c r="AC41" s="183" t="s">
        <v>45</v>
      </c>
      <c r="AE41" s="208">
        <f>AB41</f>
        <v>50.685531851227289</v>
      </c>
      <c r="AF41" s="176" t="s">
        <v>45</v>
      </c>
      <c r="AG41" s="176"/>
      <c r="AH41" s="338"/>
      <c r="AJ41" s="344"/>
      <c r="AK41" s="361">
        <f>AM41/AM46</f>
        <v>0.75309150869574693</v>
      </c>
      <c r="AL41" s="206"/>
      <c r="AM41" s="207">
        <f>AN36+AN32</f>
        <v>48.183464380738243</v>
      </c>
      <c r="AN41" s="183" t="s">
        <v>45</v>
      </c>
      <c r="AP41" s="208">
        <f>AM41</f>
        <v>48.183464380738243</v>
      </c>
      <c r="AQ41" s="176" t="s">
        <v>45</v>
      </c>
      <c r="AR41" s="176"/>
      <c r="AS41" s="338"/>
    </row>
    <row r="42" spans="1:45" ht="15" x14ac:dyDescent="0.25">
      <c r="E42" s="106">
        <f>E41/C7</f>
        <v>16.260633815923793</v>
      </c>
      <c r="F42" s="209" t="s">
        <v>45</v>
      </c>
      <c r="H42" s="210">
        <f>E42</f>
        <v>16.260633815923793</v>
      </c>
      <c r="N42" s="344"/>
      <c r="O42" s="176"/>
      <c r="P42" s="176"/>
      <c r="Q42" s="176" t="s">
        <v>190</v>
      </c>
      <c r="R42" s="176"/>
      <c r="U42" s="176"/>
      <c r="V42" s="176"/>
      <c r="W42" s="338"/>
      <c r="Y42" s="344"/>
      <c r="Z42" s="176"/>
      <c r="AA42" s="176"/>
      <c r="AB42" s="176" t="s">
        <v>190</v>
      </c>
      <c r="AC42" s="176"/>
      <c r="AF42" s="176"/>
      <c r="AG42" s="176"/>
      <c r="AH42" s="338"/>
      <c r="AJ42" s="344"/>
      <c r="AK42" s="176"/>
      <c r="AL42" s="176"/>
      <c r="AM42" s="176" t="s">
        <v>190</v>
      </c>
      <c r="AN42" s="176"/>
      <c r="AQ42" s="176"/>
      <c r="AR42" s="176"/>
      <c r="AS42" s="338"/>
    </row>
    <row r="43" spans="1:45" x14ac:dyDescent="0.2">
      <c r="D43" s="70" t="s">
        <v>192</v>
      </c>
      <c r="N43" s="344"/>
      <c r="O43" s="176"/>
      <c r="P43" s="176"/>
      <c r="Q43" s="57">
        <f>T34+T31</f>
        <v>84310.856298773695</v>
      </c>
      <c r="T43" s="70" t="s">
        <v>191</v>
      </c>
      <c r="U43" s="176"/>
      <c r="V43" s="176"/>
      <c r="W43" s="338"/>
      <c r="Y43" s="344"/>
      <c r="Z43" s="176"/>
      <c r="AA43" s="176"/>
      <c r="AB43" s="57">
        <f>AE34+AE31</f>
        <v>84310.856298773695</v>
      </c>
      <c r="AE43" s="70" t="s">
        <v>191</v>
      </c>
      <c r="AF43" s="176"/>
      <c r="AG43" s="176"/>
      <c r="AH43" s="338"/>
      <c r="AJ43" s="344"/>
      <c r="AK43" s="176"/>
      <c r="AL43" s="176"/>
      <c r="AM43" s="57">
        <f>AP34+AP31</f>
        <v>84310.856298773695</v>
      </c>
      <c r="AP43" s="70" t="s">
        <v>191</v>
      </c>
      <c r="AQ43" s="176"/>
      <c r="AR43" s="176"/>
      <c r="AS43" s="338"/>
    </row>
    <row r="44" spans="1:45" ht="15.75" thickBot="1" x14ac:dyDescent="0.3">
      <c r="E44" s="211">
        <f>E39+E42</f>
        <v>59.271362568031719</v>
      </c>
      <c r="N44" s="362"/>
      <c r="O44" s="361">
        <f>Q44/Q46</f>
        <v>0.25033294023536384</v>
      </c>
      <c r="Q44" s="106">
        <f>T36+T32</f>
        <v>15.797424826451881</v>
      </c>
      <c r="R44" s="209" t="s">
        <v>45</v>
      </c>
      <c r="T44" s="210">
        <v>6.5</v>
      </c>
      <c r="W44" s="338"/>
      <c r="Y44" s="362"/>
      <c r="Z44" s="361">
        <f>AB44/AB46</f>
        <v>0.23761615932697636</v>
      </c>
      <c r="AB44" s="106">
        <f>AE36+AE32</f>
        <v>15.797424826451881</v>
      </c>
      <c r="AC44" s="209" t="s">
        <v>45</v>
      </c>
      <c r="AE44" s="210">
        <v>6.5</v>
      </c>
      <c r="AH44" s="338"/>
      <c r="AJ44" s="362"/>
      <c r="AK44" s="361">
        <f>AM44/AM46</f>
        <v>0.24690849130425305</v>
      </c>
      <c r="AM44" s="106">
        <f>AP36+AP32</f>
        <v>15.797424826451881</v>
      </c>
      <c r="AN44" s="209" t="s">
        <v>45</v>
      </c>
      <c r="AP44" s="210">
        <v>6.5</v>
      </c>
      <c r="AS44" s="338"/>
    </row>
    <row r="45" spans="1:45" ht="13.5" thickTop="1" x14ac:dyDescent="0.2">
      <c r="C45" s="70"/>
      <c r="D45" s="212" t="s">
        <v>193</v>
      </c>
      <c r="H45" s="210">
        <f>H39+H42</f>
        <v>59.271362568031719</v>
      </c>
      <c r="N45" s="362"/>
      <c r="P45" s="70" t="s">
        <v>192</v>
      </c>
      <c r="W45" s="338"/>
      <c r="Y45" s="362"/>
      <c r="AA45" s="70" t="s">
        <v>192</v>
      </c>
      <c r="AH45" s="338"/>
      <c r="AJ45" s="362"/>
      <c r="AL45" s="70" t="s">
        <v>192</v>
      </c>
      <c r="AS45" s="338"/>
    </row>
    <row r="46" spans="1:45" ht="13.5" thickBot="1" x14ac:dyDescent="0.25">
      <c r="H46" s="210">
        <f>E45-H45</f>
        <v>-59.271362568031719</v>
      </c>
      <c r="I46" t="s">
        <v>194</v>
      </c>
      <c r="N46" s="362"/>
      <c r="Q46" s="211">
        <f>Q41+Q44</f>
        <v>63.10565765575673</v>
      </c>
      <c r="W46" s="338"/>
      <c r="Y46" s="362"/>
      <c r="AB46" s="211">
        <f>AB41+AB44</f>
        <v>66.482956677679169</v>
      </c>
      <c r="AH46" s="338"/>
      <c r="AJ46" s="362"/>
      <c r="AM46" s="211">
        <f>AM41+AM44</f>
        <v>63.980889207190124</v>
      </c>
      <c r="AS46" s="338"/>
    </row>
    <row r="47" spans="1:45" ht="15.75" thickTop="1" x14ac:dyDescent="0.25">
      <c r="D47" s="178">
        <v>0.05</v>
      </c>
      <c r="E47" s="210">
        <f>E44*D47</f>
        <v>2.9635681284015862</v>
      </c>
      <c r="H47" s="213">
        <f>H46*C7</f>
        <v>-316331.26202558528</v>
      </c>
      <c r="I47" s="209" t="s">
        <v>195</v>
      </c>
      <c r="J47" s="214"/>
      <c r="N47" s="362"/>
      <c r="O47" s="70"/>
      <c r="P47" s="212" t="s">
        <v>193</v>
      </c>
      <c r="T47" s="210">
        <f>T41+T44</f>
        <v>53.808232829304849</v>
      </c>
      <c r="W47" s="338"/>
      <c r="Y47" s="362"/>
      <c r="Z47" s="70"/>
      <c r="AA47" s="212" t="s">
        <v>193</v>
      </c>
      <c r="AE47" s="210">
        <f>AE41+AE44</f>
        <v>57.185531851227289</v>
      </c>
      <c r="AH47" s="338"/>
      <c r="AJ47" s="362"/>
      <c r="AK47" s="70"/>
      <c r="AL47" s="212" t="s">
        <v>193</v>
      </c>
      <c r="AP47" s="210">
        <f>AP41+AP44</f>
        <v>54.683464380738243</v>
      </c>
      <c r="AS47" s="338"/>
    </row>
    <row r="48" spans="1:45" x14ac:dyDescent="0.2">
      <c r="B48" s="70"/>
      <c r="D48" s="237">
        <v>0.04</v>
      </c>
      <c r="E48" s="210">
        <f>E44*D48</f>
        <v>2.3708545027212686</v>
      </c>
      <c r="N48" s="362"/>
      <c r="T48" s="210">
        <f>Q47-T47</f>
        <v>-53.808232829304849</v>
      </c>
      <c r="U48" t="s">
        <v>194</v>
      </c>
      <c r="W48" s="338"/>
      <c r="Y48" s="362"/>
      <c r="AE48" s="210">
        <f>AB47-AE47</f>
        <v>-57.185531851227289</v>
      </c>
      <c r="AF48" t="s">
        <v>194</v>
      </c>
      <c r="AH48" s="338"/>
      <c r="AJ48" s="362"/>
      <c r="AP48" s="210">
        <f>AM47-AP47</f>
        <v>-54.683464380738243</v>
      </c>
      <c r="AQ48" t="s">
        <v>194</v>
      </c>
      <c r="AS48" s="338"/>
    </row>
    <row r="49" spans="1:45" ht="15" x14ac:dyDescent="0.25">
      <c r="E49" s="210">
        <f>SUM(E44:E48)</f>
        <v>64.605785199154568</v>
      </c>
      <c r="N49" s="362"/>
      <c r="P49" t="s">
        <v>421</v>
      </c>
      <c r="Q49" s="210">
        <f>Q46*0.04</f>
        <v>2.5242263062302692</v>
      </c>
      <c r="T49" s="213">
        <f>T48*O8</f>
        <v>-287174.53860999999</v>
      </c>
      <c r="U49" s="209" t="s">
        <v>195</v>
      </c>
      <c r="V49" s="214"/>
      <c r="W49" s="338"/>
      <c r="Y49" s="362"/>
      <c r="AA49" t="s">
        <v>421</v>
      </c>
      <c r="AB49" s="210">
        <f>AB46*0.04</f>
        <v>2.6593182671071669</v>
      </c>
      <c r="AE49" s="213">
        <f>AE48*Z8</f>
        <v>-305199.18349000002</v>
      </c>
      <c r="AF49" s="209" t="s">
        <v>195</v>
      </c>
      <c r="AG49" s="214"/>
      <c r="AH49" s="338"/>
      <c r="AJ49" s="362"/>
      <c r="AL49" t="s">
        <v>421</v>
      </c>
      <c r="AM49" s="210">
        <f>AM46*0.04</f>
        <v>2.5592355682876051</v>
      </c>
      <c r="AP49" s="213">
        <f>AP48*AK8</f>
        <v>-291845.64939999999</v>
      </c>
      <c r="AQ49" s="209" t="s">
        <v>195</v>
      </c>
      <c r="AR49" s="214"/>
      <c r="AS49" s="338"/>
    </row>
    <row r="50" spans="1:45" x14ac:dyDescent="0.2">
      <c r="D50" s="237">
        <v>0.1</v>
      </c>
      <c r="E50" s="210">
        <f>E49*D50</f>
        <v>6.4605785199154573</v>
      </c>
      <c r="N50" s="363"/>
      <c r="P50" t="s">
        <v>422</v>
      </c>
      <c r="Q50" s="210">
        <f>Q46*0.02</f>
        <v>1.2621131531151346</v>
      </c>
      <c r="W50" s="338"/>
      <c r="Y50" s="363"/>
      <c r="AA50" t="s">
        <v>422</v>
      </c>
      <c r="AB50" s="210">
        <f>AB46*0.02</f>
        <v>1.3296591335535834</v>
      </c>
      <c r="AH50" s="338"/>
      <c r="AJ50" s="363"/>
      <c r="AL50" t="s">
        <v>422</v>
      </c>
      <c r="AM50" s="210">
        <f>AM46*0.02</f>
        <v>1.2796177841438026</v>
      </c>
      <c r="AS50" s="338"/>
    </row>
    <row r="51" spans="1:45" x14ac:dyDescent="0.2">
      <c r="A51" s="176"/>
      <c r="B51" s="176"/>
      <c r="C51" s="176"/>
      <c r="D51" s="176"/>
      <c r="E51" s="104">
        <f>SUM(E49:E50)</f>
        <v>71.066363719070026</v>
      </c>
      <c r="F51" s="176"/>
      <c r="G51" s="176"/>
      <c r="H51" s="176"/>
      <c r="I51" s="176"/>
      <c r="J51" s="176"/>
      <c r="K51" s="176"/>
      <c r="L51" s="232"/>
      <c r="N51" s="362"/>
      <c r="P51" t="s">
        <v>11</v>
      </c>
      <c r="Q51" s="210">
        <f>Q46*0.1</f>
        <v>6.3105657655756735</v>
      </c>
      <c r="W51" s="338"/>
      <c r="Y51" s="362"/>
      <c r="AA51" t="s">
        <v>11</v>
      </c>
      <c r="AB51" s="210">
        <f>AB46*0.1</f>
        <v>6.6482956677679175</v>
      </c>
      <c r="AH51" s="338"/>
      <c r="AJ51" s="362"/>
      <c r="AL51" t="s">
        <v>11</v>
      </c>
      <c r="AM51" s="210">
        <f>AM46*0.1</f>
        <v>6.3980889207190126</v>
      </c>
      <c r="AS51" s="338"/>
    </row>
    <row r="52" spans="1:45" ht="15" x14ac:dyDescent="0.25">
      <c r="A52" s="176"/>
      <c r="B52" s="176"/>
      <c r="C52" s="176"/>
      <c r="D52" s="176"/>
      <c r="E52" s="176"/>
      <c r="F52" s="176"/>
      <c r="G52" s="176"/>
      <c r="H52" s="176"/>
      <c r="I52" s="176"/>
      <c r="J52" s="176"/>
      <c r="K52" s="176"/>
      <c r="L52" s="176"/>
      <c r="N52" s="364"/>
      <c r="O52" s="365"/>
      <c r="P52" s="365"/>
      <c r="Q52" s="366">
        <f>SUM(Q46:Q51)</f>
        <v>73.202562880677817</v>
      </c>
      <c r="R52" s="365"/>
      <c r="S52" s="365"/>
      <c r="T52" s="365"/>
      <c r="U52" s="365"/>
      <c r="V52" s="365"/>
      <c r="W52" s="367"/>
      <c r="Y52" s="364"/>
      <c r="Z52" s="365"/>
      <c r="AA52" s="365"/>
      <c r="AB52" s="366">
        <f>SUM(AB46:AB51)</f>
        <v>77.120229746107825</v>
      </c>
      <c r="AC52" s="365"/>
      <c r="AD52" s="365"/>
      <c r="AE52" s="365"/>
      <c r="AF52" s="365"/>
      <c r="AG52" s="365"/>
      <c r="AH52" s="367"/>
      <c r="AJ52" s="364"/>
      <c r="AK52" s="365"/>
      <c r="AL52" s="365"/>
      <c r="AM52" s="366">
        <f>SUM(AM46:AM51)</f>
        <v>74.217831480340564</v>
      </c>
      <c r="AN52" s="365"/>
      <c r="AO52" s="365"/>
      <c r="AP52" s="365"/>
      <c r="AQ52" s="365"/>
      <c r="AR52" s="365"/>
      <c r="AS52" s="367"/>
    </row>
    <row r="58" spans="1:45" x14ac:dyDescent="0.2">
      <c r="G58" t="s">
        <v>209</v>
      </c>
    </row>
    <row r="59" spans="1:45" ht="15" x14ac:dyDescent="0.25">
      <c r="B59" s="214" t="s">
        <v>210</v>
      </c>
      <c r="F59" t="s">
        <v>211</v>
      </c>
      <c r="G59" t="s">
        <v>212</v>
      </c>
      <c r="O59" s="214" t="s">
        <v>210</v>
      </c>
      <c r="S59" t="s">
        <v>211</v>
      </c>
      <c r="T59" t="s">
        <v>212</v>
      </c>
    </row>
    <row r="60" spans="1:45" x14ac:dyDescent="0.2">
      <c r="B60" s="183" t="s">
        <v>213</v>
      </c>
      <c r="C60" s="241">
        <v>0.6</v>
      </c>
      <c r="D60" s="183"/>
      <c r="E60" s="183" t="s">
        <v>214</v>
      </c>
      <c r="F60" s="241">
        <v>1.2</v>
      </c>
      <c r="G60" s="241">
        <v>1.2</v>
      </c>
      <c r="O60" s="183" t="s">
        <v>213</v>
      </c>
      <c r="P60" s="241">
        <v>0.6</v>
      </c>
      <c r="Q60" s="183"/>
      <c r="R60" s="183" t="s">
        <v>214</v>
      </c>
      <c r="S60" s="241">
        <v>1.2</v>
      </c>
      <c r="T60" s="241">
        <v>1.2</v>
      </c>
    </row>
    <row r="61" spans="1:45" x14ac:dyDescent="0.2">
      <c r="B61" s="183" t="s">
        <v>215</v>
      </c>
      <c r="C61" s="241">
        <v>1376</v>
      </c>
      <c r="D61" s="176"/>
      <c r="E61" s="176"/>
      <c r="F61" s="176"/>
      <c r="G61" s="176"/>
      <c r="O61" s="183" t="s">
        <v>215</v>
      </c>
      <c r="P61" s="241">
        <v>1085</v>
      </c>
      <c r="Q61" s="176"/>
      <c r="R61" s="176"/>
      <c r="S61" s="176"/>
      <c r="T61" s="176"/>
    </row>
    <row r="62" spans="1:45" ht="15" x14ac:dyDescent="0.25">
      <c r="B62" s="183" t="s">
        <v>182</v>
      </c>
      <c r="C62" s="241">
        <v>988</v>
      </c>
      <c r="D62" s="176"/>
      <c r="E62" s="242" t="s">
        <v>216</v>
      </c>
      <c r="F62" s="242" t="s">
        <v>217</v>
      </c>
      <c r="G62" s="243" t="s">
        <v>218</v>
      </c>
      <c r="O62" s="183" t="s">
        <v>182</v>
      </c>
      <c r="P62" s="241">
        <v>735</v>
      </c>
      <c r="Q62" s="176"/>
      <c r="R62" s="242" t="s">
        <v>216</v>
      </c>
      <c r="S62" s="242" t="s">
        <v>217</v>
      </c>
      <c r="T62" s="243" t="s">
        <v>218</v>
      </c>
    </row>
    <row r="63" spans="1:45" ht="15" x14ac:dyDescent="0.25">
      <c r="B63" s="244" t="s">
        <v>219</v>
      </c>
      <c r="C63" s="176"/>
      <c r="D63" s="176"/>
      <c r="E63" s="204">
        <f>SUM(G63/C60)</f>
        <v>1646.6666666666667</v>
      </c>
      <c r="F63" s="183">
        <f>C61</f>
        <v>1376</v>
      </c>
      <c r="G63" s="214">
        <f>C62</f>
        <v>988</v>
      </c>
      <c r="O63" s="244" t="s">
        <v>219</v>
      </c>
      <c r="P63" s="176"/>
      <c r="Q63" s="176"/>
      <c r="R63" s="204">
        <f>SUM(T63/P60)</f>
        <v>1225</v>
      </c>
      <c r="S63" s="183">
        <f>P61</f>
        <v>1085</v>
      </c>
      <c r="T63" s="214">
        <f>P62</f>
        <v>735</v>
      </c>
    </row>
    <row r="64" spans="1:45" x14ac:dyDescent="0.2">
      <c r="B64" s="176"/>
      <c r="C64" s="244" t="s">
        <v>220</v>
      </c>
      <c r="D64" s="244"/>
      <c r="I64" s="70" t="s">
        <v>221</v>
      </c>
      <c r="O64" s="176"/>
      <c r="P64" s="244" t="s">
        <v>220</v>
      </c>
      <c r="Q64" s="244"/>
      <c r="V64" s="70" t="s">
        <v>221</v>
      </c>
    </row>
    <row r="65" spans="2:25" ht="15" x14ac:dyDescent="0.25">
      <c r="B65" s="176"/>
      <c r="C65" s="244"/>
      <c r="D65" s="242" t="s">
        <v>196</v>
      </c>
      <c r="E65" s="245" t="s">
        <v>222</v>
      </c>
      <c r="F65" s="203" t="s">
        <v>33</v>
      </c>
      <c r="G65" s="214" t="s">
        <v>223</v>
      </c>
      <c r="I65" s="70">
        <v>1</v>
      </c>
      <c r="O65" s="176"/>
      <c r="P65" s="244"/>
      <c r="Q65" s="242" t="s">
        <v>196</v>
      </c>
      <c r="R65" s="245" t="s">
        <v>222</v>
      </c>
      <c r="S65" s="203" t="s">
        <v>33</v>
      </c>
      <c r="T65" s="214" t="s">
        <v>223</v>
      </c>
      <c r="V65" s="70">
        <v>1</v>
      </c>
    </row>
    <row r="66" spans="2:25" x14ac:dyDescent="0.2">
      <c r="B66" s="176" t="s">
        <v>224</v>
      </c>
      <c r="C66" s="246">
        <v>1.86</v>
      </c>
      <c r="D66" s="246" t="s">
        <v>225</v>
      </c>
      <c r="E66" s="247">
        <f>G63/C60</f>
        <v>1646.6666666666667</v>
      </c>
      <c r="F66" s="57">
        <f>SUM(C66*E66)</f>
        <v>3062.8</v>
      </c>
      <c r="G66" s="248"/>
      <c r="H66" s="249">
        <v>2.38</v>
      </c>
      <c r="I66" s="59">
        <f>H66*$I$65</f>
        <v>2.38</v>
      </c>
      <c r="O66" s="176" t="s">
        <v>224</v>
      </c>
      <c r="P66" s="246">
        <v>2.1800000000000002</v>
      </c>
      <c r="Q66" s="246" t="s">
        <v>225</v>
      </c>
      <c r="R66" s="247">
        <f>T63/P60</f>
        <v>1225</v>
      </c>
      <c r="S66" s="57">
        <f>SUM(P66*R66)</f>
        <v>2670.5</v>
      </c>
      <c r="T66" s="248"/>
      <c r="U66" s="249">
        <v>2.38</v>
      </c>
      <c r="V66" s="59">
        <f>U66*$I$65</f>
        <v>2.38</v>
      </c>
    </row>
    <row r="67" spans="2:25" x14ac:dyDescent="0.2">
      <c r="B67" s="176" t="s">
        <v>226</v>
      </c>
      <c r="C67" s="462">
        <v>4.45</v>
      </c>
      <c r="D67" s="250">
        <f>C60*3.6</f>
        <v>2.16</v>
      </c>
      <c r="E67" s="247">
        <f>(G63/D67)</f>
        <v>457.40740740740739</v>
      </c>
      <c r="F67" s="57">
        <f>SUM(C67*E67)</f>
        <v>2035.462962962963</v>
      </c>
      <c r="G67" s="104"/>
      <c r="H67" s="249">
        <v>1.1000000000000001</v>
      </c>
      <c r="I67" s="59">
        <f t="shared" ref="I67:I72" si="3">H67*$I$65</f>
        <v>1.1000000000000001</v>
      </c>
      <c r="O67" s="176" t="s">
        <v>226</v>
      </c>
      <c r="P67" s="246">
        <f>V67</f>
        <v>1.1000000000000001</v>
      </c>
      <c r="Q67" s="250">
        <f>P60*3.6</f>
        <v>2.16</v>
      </c>
      <c r="R67" s="247">
        <f>(T63/Q67)</f>
        <v>340.27777777777777</v>
      </c>
      <c r="S67" s="57">
        <f>SUM(P67*R67)</f>
        <v>374.3055555555556</v>
      </c>
      <c r="T67" s="104"/>
      <c r="U67" s="249">
        <v>1.1000000000000001</v>
      </c>
      <c r="V67" s="59">
        <f>U67*$I$65</f>
        <v>1.1000000000000001</v>
      </c>
    </row>
    <row r="68" spans="2:25" x14ac:dyDescent="0.2">
      <c r="B68" s="176" t="s">
        <v>227</v>
      </c>
      <c r="C68" s="246">
        <v>0.42</v>
      </c>
      <c r="D68" s="250">
        <f>C60*F60</f>
        <v>0.72</v>
      </c>
      <c r="E68" s="247">
        <f>(G63/D68)</f>
        <v>1372.2222222222222</v>
      </c>
      <c r="F68" s="57">
        <f>SUM(C68*E68)</f>
        <v>576.33333333333326</v>
      </c>
      <c r="G68" s="104"/>
      <c r="H68" s="249">
        <v>0.4</v>
      </c>
      <c r="I68" s="59">
        <f t="shared" si="3"/>
        <v>0.4</v>
      </c>
      <c r="O68" s="176" t="s">
        <v>227</v>
      </c>
      <c r="P68" s="246">
        <f>V68</f>
        <v>0.4</v>
      </c>
      <c r="Q68" s="250">
        <f>P60*S60</f>
        <v>0.72</v>
      </c>
      <c r="R68" s="247">
        <f>(T63/Q68)</f>
        <v>1020.8333333333334</v>
      </c>
      <c r="S68" s="57">
        <f>SUM(P68*R68)</f>
        <v>408.33333333333337</v>
      </c>
      <c r="T68" s="104"/>
      <c r="U68" s="249">
        <v>0.4</v>
      </c>
      <c r="V68" s="59">
        <f>U68*$I$65</f>
        <v>0.4</v>
      </c>
    </row>
    <row r="69" spans="2:25" x14ac:dyDescent="0.2">
      <c r="B69" s="176" t="s">
        <v>228</v>
      </c>
      <c r="C69" s="246">
        <v>3.97</v>
      </c>
      <c r="D69" s="250">
        <f>F60</f>
        <v>1.2</v>
      </c>
      <c r="E69" s="247">
        <f>(G63/D69)</f>
        <v>823.33333333333337</v>
      </c>
      <c r="F69" s="57">
        <f>SUM(C69*E69)</f>
        <v>3268.6333333333337</v>
      </c>
      <c r="G69" s="104"/>
      <c r="H69" s="249">
        <v>3.3</v>
      </c>
      <c r="I69" s="59">
        <f t="shared" si="3"/>
        <v>3.3</v>
      </c>
      <c r="O69" s="176" t="s">
        <v>228</v>
      </c>
      <c r="P69" s="246">
        <v>2.27</v>
      </c>
      <c r="Q69" s="250">
        <f>S60</f>
        <v>1.2</v>
      </c>
      <c r="R69" s="247">
        <f>(T63/Q69)</f>
        <v>612.5</v>
      </c>
      <c r="S69" s="57">
        <f>SUM(P69*R69)</f>
        <v>1390.375</v>
      </c>
      <c r="T69" s="104"/>
      <c r="U69" s="249">
        <v>3.3</v>
      </c>
      <c r="V69" s="59">
        <f>U69*$I$65</f>
        <v>3.3</v>
      </c>
    </row>
    <row r="70" spans="2:25" x14ac:dyDescent="0.2">
      <c r="B70" s="176" t="s">
        <v>229</v>
      </c>
      <c r="C70" s="104">
        <v>90</v>
      </c>
      <c r="D70" s="104"/>
      <c r="E70" s="208">
        <f>ROUNDUP(G63/200,0)</f>
        <v>5</v>
      </c>
      <c r="F70" s="57">
        <f>SUM(C70*E70)</f>
        <v>450</v>
      </c>
      <c r="G70" s="104"/>
      <c r="H70" s="222"/>
      <c r="I70" s="59"/>
      <c r="O70" s="176" t="s">
        <v>229</v>
      </c>
      <c r="P70" s="104">
        <v>90</v>
      </c>
      <c r="Q70" s="104"/>
      <c r="R70" s="208">
        <f>ROUNDUP(T63/200,0)</f>
        <v>4</v>
      </c>
      <c r="S70" s="57">
        <f>SUM(P70*R70)</f>
        <v>360</v>
      </c>
      <c r="T70" s="104"/>
      <c r="U70" s="222"/>
      <c r="V70" s="59"/>
    </row>
    <row r="71" spans="2:25" x14ac:dyDescent="0.2">
      <c r="B71" s="176" t="s">
        <v>230</v>
      </c>
      <c r="C71" s="104">
        <f>L71</f>
        <v>3.7</v>
      </c>
      <c r="D71" s="104"/>
      <c r="E71" s="247">
        <f>(G63/F60/G60)</f>
        <v>686.1111111111112</v>
      </c>
      <c r="F71" s="192">
        <f>C71*E71</f>
        <v>2538.6111111111118</v>
      </c>
      <c r="G71" s="104"/>
      <c r="H71" s="222">
        <v>0.7</v>
      </c>
      <c r="I71" s="59">
        <f t="shared" si="3"/>
        <v>0.7</v>
      </c>
      <c r="J71" s="70" t="s">
        <v>231</v>
      </c>
      <c r="K71" s="251">
        <v>3</v>
      </c>
      <c r="L71" s="222">
        <f>SUM(I71,K71)</f>
        <v>3.7</v>
      </c>
      <c r="O71" s="176" t="s">
        <v>230</v>
      </c>
      <c r="P71" s="104">
        <f>Y71</f>
        <v>3.7</v>
      </c>
      <c r="Q71" s="104"/>
      <c r="R71" s="247">
        <f>(T63/S60/T60)</f>
        <v>510.41666666666669</v>
      </c>
      <c r="S71" s="192">
        <f>P71*R71</f>
        <v>1888.5416666666667</v>
      </c>
      <c r="T71" s="104"/>
      <c r="U71" s="222">
        <v>0.7</v>
      </c>
      <c r="V71" s="59">
        <f>U71*$I$65</f>
        <v>0.7</v>
      </c>
      <c r="W71" s="70" t="s">
        <v>231</v>
      </c>
      <c r="X71" s="251">
        <v>3</v>
      </c>
      <c r="Y71" s="222">
        <f>SUM(V71,X71)</f>
        <v>3.7</v>
      </c>
    </row>
    <row r="72" spans="2:25" x14ac:dyDescent="0.2">
      <c r="B72" s="176" t="s">
        <v>530</v>
      </c>
      <c r="C72" s="463">
        <f>L89</f>
        <v>6.7350000000000003</v>
      </c>
      <c r="D72" s="104"/>
      <c r="E72" s="247">
        <f>C61</f>
        <v>1376</v>
      </c>
      <c r="F72" s="192">
        <f>C72*E72</f>
        <v>9267.36</v>
      </c>
      <c r="G72" s="104"/>
      <c r="H72" s="222">
        <v>3.97</v>
      </c>
      <c r="I72" s="59">
        <f t="shared" si="3"/>
        <v>3.97</v>
      </c>
      <c r="O72" s="176" t="s">
        <v>232</v>
      </c>
      <c r="P72" s="104">
        <v>3.44</v>
      </c>
      <c r="Q72" s="104"/>
      <c r="R72" s="247">
        <f>P61</f>
        <v>1085</v>
      </c>
      <c r="S72" s="192">
        <f>P72*R72</f>
        <v>3732.4</v>
      </c>
      <c r="T72" s="104"/>
      <c r="U72" s="222">
        <v>3.97</v>
      </c>
      <c r="V72" s="59">
        <f>U72*$I$65</f>
        <v>3.97</v>
      </c>
    </row>
    <row r="73" spans="2:25" x14ac:dyDescent="0.2">
      <c r="B73" s="176"/>
      <c r="C73" s="244"/>
      <c r="D73" s="244"/>
      <c r="F73" s="252">
        <f>SUM(F66:F72)</f>
        <v>21199.200740740744</v>
      </c>
      <c r="G73" s="176"/>
      <c r="O73" s="176"/>
      <c r="P73" s="244"/>
      <c r="Q73" s="244"/>
      <c r="S73" s="252">
        <f>SUM(S66:S72)</f>
        <v>10824.455555555556</v>
      </c>
      <c r="T73" s="176"/>
    </row>
    <row r="74" spans="2:25" ht="15" x14ac:dyDescent="0.25">
      <c r="B74" s="176" t="s">
        <v>233</v>
      </c>
      <c r="C74" s="253">
        <f>F73/G63</f>
        <v>21.456680911680916</v>
      </c>
      <c r="D74" s="106"/>
      <c r="F74" s="183"/>
      <c r="G74" s="176"/>
      <c r="O74" s="176" t="s">
        <v>233</v>
      </c>
      <c r="P74" s="253">
        <f>S73/T63</f>
        <v>14.727150415721844</v>
      </c>
      <c r="Q74" s="106"/>
      <c r="S74" s="183"/>
      <c r="T74" s="176"/>
    </row>
    <row r="75" spans="2:25" x14ac:dyDescent="0.2">
      <c r="B75" s="176" t="s">
        <v>234</v>
      </c>
      <c r="C75" s="210">
        <v>1.4999999999999999E-2</v>
      </c>
      <c r="D75" s="210"/>
      <c r="F75" s="183"/>
      <c r="G75" s="176"/>
      <c r="O75" s="176" t="s">
        <v>234</v>
      </c>
      <c r="P75" s="210">
        <v>1.4999999999999999E-2</v>
      </c>
      <c r="Q75" s="210"/>
      <c r="S75" s="183"/>
      <c r="T75" s="176"/>
    </row>
    <row r="76" spans="2:25" x14ac:dyDescent="0.2">
      <c r="B76" s="176" t="s">
        <v>235</v>
      </c>
      <c r="C76" s="254">
        <v>0.03</v>
      </c>
      <c r="D76" s="246"/>
      <c r="F76" s="176"/>
      <c r="G76" s="176"/>
      <c r="O76" s="176" t="s">
        <v>235</v>
      </c>
      <c r="P76" s="254">
        <v>0.03</v>
      </c>
      <c r="Q76" s="246"/>
      <c r="S76" s="176"/>
      <c r="T76" s="176"/>
    </row>
    <row r="77" spans="2:25" x14ac:dyDescent="0.2">
      <c r="B77" s="176"/>
      <c r="C77" s="246">
        <f>SUM(C74:C76)</f>
        <v>21.501680911680918</v>
      </c>
      <c r="D77" s="246"/>
      <c r="F77" s="176"/>
      <c r="G77" s="176"/>
      <c r="O77" s="176"/>
      <c r="P77" s="246">
        <f>SUM(P74:P76)</f>
        <v>14.772150415721844</v>
      </c>
      <c r="Q77" s="246"/>
      <c r="S77" s="176"/>
      <c r="T77" s="176"/>
    </row>
    <row r="78" spans="2:25" x14ac:dyDescent="0.2">
      <c r="B78" s="176" t="s">
        <v>236</v>
      </c>
      <c r="C78" s="254">
        <f>C77*5%</f>
        <v>1.075084045584046</v>
      </c>
      <c r="D78" s="254"/>
      <c r="F78" s="176"/>
      <c r="G78" s="104"/>
      <c r="O78" s="176" t="s">
        <v>236</v>
      </c>
      <c r="P78" s="254">
        <f>P77*5%</f>
        <v>0.73860752078609226</v>
      </c>
      <c r="Q78" s="254"/>
      <c r="S78" s="176"/>
      <c r="T78" s="104"/>
    </row>
    <row r="79" spans="2:25" x14ac:dyDescent="0.2">
      <c r="B79" s="176" t="s">
        <v>233</v>
      </c>
      <c r="C79" s="105">
        <f>SUM(C77:C78)</f>
        <v>22.576764957264963</v>
      </c>
      <c r="D79" s="105"/>
      <c r="F79" s="176"/>
      <c r="G79" s="176"/>
      <c r="O79" s="176" t="s">
        <v>233</v>
      </c>
      <c r="P79" s="105">
        <f>SUM(P77:P78)</f>
        <v>15.510757936507936</v>
      </c>
      <c r="Q79" s="105"/>
      <c r="S79" s="176"/>
      <c r="T79" s="176"/>
    </row>
    <row r="80" spans="2:25" x14ac:dyDescent="0.2">
      <c r="B80" s="244"/>
      <c r="C80" s="206"/>
      <c r="D80" s="206"/>
      <c r="F80" s="176"/>
      <c r="G80" s="176"/>
      <c r="K80" s="70" t="s">
        <v>527</v>
      </c>
      <c r="L80" s="70" t="s">
        <v>531</v>
      </c>
      <c r="M80" s="70" t="s">
        <v>524</v>
      </c>
      <c r="N80" s="70" t="s">
        <v>525</v>
      </c>
      <c r="O80" s="244"/>
      <c r="P80" s="206"/>
      <c r="Q80" s="206"/>
      <c r="S80" s="176"/>
      <c r="T80" s="176"/>
    </row>
    <row r="81" spans="2:20" ht="15" x14ac:dyDescent="0.25">
      <c r="B81" s="176"/>
      <c r="C81" s="206"/>
      <c r="D81" s="206"/>
      <c r="E81" s="214" t="s">
        <v>237</v>
      </c>
      <c r="F81" s="176"/>
      <c r="G81" s="176"/>
      <c r="J81" s="70" t="s">
        <v>228</v>
      </c>
      <c r="K81">
        <v>5.25</v>
      </c>
      <c r="L81">
        <v>3.97</v>
      </c>
      <c r="O81" s="176"/>
      <c r="P81" s="206"/>
      <c r="Q81" s="206"/>
      <c r="R81" s="214" t="s">
        <v>237</v>
      </c>
      <c r="S81" s="176"/>
      <c r="T81" s="176"/>
    </row>
    <row r="82" spans="2:20" ht="15" x14ac:dyDescent="0.25">
      <c r="B82" s="176"/>
      <c r="C82" s="244"/>
      <c r="D82" s="244"/>
      <c r="E82" s="106">
        <v>50</v>
      </c>
      <c r="F82" s="176"/>
      <c r="G82" s="176"/>
      <c r="J82" s="70" t="s">
        <v>526</v>
      </c>
      <c r="K82">
        <v>3.17</v>
      </c>
      <c r="L82">
        <v>1.86</v>
      </c>
      <c r="O82" s="176"/>
      <c r="P82" s="244"/>
      <c r="Q82" s="244"/>
      <c r="R82" s="106">
        <v>50</v>
      </c>
      <c r="S82" s="176"/>
      <c r="T82" s="176"/>
    </row>
    <row r="83" spans="2:20" x14ac:dyDescent="0.2">
      <c r="B83" s="244" t="s">
        <v>238</v>
      </c>
      <c r="D83" t="s">
        <v>239</v>
      </c>
      <c r="F83" s="176"/>
      <c r="G83" s="176"/>
      <c r="J83" s="461" t="s">
        <v>532</v>
      </c>
      <c r="K83" s="461">
        <v>12.74</v>
      </c>
      <c r="L83" s="290">
        <v>11.82</v>
      </c>
      <c r="O83" s="244" t="s">
        <v>238</v>
      </c>
      <c r="Q83" t="s">
        <v>239</v>
      </c>
      <c r="S83" s="176"/>
      <c r="T83" s="176"/>
    </row>
    <row r="84" spans="2:20" x14ac:dyDescent="0.2">
      <c r="B84" s="176" t="s">
        <v>240</v>
      </c>
      <c r="C84" s="104">
        <f>E82/D84</f>
        <v>2</v>
      </c>
      <c r="D84" s="104">
        <v>25</v>
      </c>
      <c r="E84" s="191">
        <f>C84*E63</f>
        <v>3293.3333333333335</v>
      </c>
      <c r="F84" s="176"/>
      <c r="J84" s="70" t="s">
        <v>528</v>
      </c>
      <c r="K84">
        <v>4.45</v>
      </c>
      <c r="L84" s="290">
        <v>4.63</v>
      </c>
      <c r="O84" s="176" t="s">
        <v>240</v>
      </c>
      <c r="P84" s="104">
        <f>R82/Q84</f>
        <v>2</v>
      </c>
      <c r="Q84" s="104">
        <v>25</v>
      </c>
      <c r="R84" s="191">
        <f>P84*R63</f>
        <v>2450</v>
      </c>
      <c r="S84" s="176"/>
    </row>
    <row r="85" spans="2:20" x14ac:dyDescent="0.2">
      <c r="B85" s="176" t="s">
        <v>228</v>
      </c>
      <c r="C85" s="104">
        <f>E82/D85</f>
        <v>5</v>
      </c>
      <c r="D85" s="104">
        <v>10</v>
      </c>
      <c r="E85" s="191">
        <f>E69*C85</f>
        <v>4116.666666666667</v>
      </c>
      <c r="F85" s="176"/>
      <c r="J85" s="70" t="s">
        <v>529</v>
      </c>
      <c r="K85">
        <v>0.57999999999999996</v>
      </c>
      <c r="L85">
        <v>0.42</v>
      </c>
      <c r="O85" s="176" t="s">
        <v>228</v>
      </c>
      <c r="P85" s="104">
        <f>R82/Q85</f>
        <v>5</v>
      </c>
      <c r="Q85" s="104">
        <v>10</v>
      </c>
      <c r="R85" s="191">
        <f>R69*P85</f>
        <v>3062.5</v>
      </c>
      <c r="S85" s="176"/>
    </row>
    <row r="86" spans="2:20" x14ac:dyDescent="0.2">
      <c r="B86" s="176" t="s">
        <v>180</v>
      </c>
      <c r="C86" s="104">
        <f>E82/D86</f>
        <v>1.6666666666666667</v>
      </c>
      <c r="D86" s="104">
        <v>30</v>
      </c>
      <c r="E86" s="191">
        <f>SUM(C86*E71)</f>
        <v>1143.5185185185187</v>
      </c>
      <c r="F86" s="176"/>
      <c r="J86" s="70" t="s">
        <v>533</v>
      </c>
      <c r="L86">
        <v>1.65</v>
      </c>
      <c r="O86" s="176" t="s">
        <v>180</v>
      </c>
      <c r="P86" s="104">
        <f>R82/Q86</f>
        <v>1.6666666666666667</v>
      </c>
      <c r="Q86" s="104">
        <v>30</v>
      </c>
      <c r="R86" s="191">
        <f>SUM(P86*R71)</f>
        <v>850.69444444444446</v>
      </c>
      <c r="S86" s="176"/>
    </row>
    <row r="87" spans="2:20" x14ac:dyDescent="0.2">
      <c r="B87" s="176" t="s">
        <v>241</v>
      </c>
      <c r="C87" s="104">
        <f>E82/D87</f>
        <v>5</v>
      </c>
      <c r="D87" s="104">
        <v>10</v>
      </c>
      <c r="E87" s="191">
        <f>C61*C87</f>
        <v>6880</v>
      </c>
      <c r="F87" s="176"/>
      <c r="O87" s="176" t="s">
        <v>241</v>
      </c>
      <c r="P87" s="104">
        <f>R82/Q87</f>
        <v>5</v>
      </c>
      <c r="Q87" s="104">
        <v>10</v>
      </c>
      <c r="R87" s="191">
        <f>P61*P87</f>
        <v>5425</v>
      </c>
      <c r="S87" s="176"/>
    </row>
    <row r="88" spans="2:20" x14ac:dyDescent="0.2">
      <c r="B88" s="176"/>
      <c r="C88" s="104"/>
      <c r="D88" s="104"/>
      <c r="E88" s="191">
        <f>SUM(E84:E87)</f>
        <v>15433.518518518518</v>
      </c>
      <c r="F88" s="191"/>
      <c r="L88">
        <f>SUM(L83,L86)</f>
        <v>13.47</v>
      </c>
      <c r="O88" s="176"/>
      <c r="P88" s="104"/>
      <c r="Q88" s="104"/>
      <c r="R88" s="191">
        <f>SUM(R84:R87)</f>
        <v>11788.194444444445</v>
      </c>
      <c r="S88" s="191"/>
    </row>
    <row r="89" spans="2:20" x14ac:dyDescent="0.2">
      <c r="B89" s="176" t="s">
        <v>242</v>
      </c>
      <c r="C89" s="105">
        <f>E88/G63</f>
        <v>15.620970160443845</v>
      </c>
      <c r="D89" s="105"/>
      <c r="E89" s="255"/>
      <c r="F89" s="176"/>
      <c r="L89">
        <f>L88/2</f>
        <v>6.7350000000000003</v>
      </c>
      <c r="O89" s="176" t="s">
        <v>242</v>
      </c>
      <c r="P89" s="105">
        <f>R88/T63</f>
        <v>16.038359788359788</v>
      </c>
      <c r="Q89" s="105"/>
      <c r="R89" s="255"/>
      <c r="S89" s="176"/>
    </row>
    <row r="90" spans="2:20" ht="13.5" thickBot="1" x14ac:dyDescent="0.25">
      <c r="B90" s="176"/>
      <c r="C90" s="256">
        <f>SUM(C79+C89)</f>
        <v>38.19773511770881</v>
      </c>
      <c r="D90" s="257" t="s">
        <v>45</v>
      </c>
      <c r="E90" s="258" t="s">
        <v>243</v>
      </c>
      <c r="F90" s="176"/>
      <c r="H90" s="222">
        <v>31.51</v>
      </c>
      <c r="I90" s="222">
        <f>C90-H90</f>
        <v>6.687735117708808</v>
      </c>
      <c r="J90" s="222">
        <f>C61*I90</f>
        <v>9202.3235219673206</v>
      </c>
      <c r="O90" s="176"/>
      <c r="P90" s="256">
        <f>SUM(P79+P89)</f>
        <v>31.549117724867724</v>
      </c>
      <c r="Q90" s="257" t="s">
        <v>45</v>
      </c>
      <c r="R90" s="258" t="s">
        <v>243</v>
      </c>
      <c r="S90" s="176"/>
    </row>
    <row r="91" spans="2:20" ht="13.5" thickTop="1" x14ac:dyDescent="0.2">
      <c r="B91" s="259" t="s">
        <v>244</v>
      </c>
      <c r="C91" s="260"/>
      <c r="D91" s="244"/>
      <c r="E91" s="261">
        <f>C90*G63</f>
        <v>37739.362296296305</v>
      </c>
      <c r="F91" s="176"/>
      <c r="G91" s="222"/>
      <c r="O91" s="259" t="s">
        <v>244</v>
      </c>
      <c r="P91" s="260"/>
      <c r="Q91" s="244"/>
      <c r="R91" s="261">
        <f>P90*T63</f>
        <v>23188.601527777777</v>
      </c>
      <c r="S91" s="176"/>
      <c r="T91" s="222"/>
    </row>
    <row r="92" spans="2:20" x14ac:dyDescent="0.2">
      <c r="B92" s="176"/>
      <c r="C92" s="262"/>
      <c r="D92" s="244"/>
      <c r="E92" s="176"/>
      <c r="F92" s="176"/>
      <c r="G92" s="176"/>
      <c r="O92" s="176"/>
      <c r="P92" s="262"/>
      <c r="Q92" s="244"/>
      <c r="R92" s="176"/>
      <c r="S92" s="176"/>
      <c r="T92" s="176"/>
    </row>
    <row r="93" spans="2:20" x14ac:dyDescent="0.2">
      <c r="B93" t="s">
        <v>245</v>
      </c>
      <c r="C93" s="222"/>
      <c r="O93" t="s">
        <v>245</v>
      </c>
      <c r="P93" s="222"/>
    </row>
    <row r="94" spans="2:20" x14ac:dyDescent="0.2">
      <c r="B94" t="s">
        <v>219</v>
      </c>
      <c r="C94" s="222">
        <f>C79</f>
        <v>22.576764957264963</v>
      </c>
      <c r="D94" t="s">
        <v>45</v>
      </c>
      <c r="O94" t="s">
        <v>219</v>
      </c>
      <c r="P94" s="222">
        <f>P79</f>
        <v>15.510757936507936</v>
      </c>
      <c r="Q94" t="s">
        <v>45</v>
      </c>
    </row>
    <row r="95" spans="2:20" x14ac:dyDescent="0.2">
      <c r="B95" t="s">
        <v>246</v>
      </c>
      <c r="C95" s="222">
        <f>C89</f>
        <v>15.620970160443845</v>
      </c>
      <c r="D95" t="s">
        <v>45</v>
      </c>
      <c r="E95" s="222">
        <f>C95*G63</f>
        <v>15433.518518518518</v>
      </c>
      <c r="F95" s="210">
        <f>E95/E82</f>
        <v>308.67037037037039</v>
      </c>
      <c r="G95" t="s">
        <v>247</v>
      </c>
      <c r="O95" t="s">
        <v>246</v>
      </c>
      <c r="P95" s="222">
        <f>P89</f>
        <v>16.038359788359788</v>
      </c>
      <c r="Q95" t="s">
        <v>45</v>
      </c>
      <c r="R95" s="222">
        <f>P95*T63</f>
        <v>11788.194444444443</v>
      </c>
      <c r="S95" s="210">
        <f>R95/R82</f>
        <v>235.76388888888886</v>
      </c>
      <c r="T95" t="s">
        <v>247</v>
      </c>
    </row>
    <row r="96" spans="2:20" x14ac:dyDescent="0.2">
      <c r="C96" s="263">
        <f>C95/E82</f>
        <v>0.3124194032088769</v>
      </c>
      <c r="E96" s="222"/>
      <c r="F96" s="210"/>
      <c r="P96" s="263">
        <f>P95/R82</f>
        <v>0.32076719576719576</v>
      </c>
      <c r="R96" s="222"/>
      <c r="S96" s="210"/>
    </row>
    <row r="97" spans="2:19" x14ac:dyDescent="0.2">
      <c r="C97" s="222"/>
      <c r="E97" s="222"/>
      <c r="F97" s="210"/>
      <c r="P97" s="222"/>
      <c r="R97" s="222"/>
      <c r="S97" s="210"/>
    </row>
    <row r="98" spans="2:19" x14ac:dyDescent="0.2">
      <c r="C98" s="222"/>
      <c r="E98" s="222"/>
      <c r="F98" s="210"/>
    </row>
    <row r="99" spans="2:19" x14ac:dyDescent="0.2">
      <c r="C99" s="222"/>
      <c r="E99" s="222"/>
      <c r="F99" s="210"/>
    </row>
    <row r="105" spans="2:19" x14ac:dyDescent="0.2">
      <c r="C105" s="70" t="s">
        <v>346</v>
      </c>
      <c r="D105" s="70" t="s">
        <v>347</v>
      </c>
      <c r="E105" s="70" t="s">
        <v>348</v>
      </c>
      <c r="F105" s="70" t="s">
        <v>349</v>
      </c>
      <c r="G105" s="70" t="s">
        <v>350</v>
      </c>
      <c r="M105" s="309" t="e">
        <f>SUM(#REF!)</f>
        <v>#REF!</v>
      </c>
      <c r="O105" s="309" t="e">
        <f>#REF!</f>
        <v>#REF!</v>
      </c>
    </row>
    <row r="106" spans="2:19" x14ac:dyDescent="0.2">
      <c r="B106" s="70" t="s">
        <v>351</v>
      </c>
      <c r="C106" s="222">
        <v>75</v>
      </c>
      <c r="D106" s="222">
        <v>5</v>
      </c>
      <c r="E106" s="263">
        <v>1.5</v>
      </c>
      <c r="F106" s="222">
        <v>2.5</v>
      </c>
      <c r="G106" s="263">
        <v>1</v>
      </c>
      <c r="I106" s="263">
        <f>E106+G106</f>
        <v>2.5</v>
      </c>
      <c r="J106" s="222" t="e">
        <f>I106*#REF!</f>
        <v>#REF!</v>
      </c>
      <c r="K106" s="222">
        <f>SUM(C106:D106,F106)</f>
        <v>82.5</v>
      </c>
      <c r="L106" s="222" t="e">
        <f>SUM(J106:K106)</f>
        <v>#REF!</v>
      </c>
      <c r="M106" s="222" t="e">
        <f>L106*$M$105</f>
        <v>#REF!</v>
      </c>
      <c r="N106" s="222" t="e">
        <f>SUM(L106:M106)</f>
        <v>#REF!</v>
      </c>
      <c r="O106" s="222" t="e">
        <f>N106*$O$105</f>
        <v>#REF!</v>
      </c>
      <c r="P106" s="222" t="e">
        <f>SUM(N106:O106)</f>
        <v>#REF!</v>
      </c>
    </row>
    <row r="107" spans="2:19" x14ac:dyDescent="0.2">
      <c r="B107" s="70" t="s">
        <v>352</v>
      </c>
      <c r="C107" s="222">
        <v>82</v>
      </c>
      <c r="D107" s="222">
        <v>5</v>
      </c>
      <c r="E107" s="263">
        <v>1.5</v>
      </c>
      <c r="F107" s="222">
        <v>3.75</v>
      </c>
      <c r="G107" s="263">
        <v>1</v>
      </c>
      <c r="I107" s="263">
        <f>E107+G107</f>
        <v>2.5</v>
      </c>
      <c r="J107" s="222" t="e">
        <f>I107*#REF!</f>
        <v>#REF!</v>
      </c>
      <c r="K107" s="222">
        <f>SUM(C107:D107,F107)</f>
        <v>90.75</v>
      </c>
      <c r="L107" s="222" t="e">
        <f>SUM(J107:K107)</f>
        <v>#REF!</v>
      </c>
      <c r="M107" s="222" t="e">
        <f>L107*$M$105</f>
        <v>#REF!</v>
      </c>
      <c r="N107" s="222" t="e">
        <f>SUM(L107:M107)</f>
        <v>#REF!</v>
      </c>
      <c r="O107" s="222" t="e">
        <f>N107*$O$105</f>
        <v>#REF!</v>
      </c>
      <c r="P107" s="222" t="e">
        <f>SUM(N107:O107)</f>
        <v>#REF!</v>
      </c>
    </row>
    <row r="108" spans="2:19" x14ac:dyDescent="0.2">
      <c r="B108" s="70" t="s">
        <v>353</v>
      </c>
      <c r="C108" s="222">
        <v>89</v>
      </c>
      <c r="D108" s="222">
        <v>5</v>
      </c>
      <c r="E108" s="263">
        <v>1.5</v>
      </c>
      <c r="F108" s="222">
        <v>4.25</v>
      </c>
      <c r="G108" s="263">
        <v>1</v>
      </c>
      <c r="I108" s="263">
        <f>E108+G108</f>
        <v>2.5</v>
      </c>
      <c r="J108" s="222" t="e">
        <f>I108*#REF!</f>
        <v>#REF!</v>
      </c>
      <c r="K108" s="222">
        <f>SUM(C108:D108,F108)</f>
        <v>98.25</v>
      </c>
      <c r="L108" s="222" t="e">
        <f>SUM(J108:K108)</f>
        <v>#REF!</v>
      </c>
      <c r="M108" s="222" t="e">
        <f>L108*$M$105</f>
        <v>#REF!</v>
      </c>
      <c r="N108" s="222" t="e">
        <f>SUM(L108:M108)</f>
        <v>#REF!</v>
      </c>
      <c r="O108" s="222" t="e">
        <f>N108*$O$105</f>
        <v>#REF!</v>
      </c>
      <c r="P108" s="222" t="e">
        <f>SUM(N108:O108)</f>
        <v>#REF!</v>
      </c>
    </row>
    <row r="111" spans="2:19" x14ac:dyDescent="0.2">
      <c r="C111" s="70" t="s">
        <v>346</v>
      </c>
      <c r="D111" s="70" t="s">
        <v>347</v>
      </c>
      <c r="E111" s="70" t="s">
        <v>348</v>
      </c>
      <c r="F111" s="70" t="s">
        <v>349</v>
      </c>
      <c r="G111" s="70" t="s">
        <v>350</v>
      </c>
      <c r="M111" s="309" t="e">
        <f>M105</f>
        <v>#REF!</v>
      </c>
      <c r="O111" s="309" t="e">
        <f>O105</f>
        <v>#REF!</v>
      </c>
    </row>
    <row r="112" spans="2:19" x14ac:dyDescent="0.2">
      <c r="B112" s="70" t="s">
        <v>351</v>
      </c>
      <c r="C112" s="222"/>
      <c r="D112" s="222"/>
      <c r="E112" s="263"/>
      <c r="F112" s="222"/>
      <c r="G112" s="263"/>
      <c r="I112" s="263"/>
      <c r="J112" s="222"/>
      <c r="K112" s="222"/>
      <c r="L112" s="222"/>
      <c r="M112" s="222"/>
      <c r="N112" s="222"/>
      <c r="O112" s="222"/>
      <c r="P112" s="222"/>
    </row>
    <row r="113" spans="2:42" x14ac:dyDescent="0.2">
      <c r="B113" s="70" t="s">
        <v>352</v>
      </c>
      <c r="C113" s="222">
        <v>750</v>
      </c>
      <c r="D113" s="222">
        <v>5</v>
      </c>
      <c r="E113" s="263">
        <v>1.5</v>
      </c>
      <c r="F113" s="222">
        <v>3.75</v>
      </c>
      <c r="G113" s="263">
        <v>1.5</v>
      </c>
      <c r="I113" s="263">
        <f>E113+G113</f>
        <v>3</v>
      </c>
      <c r="J113" s="222" t="e">
        <f>I113*#REF!</f>
        <v>#REF!</v>
      </c>
      <c r="K113" s="222">
        <f>SUM(C113:D113,F113)</f>
        <v>758.75</v>
      </c>
      <c r="L113" s="222" t="e">
        <f>SUM(J113:K113)</f>
        <v>#REF!</v>
      </c>
      <c r="M113" s="222" t="e">
        <f>L113*$M$105</f>
        <v>#REF!</v>
      </c>
      <c r="N113" s="222" t="e">
        <f>SUM(L113:M113)</f>
        <v>#REF!</v>
      </c>
      <c r="O113" s="222" t="e">
        <f>N113*$O$105</f>
        <v>#REF!</v>
      </c>
      <c r="P113" s="222" t="e">
        <f>SUM(N113:O113)</f>
        <v>#REF!</v>
      </c>
    </row>
    <row r="114" spans="2:42" x14ac:dyDescent="0.2">
      <c r="B114" s="70" t="s">
        <v>353</v>
      </c>
      <c r="C114" s="222">
        <v>940</v>
      </c>
      <c r="D114" s="222">
        <v>15</v>
      </c>
      <c r="E114" s="263">
        <v>2.5</v>
      </c>
      <c r="F114" s="222">
        <v>4.25</v>
      </c>
      <c r="G114" s="263">
        <v>1.5</v>
      </c>
      <c r="I114" s="263">
        <f>E114+G114</f>
        <v>4</v>
      </c>
      <c r="J114" s="222" t="e">
        <f>I114*#REF!</f>
        <v>#REF!</v>
      </c>
      <c r="K114" s="222">
        <f>SUM(C114:D114,F114)</f>
        <v>959.25</v>
      </c>
      <c r="L114" s="222" t="e">
        <f>SUM(J114:K114)</f>
        <v>#REF!</v>
      </c>
      <c r="M114" s="222" t="e">
        <f>L114*$M$105</f>
        <v>#REF!</v>
      </c>
      <c r="N114" s="222" t="e">
        <f>SUM(L114:M114)</f>
        <v>#REF!</v>
      </c>
      <c r="O114" s="222" t="e">
        <f>N114*$O$105</f>
        <v>#REF!</v>
      </c>
      <c r="P114" s="222" t="e">
        <f>SUM(N114:O114)</f>
        <v>#REF!</v>
      </c>
    </row>
    <row r="121" spans="2:42" x14ac:dyDescent="0.2">
      <c r="B121" s="269"/>
      <c r="C121" s="269"/>
      <c r="D121" s="269"/>
      <c r="E121" s="269"/>
      <c r="F121" s="269"/>
      <c r="G121" s="269"/>
      <c r="H121" s="269"/>
      <c r="I121" s="269"/>
      <c r="J121" s="269"/>
      <c r="N121" s="269"/>
      <c r="O121" s="269"/>
      <c r="P121" s="269"/>
      <c r="Q121" s="269"/>
      <c r="R121" s="269"/>
      <c r="S121" s="269"/>
      <c r="T121" s="269"/>
      <c r="U121" s="269"/>
      <c r="V121" s="269"/>
      <c r="X121" s="269"/>
      <c r="Y121" s="269"/>
      <c r="Z121" s="269"/>
      <c r="AA121" s="269"/>
      <c r="AB121" s="269"/>
      <c r="AC121" s="269"/>
      <c r="AD121" s="269"/>
      <c r="AE121" s="269"/>
      <c r="AF121" s="269"/>
      <c r="AH121" s="269"/>
      <c r="AI121" s="269"/>
      <c r="AJ121" s="269"/>
      <c r="AK121" s="269"/>
      <c r="AL121" s="269"/>
      <c r="AM121" s="269"/>
      <c r="AN121" s="269"/>
      <c r="AO121" s="269"/>
      <c r="AP121" s="269"/>
    </row>
    <row r="122" spans="2:42" x14ac:dyDescent="0.2">
      <c r="C122" s="183" t="s">
        <v>366</v>
      </c>
      <c r="D122" s="241">
        <v>0.6</v>
      </c>
      <c r="E122" s="183" t="s">
        <v>282</v>
      </c>
      <c r="F122" s="176"/>
      <c r="G122" s="176"/>
      <c r="H122" s="176"/>
      <c r="O122" s="183" t="s">
        <v>366</v>
      </c>
      <c r="P122" s="241">
        <v>1.8</v>
      </c>
      <c r="Q122" s="183" t="s">
        <v>282</v>
      </c>
      <c r="R122" s="176"/>
      <c r="S122" s="176"/>
      <c r="T122" s="176"/>
      <c r="Y122" s="183" t="s">
        <v>366</v>
      </c>
      <c r="Z122" s="241">
        <v>1.8</v>
      </c>
      <c r="AA122" s="183" t="s">
        <v>282</v>
      </c>
      <c r="AB122" s="176"/>
      <c r="AC122" s="176"/>
      <c r="AD122" s="176" t="s">
        <v>490</v>
      </c>
      <c r="AI122" s="183" t="s">
        <v>366</v>
      </c>
      <c r="AJ122" s="241">
        <v>2.4</v>
      </c>
      <c r="AK122" s="183" t="s">
        <v>282</v>
      </c>
      <c r="AL122" s="176"/>
      <c r="AM122" s="176"/>
      <c r="AN122" s="176" t="s">
        <v>512</v>
      </c>
    </row>
    <row r="123" spans="2:42" x14ac:dyDescent="0.2">
      <c r="C123" s="176"/>
      <c r="D123" s="176"/>
      <c r="E123" s="176"/>
      <c r="F123" s="176"/>
      <c r="G123" s="176"/>
      <c r="H123" s="176"/>
      <c r="O123" s="176"/>
      <c r="P123" s="176"/>
      <c r="Q123" s="176"/>
      <c r="R123" s="176"/>
      <c r="S123" s="176"/>
      <c r="T123" s="176"/>
      <c r="Y123" s="176"/>
      <c r="Z123" s="176"/>
      <c r="AA123" s="176"/>
      <c r="AB123" s="176"/>
      <c r="AC123" s="176"/>
      <c r="AD123" s="176"/>
      <c r="AI123" s="176"/>
      <c r="AJ123" s="176"/>
      <c r="AK123" s="176"/>
      <c r="AL123" s="176"/>
      <c r="AM123" s="176"/>
      <c r="AN123" s="176"/>
    </row>
    <row r="124" spans="2:42" ht="15" x14ac:dyDescent="0.25">
      <c r="C124" s="244" t="s">
        <v>219</v>
      </c>
      <c r="D124" s="176"/>
      <c r="E124" s="242" t="s">
        <v>283</v>
      </c>
      <c r="F124" s="242" t="s">
        <v>284</v>
      </c>
      <c r="G124" s="242" t="s">
        <v>285</v>
      </c>
      <c r="H124" s="242" t="s">
        <v>286</v>
      </c>
      <c r="I124" s="243" t="s">
        <v>287</v>
      </c>
      <c r="O124" s="244" t="s">
        <v>219</v>
      </c>
      <c r="P124" s="176"/>
      <c r="Q124" s="242" t="s">
        <v>283</v>
      </c>
      <c r="R124" s="242" t="s">
        <v>284</v>
      </c>
      <c r="S124" s="242" t="s">
        <v>285</v>
      </c>
      <c r="T124" s="242" t="s">
        <v>286</v>
      </c>
      <c r="U124" s="243" t="s">
        <v>287</v>
      </c>
      <c r="Y124" s="244" t="s">
        <v>219</v>
      </c>
      <c r="Z124" s="176"/>
      <c r="AA124" s="242" t="s">
        <v>283</v>
      </c>
      <c r="AB124" s="242" t="s">
        <v>284</v>
      </c>
      <c r="AC124" s="242" t="s">
        <v>285</v>
      </c>
      <c r="AD124" s="242" t="s">
        <v>286</v>
      </c>
      <c r="AE124" s="243" t="s">
        <v>287</v>
      </c>
      <c r="AI124" s="244" t="s">
        <v>219</v>
      </c>
      <c r="AJ124" s="176"/>
      <c r="AK124" s="242" t="s">
        <v>283</v>
      </c>
      <c r="AL124" s="242" t="s">
        <v>284</v>
      </c>
      <c r="AM124" s="242" t="s">
        <v>285</v>
      </c>
      <c r="AN124" s="242" t="s">
        <v>286</v>
      </c>
      <c r="AO124" s="243" t="s">
        <v>287</v>
      </c>
    </row>
    <row r="125" spans="2:42" ht="15" x14ac:dyDescent="0.25">
      <c r="C125" s="176"/>
      <c r="D125" s="244" t="s">
        <v>220</v>
      </c>
      <c r="E125" s="271">
        <v>106</v>
      </c>
      <c r="F125" s="288">
        <v>1</v>
      </c>
      <c r="G125" s="313">
        <f>SUM(E152*F125)</f>
        <v>177.66666666666669</v>
      </c>
      <c r="H125" s="314">
        <f>E125*2</f>
        <v>212</v>
      </c>
      <c r="I125" s="315">
        <f>E125*F125</f>
        <v>106</v>
      </c>
      <c r="O125" s="176"/>
      <c r="P125" s="244" t="s">
        <v>220</v>
      </c>
      <c r="Q125" s="271">
        <v>106</v>
      </c>
      <c r="R125" s="288">
        <v>1</v>
      </c>
      <c r="S125" s="313">
        <f>SUM(Q152*R125)</f>
        <v>59.888888888888886</v>
      </c>
      <c r="T125" s="314">
        <f>Q125*2</f>
        <v>212</v>
      </c>
      <c r="U125" s="315">
        <f>Q125*R125</f>
        <v>106</v>
      </c>
      <c r="Y125" s="176"/>
      <c r="Z125" s="244" t="s">
        <v>220</v>
      </c>
      <c r="AA125" s="271">
        <v>116</v>
      </c>
      <c r="AB125" s="288">
        <v>1</v>
      </c>
      <c r="AC125" s="313">
        <f>SUM(AA152*AB125)</f>
        <v>65.444444444444443</v>
      </c>
      <c r="AD125" s="314">
        <f>AA125*2</f>
        <v>232</v>
      </c>
      <c r="AE125" s="315">
        <f>AA125*AB125</f>
        <v>116</v>
      </c>
      <c r="AI125" s="176"/>
      <c r="AJ125" s="244" t="s">
        <v>220</v>
      </c>
      <c r="AK125" s="271">
        <v>3</v>
      </c>
      <c r="AL125" s="288">
        <v>1.9</v>
      </c>
      <c r="AM125" s="313">
        <f>SUM(AK152*AL125)*2</f>
        <v>8.5499999999999989</v>
      </c>
      <c r="AN125" s="314">
        <f>AK125*2</f>
        <v>6</v>
      </c>
      <c r="AO125" s="315">
        <f>AK125*AL125</f>
        <v>5.6999999999999993</v>
      </c>
    </row>
    <row r="126" spans="2:42" ht="15" x14ac:dyDescent="0.25">
      <c r="B126" s="214" t="s">
        <v>288</v>
      </c>
      <c r="C126" s="176" t="s">
        <v>369</v>
      </c>
      <c r="D126" s="246">
        <v>4.09</v>
      </c>
      <c r="E126" s="176"/>
      <c r="F126" s="176"/>
      <c r="G126" s="176"/>
      <c r="H126" s="176"/>
      <c r="N126" s="214" t="s">
        <v>288</v>
      </c>
      <c r="O126" s="176" t="s">
        <v>449</v>
      </c>
      <c r="P126" s="246">
        <v>4.09</v>
      </c>
      <c r="Q126" s="176"/>
      <c r="R126" s="176"/>
      <c r="S126" s="176"/>
      <c r="T126" s="176"/>
      <c r="X126" s="214" t="s">
        <v>288</v>
      </c>
      <c r="Y126" s="176" t="s">
        <v>449</v>
      </c>
      <c r="Z126" s="246">
        <v>5.0599999999999996</v>
      </c>
      <c r="AA126" s="176"/>
      <c r="AB126" s="176"/>
      <c r="AC126" s="176" t="s">
        <v>464</v>
      </c>
      <c r="AD126" s="176"/>
      <c r="AH126" s="214" t="s">
        <v>288</v>
      </c>
      <c r="AI126" s="176" t="s">
        <v>449</v>
      </c>
      <c r="AJ126" s="246">
        <v>5.0599999999999996</v>
      </c>
      <c r="AK126" s="176"/>
      <c r="AL126" s="176"/>
      <c r="AM126" s="176" t="s">
        <v>464</v>
      </c>
      <c r="AN126" s="176"/>
    </row>
    <row r="127" spans="2:42" x14ac:dyDescent="0.2">
      <c r="C127" s="176"/>
      <c r="D127" s="246"/>
      <c r="E127" s="176"/>
      <c r="F127" s="176"/>
      <c r="G127" s="176"/>
      <c r="H127" s="176"/>
      <c r="O127" s="176"/>
      <c r="P127" s="246"/>
      <c r="Q127" s="176"/>
      <c r="R127" s="176"/>
      <c r="S127" s="176"/>
      <c r="T127" s="176"/>
      <c r="Y127" s="176"/>
      <c r="Z127" s="246">
        <f>AE127</f>
        <v>5</v>
      </c>
      <c r="AA127" s="176"/>
      <c r="AB127" s="200">
        <f>AA152</f>
        <v>65.444444444444443</v>
      </c>
      <c r="AC127" s="176">
        <v>5</v>
      </c>
      <c r="AD127" s="176">
        <f>AB127*AC127</f>
        <v>327.22222222222223</v>
      </c>
      <c r="AE127">
        <f>AD127/AC125</f>
        <v>5</v>
      </c>
      <c r="AI127" s="176"/>
      <c r="AJ127" s="246">
        <f>AO127</f>
        <v>1.3157894736842106</v>
      </c>
      <c r="AK127" s="176"/>
      <c r="AL127" s="200">
        <f>AK152</f>
        <v>2.25</v>
      </c>
      <c r="AM127" s="176">
        <v>5</v>
      </c>
      <c r="AN127" s="176">
        <f>AL127*AM127</f>
        <v>11.25</v>
      </c>
      <c r="AO127">
        <f>AN127/AM125</f>
        <v>1.3157894736842106</v>
      </c>
    </row>
    <row r="128" spans="2:42" x14ac:dyDescent="0.2">
      <c r="C128" s="176" t="s">
        <v>367</v>
      </c>
      <c r="D128" s="246">
        <f>0.09*0.0458*8</f>
        <v>3.2975999999999998E-2</v>
      </c>
      <c r="E128" s="176"/>
      <c r="F128" s="242"/>
      <c r="G128" s="242"/>
      <c r="H128" s="242"/>
      <c r="O128" s="176" t="s">
        <v>367</v>
      </c>
      <c r="P128" s="246">
        <f>0.09*0.0458*8</f>
        <v>3.2975999999999998E-2</v>
      </c>
      <c r="Q128" s="176"/>
      <c r="R128" s="242"/>
      <c r="S128" s="242"/>
      <c r="T128" s="242"/>
      <c r="Y128" s="176" t="s">
        <v>367</v>
      </c>
      <c r="Z128" s="246">
        <f>0.09*0.0458*8</f>
        <v>3.2975999999999998E-2</v>
      </c>
      <c r="AA128" s="176"/>
      <c r="AB128" s="413">
        <f>AA125</f>
        <v>116</v>
      </c>
      <c r="AC128" s="413">
        <v>7.33</v>
      </c>
      <c r="AD128" s="413">
        <f>AB128*AC128</f>
        <v>850.28</v>
      </c>
      <c r="AE128">
        <f>AD128/AC125</f>
        <v>12.992393887945671</v>
      </c>
      <c r="AF128" s="70" t="s">
        <v>511</v>
      </c>
      <c r="AI128" s="176" t="s">
        <v>367</v>
      </c>
      <c r="AJ128" s="246">
        <f>0.09*0.0458*8</f>
        <v>3.2975999999999998E-2</v>
      </c>
      <c r="AK128" s="176"/>
      <c r="AL128" s="413">
        <f>AK125</f>
        <v>3</v>
      </c>
      <c r="AM128" s="413">
        <v>7.33</v>
      </c>
      <c r="AN128" s="413">
        <f>AL128*AM128</f>
        <v>21.990000000000002</v>
      </c>
      <c r="AO128">
        <f>AN128/AM125</f>
        <v>2.571929824561404</v>
      </c>
      <c r="AP128" s="70" t="s">
        <v>511</v>
      </c>
    </row>
    <row r="129" spans="2:42" x14ac:dyDescent="0.2">
      <c r="C129" s="176"/>
      <c r="D129" s="246"/>
      <c r="E129" s="176"/>
      <c r="F129" s="242"/>
      <c r="G129" s="242"/>
      <c r="H129" s="242"/>
      <c r="O129" s="176"/>
      <c r="P129" s="246"/>
      <c r="Q129" s="176"/>
      <c r="R129" s="242"/>
      <c r="S129" s="242"/>
      <c r="T129" s="242"/>
      <c r="Y129" s="176"/>
      <c r="Z129" s="246"/>
      <c r="AA129" s="176"/>
      <c r="AB129" s="242"/>
      <c r="AC129" s="242"/>
      <c r="AD129" s="242"/>
      <c r="AI129" s="176"/>
      <c r="AJ129" s="246"/>
      <c r="AK129" s="176"/>
      <c r="AL129" s="242"/>
      <c r="AM129" s="242"/>
      <c r="AN129" s="242"/>
    </row>
    <row r="130" spans="2:42" x14ac:dyDescent="0.2">
      <c r="C130" s="176" t="s">
        <v>235</v>
      </c>
      <c r="D130" s="246">
        <v>0.09</v>
      </c>
      <c r="E130" s="176"/>
      <c r="F130" s="176"/>
      <c r="G130" s="176"/>
      <c r="H130" s="176"/>
      <c r="O130" s="176" t="s">
        <v>235</v>
      </c>
      <c r="P130" s="246">
        <v>0.09</v>
      </c>
      <c r="Q130" s="176"/>
      <c r="R130" s="176"/>
      <c r="S130" s="176"/>
      <c r="T130" s="176"/>
      <c r="Y130" s="176" t="s">
        <v>235</v>
      </c>
      <c r="Z130" s="246">
        <v>0.09</v>
      </c>
      <c r="AA130" s="176"/>
      <c r="AB130" s="176"/>
      <c r="AC130" s="176"/>
      <c r="AD130" s="176"/>
      <c r="AI130" s="176" t="s">
        <v>235</v>
      </c>
      <c r="AJ130" s="246">
        <v>0.09</v>
      </c>
      <c r="AK130" s="176"/>
      <c r="AL130" s="176"/>
      <c r="AM130" s="176"/>
      <c r="AN130" s="176"/>
    </row>
    <row r="131" spans="2:42" x14ac:dyDescent="0.2">
      <c r="C131" s="176"/>
      <c r="D131" s="254"/>
      <c r="E131" s="176"/>
      <c r="F131" s="176"/>
      <c r="G131" s="176"/>
      <c r="H131" s="176"/>
      <c r="O131" s="176"/>
      <c r="P131" s="254"/>
      <c r="Q131" s="176"/>
      <c r="R131" s="176"/>
      <c r="S131" s="176"/>
      <c r="T131" s="176"/>
      <c r="Y131" s="176"/>
      <c r="Z131" s="254"/>
      <c r="AA131" s="176"/>
      <c r="AB131" s="176"/>
      <c r="AC131" s="176"/>
      <c r="AD131" s="176"/>
      <c r="AI131" s="176"/>
      <c r="AJ131" s="254"/>
      <c r="AK131" s="176"/>
      <c r="AL131" s="176"/>
      <c r="AM131" s="176"/>
      <c r="AN131" s="176"/>
    </row>
    <row r="132" spans="2:42" x14ac:dyDescent="0.2">
      <c r="C132" s="176"/>
      <c r="D132" s="202">
        <f>SUM(D126:D130)</f>
        <v>4.2129759999999994</v>
      </c>
      <c r="E132" s="176"/>
      <c r="F132" s="176"/>
      <c r="G132" s="176"/>
      <c r="H132" s="176"/>
      <c r="O132" s="176"/>
      <c r="P132" s="202">
        <f>SUM(P126:P130)</f>
        <v>4.2129759999999994</v>
      </c>
      <c r="Q132" s="176"/>
      <c r="R132" s="176"/>
      <c r="S132" s="176"/>
      <c r="T132" s="176"/>
      <c r="Y132" s="176"/>
      <c r="Z132" s="202">
        <f>SUM(Z126:Z130)</f>
        <v>10.182975999999998</v>
      </c>
      <c r="AA132" s="176"/>
      <c r="AB132" s="176"/>
      <c r="AC132" s="176" t="s">
        <v>491</v>
      </c>
      <c r="AD132" s="176"/>
      <c r="AI132" s="176"/>
      <c r="AJ132" s="202">
        <f>SUM(AJ126:AJ130)</f>
        <v>6.4987654736842098</v>
      </c>
      <c r="AK132" s="176"/>
      <c r="AL132" s="176"/>
      <c r="AM132" s="176" t="s">
        <v>491</v>
      </c>
      <c r="AN132" s="176"/>
    </row>
    <row r="133" spans="2:42" x14ac:dyDescent="0.2">
      <c r="C133" s="176" t="s">
        <v>236</v>
      </c>
      <c r="D133" s="254">
        <f>D132*5%</f>
        <v>0.21064879999999997</v>
      </c>
      <c r="E133" s="176"/>
      <c r="F133" s="176"/>
      <c r="H133" s="176"/>
      <c r="O133" s="176" t="s">
        <v>236</v>
      </c>
      <c r="P133" s="254">
        <f>P132*5%</f>
        <v>0.21064879999999997</v>
      </c>
      <c r="Q133" s="176"/>
      <c r="R133" s="176"/>
      <c r="T133" s="176"/>
      <c r="Y133" s="176" t="s">
        <v>236</v>
      </c>
      <c r="Z133" s="254">
        <f>Z132*5%</f>
        <v>0.50914879999999996</v>
      </c>
      <c r="AA133" s="176"/>
      <c r="AB133" s="176"/>
      <c r="AD133" s="176"/>
      <c r="AI133" s="176" t="s">
        <v>236</v>
      </c>
      <c r="AJ133" s="254">
        <f>AJ132*5%</f>
        <v>0.32493827368421052</v>
      </c>
      <c r="AK133" s="176"/>
      <c r="AL133" s="176"/>
      <c r="AN133" s="176"/>
    </row>
    <row r="134" spans="2:42" ht="15" x14ac:dyDescent="0.25">
      <c r="C134" s="176"/>
      <c r="D134" s="105">
        <f>SUM(D132:D133)</f>
        <v>4.4236247999999989</v>
      </c>
      <c r="E134" s="176"/>
      <c r="F134" s="176"/>
      <c r="H134" s="104"/>
      <c r="I134" s="106"/>
      <c r="J134" s="214"/>
      <c r="O134" s="176"/>
      <c r="P134" s="105">
        <f>SUM(P132:P133)</f>
        <v>4.4236247999999989</v>
      </c>
      <c r="Q134" s="176"/>
      <c r="R134" s="176"/>
      <c r="T134" s="104"/>
      <c r="U134" s="106"/>
      <c r="V134" s="214"/>
      <c r="Y134" s="176"/>
      <c r="Z134" s="105">
        <f>SUM(Z132:Z133)</f>
        <v>10.692124799999998</v>
      </c>
      <c r="AA134" s="176"/>
      <c r="AB134" s="176"/>
      <c r="AC134" s="70" t="s">
        <v>492</v>
      </c>
      <c r="AD134" s="215">
        <v>5.0599999999999996</v>
      </c>
      <c r="AE134" s="106"/>
      <c r="AF134" s="214"/>
      <c r="AI134" s="176"/>
      <c r="AJ134" s="105">
        <f>SUM(AJ132:AJ133)</f>
        <v>6.8237037473684206</v>
      </c>
      <c r="AK134" s="176"/>
      <c r="AL134" s="176"/>
      <c r="AM134" s="70" t="s">
        <v>492</v>
      </c>
      <c r="AN134" s="215">
        <v>5.0599999999999996</v>
      </c>
      <c r="AO134" s="106"/>
      <c r="AP134" s="214"/>
    </row>
    <row r="135" spans="2:42" x14ac:dyDescent="0.2">
      <c r="C135" s="244" t="s">
        <v>238</v>
      </c>
      <c r="D135" s="176"/>
      <c r="E135" s="183" t="s">
        <v>301</v>
      </c>
      <c r="F135" s="176"/>
      <c r="G135" s="176"/>
      <c r="H135" s="176"/>
      <c r="O135" s="244" t="s">
        <v>238</v>
      </c>
      <c r="P135" s="176"/>
      <c r="Q135" s="183" t="s">
        <v>301</v>
      </c>
      <c r="R135" s="176"/>
      <c r="S135" s="176"/>
      <c r="T135" s="176"/>
      <c r="Y135" s="244" t="s">
        <v>238</v>
      </c>
      <c r="Z135" s="176"/>
      <c r="AA135" s="183" t="s">
        <v>301</v>
      </c>
      <c r="AB135" s="176"/>
      <c r="AC135" s="176" t="s">
        <v>493</v>
      </c>
      <c r="AD135" s="215">
        <v>4.08</v>
      </c>
      <c r="AI135" s="244" t="s">
        <v>238</v>
      </c>
      <c r="AJ135" s="176"/>
      <c r="AK135" s="183" t="s">
        <v>301</v>
      </c>
      <c r="AL135" s="176"/>
      <c r="AM135" s="176" t="s">
        <v>493</v>
      </c>
      <c r="AN135" s="215">
        <v>4.08</v>
      </c>
    </row>
    <row r="136" spans="2:42" x14ac:dyDescent="0.2">
      <c r="B136" t="s">
        <v>300</v>
      </c>
      <c r="C136" s="244" t="s">
        <v>302</v>
      </c>
      <c r="D136" s="176"/>
      <c r="E136" s="257">
        <v>55</v>
      </c>
      <c r="F136" s="176"/>
      <c r="G136" s="176"/>
      <c r="H136" s="176"/>
      <c r="N136" t="s">
        <v>300</v>
      </c>
      <c r="O136" s="244" t="s">
        <v>302</v>
      </c>
      <c r="P136" s="176"/>
      <c r="Q136" s="257">
        <v>55</v>
      </c>
      <c r="R136" s="176"/>
      <c r="S136" s="176"/>
      <c r="T136" s="176"/>
      <c r="X136" t="s">
        <v>300</v>
      </c>
      <c r="Y136" s="244" t="s">
        <v>302</v>
      </c>
      <c r="Z136" s="176"/>
      <c r="AA136" s="257">
        <v>55</v>
      </c>
      <c r="AB136" s="176"/>
      <c r="AC136" s="176" t="s">
        <v>494</v>
      </c>
      <c r="AD136" s="215">
        <v>7.93</v>
      </c>
      <c r="AH136" t="s">
        <v>300</v>
      </c>
      <c r="AI136" s="244" t="s">
        <v>302</v>
      </c>
      <c r="AJ136" s="176"/>
      <c r="AK136" s="257">
        <v>55</v>
      </c>
      <c r="AL136" s="176"/>
      <c r="AM136" s="176" t="s">
        <v>494</v>
      </c>
      <c r="AN136" s="215">
        <v>7.93</v>
      </c>
    </row>
    <row r="137" spans="2:42" x14ac:dyDescent="0.2">
      <c r="C137" s="104">
        <v>10</v>
      </c>
      <c r="D137" s="276">
        <f>E136/C137</f>
        <v>5.5</v>
      </c>
      <c r="E137" s="176"/>
      <c r="F137" s="176"/>
      <c r="G137" s="176"/>
      <c r="H137" s="176"/>
      <c r="O137" s="104">
        <v>10</v>
      </c>
      <c r="P137" s="276">
        <f>Q136/O137</f>
        <v>5.5</v>
      </c>
      <c r="Q137" s="176"/>
      <c r="R137" s="176"/>
      <c r="S137" s="176"/>
      <c r="T137" s="176"/>
      <c r="Y137" s="104">
        <v>15</v>
      </c>
      <c r="Z137" s="276">
        <f>AA136/Y137</f>
        <v>3.6666666666666665</v>
      </c>
      <c r="AA137" s="176"/>
      <c r="AB137" s="176"/>
      <c r="AC137" s="176"/>
      <c r="AD137" s="176"/>
      <c r="AI137" s="104">
        <v>15</v>
      </c>
      <c r="AJ137" s="276">
        <f>AK136/AI137</f>
        <v>3.6666666666666665</v>
      </c>
      <c r="AK137" s="176"/>
      <c r="AL137" s="176"/>
      <c r="AM137" s="176"/>
      <c r="AN137" s="176"/>
    </row>
    <row r="138" spans="2:42" x14ac:dyDescent="0.2">
      <c r="C138" s="244" t="s">
        <v>303</v>
      </c>
      <c r="D138" s="176"/>
      <c r="E138" s="176"/>
      <c r="F138" s="176"/>
      <c r="G138" s="176"/>
      <c r="H138" s="176"/>
      <c r="O138" s="244" t="s">
        <v>303</v>
      </c>
      <c r="P138" s="176"/>
      <c r="Q138" s="176"/>
      <c r="R138" s="176"/>
      <c r="S138" s="176"/>
      <c r="T138" s="176"/>
      <c r="Y138" s="244" t="s">
        <v>303</v>
      </c>
      <c r="Z138" s="176"/>
      <c r="AA138" s="176"/>
      <c r="AB138" s="176"/>
      <c r="AC138" s="176"/>
      <c r="AD138" s="176"/>
      <c r="AI138" s="244" t="s">
        <v>303</v>
      </c>
      <c r="AJ138" s="176"/>
      <c r="AK138" s="176"/>
      <c r="AL138" s="176"/>
      <c r="AM138" s="176"/>
      <c r="AN138" s="176"/>
    </row>
    <row r="139" spans="2:42" x14ac:dyDescent="0.2">
      <c r="C139" s="178">
        <v>0.05</v>
      </c>
      <c r="D139" s="276">
        <f>D137*5%</f>
        <v>0.27500000000000002</v>
      </c>
      <c r="E139" s="176"/>
      <c r="F139" s="176"/>
      <c r="G139" s="176"/>
      <c r="H139" s="176"/>
      <c r="O139" s="178">
        <v>0.05</v>
      </c>
      <c r="P139" s="276">
        <f>P137*5%</f>
        <v>0.27500000000000002</v>
      </c>
      <c r="Q139" s="176"/>
      <c r="R139" s="176"/>
      <c r="S139" s="176"/>
      <c r="T139" s="176"/>
      <c r="Y139" s="178">
        <v>0.05</v>
      </c>
      <c r="Z139" s="276">
        <f>Z137*5%</f>
        <v>0.18333333333333335</v>
      </c>
      <c r="AA139" s="176"/>
      <c r="AB139" s="176"/>
      <c r="AC139" s="176"/>
      <c r="AD139" s="176"/>
      <c r="AI139" s="178">
        <v>0.05</v>
      </c>
      <c r="AJ139" s="276">
        <f>AJ137*5%</f>
        <v>0.18333333333333335</v>
      </c>
      <c r="AK139" s="176"/>
      <c r="AL139" s="176"/>
      <c r="AM139" s="176"/>
      <c r="AN139" s="176"/>
    </row>
    <row r="140" spans="2:42" x14ac:dyDescent="0.2">
      <c r="C140" s="176"/>
      <c r="D140" s="278">
        <f>SUM(D134:D139)</f>
        <v>10.198624799999999</v>
      </c>
      <c r="E140" s="183" t="s">
        <v>305</v>
      </c>
      <c r="F140" s="176"/>
      <c r="G140" s="176"/>
      <c r="H140" s="215"/>
      <c r="O140" s="176"/>
      <c r="P140" s="278">
        <f>SUM(P134:P139)</f>
        <v>10.198624799999999</v>
      </c>
      <c r="Q140" s="183" t="s">
        <v>305</v>
      </c>
      <c r="R140" s="176"/>
      <c r="S140" s="176"/>
      <c r="T140" s="215"/>
      <c r="Y140" s="176"/>
      <c r="Z140" s="278">
        <f>SUM(Z134:Z139)</f>
        <v>14.542124799999998</v>
      </c>
      <c r="AA140" s="183" t="s">
        <v>305</v>
      </c>
      <c r="AB140" s="176"/>
      <c r="AC140" s="176"/>
      <c r="AD140" s="215"/>
      <c r="AI140" s="176"/>
      <c r="AJ140" s="278">
        <f>SUM(AJ134:AJ139)</f>
        <v>10.673703747368421</v>
      </c>
      <c r="AK140" s="183" t="s">
        <v>305</v>
      </c>
      <c r="AL140" s="176"/>
      <c r="AM140" s="176"/>
      <c r="AN140" s="215"/>
    </row>
    <row r="141" spans="2:42" x14ac:dyDescent="0.2">
      <c r="C141" s="259" t="s">
        <v>306</v>
      </c>
      <c r="D141" s="279"/>
      <c r="E141" s="280">
        <f>D140*G125</f>
        <v>1811.9556728</v>
      </c>
      <c r="F141" s="176"/>
      <c r="G141" s="176"/>
      <c r="H141" s="215"/>
      <c r="I141" s="222"/>
      <c r="O141" s="259" t="s">
        <v>306</v>
      </c>
      <c r="P141" s="279"/>
      <c r="Q141" s="280">
        <f>P140*S125</f>
        <v>610.78430746666663</v>
      </c>
      <c r="R141" s="176"/>
      <c r="S141" s="176"/>
      <c r="T141" s="215"/>
      <c r="U141" s="222"/>
      <c r="Y141" s="259" t="s">
        <v>306</v>
      </c>
      <c r="Z141" s="279"/>
      <c r="AA141" s="280">
        <f>Z140*AC125</f>
        <v>951.70127857777766</v>
      </c>
      <c r="AB141" s="176"/>
      <c r="AC141" s="176"/>
      <c r="AD141" s="215"/>
      <c r="AE141" s="222"/>
      <c r="AI141" s="259" t="s">
        <v>306</v>
      </c>
      <c r="AJ141" s="279"/>
      <c r="AK141" s="280">
        <f>AJ140*AM125</f>
        <v>91.260167039999985</v>
      </c>
      <c r="AL141" s="176"/>
      <c r="AM141" s="176"/>
      <c r="AN141" s="215"/>
      <c r="AO141" s="222"/>
    </row>
    <row r="142" spans="2:42" x14ac:dyDescent="0.2">
      <c r="C142" s="176"/>
      <c r="D142" s="244"/>
      <c r="E142" s="176"/>
      <c r="F142" s="176"/>
      <c r="G142" s="176"/>
      <c r="H142" s="176"/>
      <c r="O142" s="176"/>
      <c r="P142" s="244"/>
      <c r="Q142" s="176"/>
      <c r="R142" s="176"/>
      <c r="S142" s="176"/>
      <c r="T142" s="176"/>
      <c r="Y142" s="176"/>
      <c r="Z142" s="244"/>
      <c r="AA142" s="176"/>
      <c r="AB142" s="176"/>
      <c r="AC142" s="176"/>
      <c r="AD142" s="176"/>
      <c r="AI142" s="176"/>
      <c r="AJ142" s="244"/>
      <c r="AK142" s="176"/>
      <c r="AL142" s="176"/>
      <c r="AM142" s="176"/>
      <c r="AN142" s="176"/>
    </row>
    <row r="143" spans="2:42" ht="15" x14ac:dyDescent="0.25">
      <c r="B143" s="214" t="s">
        <v>307</v>
      </c>
      <c r="C143" s="70" t="s">
        <v>440</v>
      </c>
      <c r="D143" s="210">
        <v>4.09</v>
      </c>
      <c r="E143" s="246"/>
      <c r="F143" s="242"/>
      <c r="G143" s="242"/>
      <c r="N143" s="214" t="s">
        <v>307</v>
      </c>
      <c r="O143" s="70" t="s">
        <v>440</v>
      </c>
      <c r="P143" s="210">
        <v>7.13</v>
      </c>
      <c r="Q143" s="246"/>
      <c r="R143" s="242"/>
      <c r="S143" s="242"/>
      <c r="X143" s="214" t="s">
        <v>307</v>
      </c>
      <c r="Y143" s="70" t="s">
        <v>503</v>
      </c>
      <c r="Z143" s="210">
        <v>7.93</v>
      </c>
      <c r="AA143" s="246"/>
      <c r="AB143" s="242"/>
      <c r="AC143" s="242"/>
      <c r="AH143" s="214" t="s">
        <v>307</v>
      </c>
      <c r="AI143" s="70" t="s">
        <v>503</v>
      </c>
      <c r="AJ143" s="210">
        <v>7.93</v>
      </c>
      <c r="AK143" s="246"/>
      <c r="AL143" s="242"/>
      <c r="AM143" s="242"/>
    </row>
    <row r="144" spans="2:42" x14ac:dyDescent="0.2">
      <c r="C144" s="176"/>
      <c r="D144" s="206"/>
      <c r="E144" s="176"/>
      <c r="F144" s="242"/>
      <c r="G144" s="242"/>
      <c r="H144" s="242"/>
      <c r="O144" s="176"/>
      <c r="P144" s="206"/>
      <c r="Q144" s="176"/>
      <c r="R144" s="242">
        <v>4.09</v>
      </c>
      <c r="S144" s="242" t="s">
        <v>450</v>
      </c>
      <c r="T144" s="242"/>
      <c r="Y144" s="176"/>
      <c r="Z144" s="206"/>
      <c r="AA144" s="176"/>
      <c r="AB144" s="242"/>
      <c r="AC144" s="242"/>
      <c r="AD144" s="242"/>
      <c r="AI144" s="176"/>
      <c r="AJ144" s="206"/>
      <c r="AK144" s="176"/>
      <c r="AL144" s="242"/>
      <c r="AM144" s="242"/>
      <c r="AN144" s="242"/>
    </row>
    <row r="145" spans="3:41" x14ac:dyDescent="0.2">
      <c r="C145" s="176" t="s">
        <v>367</v>
      </c>
      <c r="D145" s="246">
        <f>0.09*0.0458*8</f>
        <v>3.2975999999999998E-2</v>
      </c>
      <c r="E145" s="176"/>
      <c r="F145" s="242"/>
      <c r="G145" s="242"/>
      <c r="H145" s="242"/>
      <c r="O145" s="176" t="s">
        <v>367</v>
      </c>
      <c r="P145" s="246">
        <f>0.09*0.0458*8</f>
        <v>3.2975999999999998E-2</v>
      </c>
      <c r="Q145" s="176"/>
      <c r="R145" s="242">
        <v>10.17</v>
      </c>
      <c r="S145" s="242" t="s">
        <v>451</v>
      </c>
      <c r="T145" s="242"/>
      <c r="Y145" s="176" t="s">
        <v>367</v>
      </c>
      <c r="Z145" s="246">
        <f>0.09*0.0458*8</f>
        <v>3.2975999999999998E-2</v>
      </c>
      <c r="AA145" s="176"/>
      <c r="AB145" s="242"/>
      <c r="AC145" s="242"/>
      <c r="AD145" s="272"/>
      <c r="AI145" s="176" t="s">
        <v>367</v>
      </c>
      <c r="AJ145" s="246">
        <f>0.09*0.0458*8</f>
        <v>3.2975999999999998E-2</v>
      </c>
      <c r="AK145" s="176"/>
      <c r="AL145" s="242"/>
      <c r="AM145" s="242"/>
      <c r="AN145" s="272"/>
    </row>
    <row r="146" spans="3:41" x14ac:dyDescent="0.2">
      <c r="C146" s="176"/>
      <c r="E146" s="176"/>
      <c r="F146" s="176"/>
      <c r="G146" s="176"/>
      <c r="H146" s="176"/>
      <c r="O146" s="176"/>
      <c r="Q146" s="176"/>
      <c r="R146" s="176"/>
      <c r="S146" s="176"/>
      <c r="T146" s="176"/>
      <c r="Y146" s="176"/>
      <c r="AA146" s="176"/>
      <c r="AB146" s="176"/>
      <c r="AC146" s="176"/>
      <c r="AD146" s="176"/>
      <c r="AI146" s="176"/>
      <c r="AK146" s="176"/>
      <c r="AL146" s="176"/>
      <c r="AM146" s="176"/>
      <c r="AN146" s="176"/>
    </row>
    <row r="147" spans="3:41" x14ac:dyDescent="0.2">
      <c r="C147" s="176" t="s">
        <v>235</v>
      </c>
      <c r="D147" s="246">
        <v>0.09</v>
      </c>
      <c r="E147" s="176"/>
      <c r="F147" s="104"/>
      <c r="G147" s="176"/>
      <c r="H147" s="176"/>
      <c r="O147" s="176" t="s">
        <v>235</v>
      </c>
      <c r="P147" s="246">
        <v>0.09</v>
      </c>
      <c r="Q147" s="176"/>
      <c r="R147" s="104"/>
      <c r="S147" s="176"/>
      <c r="T147" s="176"/>
      <c r="Y147" s="176" t="s">
        <v>235</v>
      </c>
      <c r="Z147" s="246">
        <v>0.09</v>
      </c>
      <c r="AA147" s="176"/>
      <c r="AB147" s="104"/>
      <c r="AC147" s="176"/>
      <c r="AD147" s="176"/>
      <c r="AI147" s="176" t="s">
        <v>235</v>
      </c>
      <c r="AJ147" s="246">
        <v>0.09</v>
      </c>
      <c r="AK147" s="176"/>
      <c r="AL147" s="104"/>
      <c r="AM147" s="176"/>
      <c r="AN147" s="176"/>
    </row>
    <row r="148" spans="3:41" x14ac:dyDescent="0.2">
      <c r="C148" s="176"/>
      <c r="E148" s="176"/>
      <c r="F148" s="176"/>
      <c r="G148" s="176"/>
      <c r="H148" s="176"/>
      <c r="O148" s="176"/>
      <c r="Q148" s="176"/>
      <c r="R148" s="176"/>
      <c r="S148" s="176"/>
      <c r="T148" s="176"/>
      <c r="Y148" s="176"/>
      <c r="AA148" s="176"/>
      <c r="AB148" s="176"/>
      <c r="AC148" s="176"/>
      <c r="AD148" s="176"/>
      <c r="AI148" s="176"/>
      <c r="AK148" s="176"/>
      <c r="AL148" s="176"/>
      <c r="AM148" s="176"/>
      <c r="AN148" s="176"/>
    </row>
    <row r="149" spans="3:41" x14ac:dyDescent="0.2">
      <c r="C149" s="244" t="s">
        <v>180</v>
      </c>
      <c r="D149" s="206"/>
      <c r="E149" s="176"/>
      <c r="F149" s="176"/>
      <c r="G149" s="176"/>
      <c r="H149" s="176"/>
      <c r="O149" s="244" t="s">
        <v>180</v>
      </c>
      <c r="P149" s="206"/>
      <c r="Q149" s="176"/>
      <c r="R149" s="176"/>
      <c r="S149" s="176"/>
      <c r="T149" s="176"/>
      <c r="Y149" s="244" t="s">
        <v>180</v>
      </c>
      <c r="Z149" s="206"/>
      <c r="AA149" s="176"/>
      <c r="AB149" s="176"/>
      <c r="AC149" s="176"/>
      <c r="AD149" s="176"/>
      <c r="AI149" s="244" t="s">
        <v>180</v>
      </c>
      <c r="AJ149" s="206"/>
      <c r="AK149" s="176"/>
      <c r="AL149" s="176"/>
      <c r="AM149" s="176"/>
      <c r="AN149" s="176"/>
    </row>
    <row r="150" spans="3:41" x14ac:dyDescent="0.2">
      <c r="C150" s="176" t="s">
        <v>292</v>
      </c>
      <c r="D150" s="206"/>
      <c r="E150" s="176"/>
      <c r="F150" s="176"/>
      <c r="G150" s="176"/>
      <c r="H150" s="176"/>
      <c r="O150" s="176" t="s">
        <v>292</v>
      </c>
      <c r="P150" s="206"/>
      <c r="Q150" s="176"/>
      <c r="R150" s="176"/>
      <c r="S150" s="176"/>
      <c r="T150" s="176"/>
      <c r="Y150" s="176" t="s">
        <v>292</v>
      </c>
      <c r="Z150" s="206"/>
      <c r="AA150" s="176"/>
      <c r="AB150" s="176"/>
      <c r="AC150" s="176"/>
      <c r="AD150" s="176"/>
      <c r="AI150" s="176" t="s">
        <v>292</v>
      </c>
      <c r="AJ150" s="206"/>
      <c r="AK150" s="176"/>
      <c r="AL150" s="176"/>
      <c r="AM150" s="176"/>
      <c r="AN150" s="176"/>
    </row>
    <row r="151" spans="3:41" x14ac:dyDescent="0.2">
      <c r="C151" s="183" t="s">
        <v>293</v>
      </c>
      <c r="D151" s="176"/>
      <c r="E151" s="273">
        <f>SUM(E125/D122)</f>
        <v>176.66666666666669</v>
      </c>
      <c r="F151" s="176"/>
      <c r="G151" s="176"/>
      <c r="H151" s="176"/>
      <c r="O151" s="183" t="s">
        <v>293</v>
      </c>
      <c r="P151" s="176"/>
      <c r="Q151" s="273">
        <f>SUM(Q125/P122)</f>
        <v>58.888888888888886</v>
      </c>
      <c r="R151" s="176"/>
      <c r="S151" s="176"/>
      <c r="T151" s="176"/>
      <c r="Y151" s="183" t="s">
        <v>293</v>
      </c>
      <c r="Z151" s="176"/>
      <c r="AA151" s="273">
        <f>SUM(AA125/Z122)</f>
        <v>64.444444444444443</v>
      </c>
      <c r="AB151" s="176"/>
      <c r="AC151" s="176"/>
      <c r="AD151" s="176"/>
      <c r="AI151" s="183" t="s">
        <v>293</v>
      </c>
      <c r="AJ151" s="176"/>
      <c r="AK151" s="273">
        <f>SUM(AK125/AJ122)</f>
        <v>1.25</v>
      </c>
      <c r="AL151" s="176"/>
      <c r="AM151" s="176"/>
      <c r="AN151" s="176"/>
    </row>
    <row r="152" spans="3:41" x14ac:dyDescent="0.2">
      <c r="C152" s="176" t="s">
        <v>294</v>
      </c>
      <c r="D152" s="206"/>
      <c r="E152" s="200">
        <f>E151+1</f>
        <v>177.66666666666669</v>
      </c>
      <c r="F152" s="176" t="s">
        <v>295</v>
      </c>
      <c r="G152" s="176"/>
      <c r="H152" s="176"/>
      <c r="O152" s="176" t="s">
        <v>294</v>
      </c>
      <c r="P152" s="206"/>
      <c r="Q152" s="200">
        <f>Q151+1</f>
        <v>59.888888888888886</v>
      </c>
      <c r="R152" s="176" t="s">
        <v>295</v>
      </c>
      <c r="S152" s="176"/>
      <c r="T152" s="176"/>
      <c r="Y152" s="176" t="s">
        <v>294</v>
      </c>
      <c r="Z152" s="206"/>
      <c r="AA152" s="200">
        <f>AA151+1</f>
        <v>65.444444444444443</v>
      </c>
      <c r="AB152" s="176" t="s">
        <v>295</v>
      </c>
      <c r="AC152" s="176"/>
      <c r="AD152" s="176"/>
      <c r="AI152" s="176" t="s">
        <v>294</v>
      </c>
      <c r="AJ152" s="206"/>
      <c r="AK152" s="200">
        <f>AK151+1</f>
        <v>2.25</v>
      </c>
      <c r="AL152" s="176" t="s">
        <v>295</v>
      </c>
      <c r="AM152" s="176"/>
      <c r="AN152" s="176"/>
    </row>
    <row r="153" spans="3:41" x14ac:dyDescent="0.2">
      <c r="C153" s="183" t="s">
        <v>296</v>
      </c>
      <c r="D153" s="176"/>
      <c r="E153" s="273">
        <f>SUM(E152*4)</f>
        <v>710.66666666666674</v>
      </c>
      <c r="F153" s="176" t="s">
        <v>297</v>
      </c>
      <c r="G153" s="251">
        <v>0.03</v>
      </c>
      <c r="H153" s="251"/>
      <c r="O153" s="183" t="s">
        <v>296</v>
      </c>
      <c r="P153" s="176"/>
      <c r="Q153" s="273">
        <f>SUM(Q152*4)</f>
        <v>239.55555555555554</v>
      </c>
      <c r="R153" s="176" t="s">
        <v>297</v>
      </c>
      <c r="S153" s="251">
        <v>0.03</v>
      </c>
      <c r="T153" s="251"/>
      <c r="Y153" s="183" t="s">
        <v>296</v>
      </c>
      <c r="Z153" s="176"/>
      <c r="AA153" s="273">
        <f>SUM(AA152*4)</f>
        <v>261.77777777777777</v>
      </c>
      <c r="AB153" s="176" t="s">
        <v>297</v>
      </c>
      <c r="AC153" s="251">
        <v>0.03</v>
      </c>
      <c r="AD153" s="251"/>
      <c r="AI153" s="183" t="s">
        <v>296</v>
      </c>
      <c r="AJ153" s="176"/>
      <c r="AK153" s="273">
        <f>SUM(AK152*4)</f>
        <v>9</v>
      </c>
      <c r="AL153" s="176" t="s">
        <v>297</v>
      </c>
      <c r="AM153" s="251">
        <v>0.03</v>
      </c>
      <c r="AN153" s="251"/>
    </row>
    <row r="154" spans="3:41" x14ac:dyDescent="0.2">
      <c r="C154" s="176" t="s">
        <v>370</v>
      </c>
      <c r="D154" s="274">
        <f>SUM(E153*G153)/H125</f>
        <v>0.10056603773584906</v>
      </c>
      <c r="E154" s="275" t="s">
        <v>299</v>
      </c>
      <c r="F154" s="176"/>
      <c r="G154" s="176"/>
      <c r="H154" s="176"/>
      <c r="O154" s="176" t="s">
        <v>370</v>
      </c>
      <c r="P154" s="274">
        <f>SUM(Q153*S153)/T125</f>
        <v>3.3899371069182387E-2</v>
      </c>
      <c r="Q154" s="275" t="s">
        <v>299</v>
      </c>
      <c r="R154" s="176"/>
      <c r="S154" s="176"/>
      <c r="T154" s="176"/>
      <c r="Y154" s="176" t="s">
        <v>370</v>
      </c>
      <c r="Z154" s="274">
        <f>SUM(AA153*AC153)/AD125</f>
        <v>3.3850574712643675E-2</v>
      </c>
      <c r="AA154" s="275" t="s">
        <v>299</v>
      </c>
      <c r="AB154" s="176"/>
      <c r="AC154" s="176"/>
      <c r="AD154" s="176"/>
      <c r="AI154" s="176" t="s">
        <v>370</v>
      </c>
      <c r="AJ154" s="274">
        <f>SUM(AK153*AM153)/AN125</f>
        <v>4.5000000000000005E-2</v>
      </c>
      <c r="AK154" s="275" t="s">
        <v>299</v>
      </c>
      <c r="AL154" s="176"/>
      <c r="AM154" s="176"/>
      <c r="AN154" s="176"/>
    </row>
    <row r="155" spans="3:41" x14ac:dyDescent="0.2">
      <c r="C155" s="176"/>
      <c r="D155" s="274"/>
      <c r="E155" s="275"/>
      <c r="F155" s="176"/>
      <c r="G155" s="176"/>
      <c r="H155" s="176"/>
      <c r="O155" s="176"/>
      <c r="P155" s="274"/>
      <c r="Q155" s="275"/>
      <c r="R155" s="176"/>
      <c r="S155" s="176"/>
      <c r="T155" s="176"/>
      <c r="Y155" s="176"/>
      <c r="Z155" s="274"/>
      <c r="AA155" s="275"/>
      <c r="AB155" s="176"/>
      <c r="AC155" s="176"/>
      <c r="AD155" s="176"/>
      <c r="AI155" s="176"/>
      <c r="AJ155" s="274"/>
      <c r="AK155" s="275"/>
      <c r="AL155" s="176"/>
      <c r="AM155" s="176"/>
      <c r="AN155" s="176"/>
    </row>
    <row r="156" spans="3:41" x14ac:dyDescent="0.2">
      <c r="C156" s="244" t="s">
        <v>311</v>
      </c>
      <c r="F156" s="176"/>
      <c r="G156" s="176"/>
      <c r="H156" s="176"/>
      <c r="I156" s="274"/>
      <c r="O156" s="244" t="s">
        <v>311</v>
      </c>
      <c r="R156" s="176"/>
      <c r="S156" s="176"/>
      <c r="T156" s="176"/>
      <c r="U156" s="274"/>
      <c r="Y156" s="244" t="s">
        <v>311</v>
      </c>
      <c r="AB156" s="176"/>
      <c r="AC156" s="176"/>
      <c r="AD156" s="176"/>
      <c r="AE156" s="274"/>
      <c r="AI156" s="244" t="s">
        <v>311</v>
      </c>
      <c r="AL156" s="176"/>
      <c r="AM156" s="176"/>
      <c r="AN156" s="176"/>
      <c r="AO156" s="274"/>
    </row>
    <row r="157" spans="3:41" x14ac:dyDescent="0.2">
      <c r="C157" s="176" t="s">
        <v>368</v>
      </c>
      <c r="D157" s="176"/>
      <c r="E157" s="273">
        <f>E125/0.6*2</f>
        <v>353.33333333333337</v>
      </c>
      <c r="F157" s="176"/>
      <c r="G157" s="176"/>
      <c r="H157" s="176"/>
      <c r="O157" s="176" t="s">
        <v>368</v>
      </c>
      <c r="P157" s="176"/>
      <c r="Q157" s="273">
        <f>Q125/0.6*2</f>
        <v>353.33333333333337</v>
      </c>
      <c r="R157" s="176"/>
      <c r="S157" s="176"/>
      <c r="T157" s="176"/>
      <c r="Y157" s="176" t="s">
        <v>465</v>
      </c>
      <c r="Z157" s="176"/>
      <c r="AA157" s="273">
        <f>AA125/1.8*2</f>
        <v>128.88888888888889</v>
      </c>
      <c r="AB157" s="176"/>
      <c r="AC157" s="176"/>
      <c r="AD157" s="176"/>
      <c r="AI157" s="176" t="s">
        <v>465</v>
      </c>
      <c r="AJ157" s="176"/>
      <c r="AK157" s="273">
        <f>AK125/1.8*2</f>
        <v>3.333333333333333</v>
      </c>
      <c r="AL157" s="176"/>
      <c r="AM157" s="176"/>
      <c r="AN157" s="176"/>
    </row>
    <row r="158" spans="3:41" x14ac:dyDescent="0.2">
      <c r="C158" s="176" t="s">
        <v>312</v>
      </c>
      <c r="D158" s="176"/>
      <c r="E158" s="273">
        <f>E157+2</f>
        <v>355.33333333333337</v>
      </c>
      <c r="F158" s="176" t="s">
        <v>313</v>
      </c>
      <c r="G158" s="251">
        <v>0.18</v>
      </c>
      <c r="H158" s="251"/>
      <c r="O158" s="176" t="s">
        <v>312</v>
      </c>
      <c r="P158" s="176"/>
      <c r="Q158" s="273">
        <f>Q157+2</f>
        <v>355.33333333333337</v>
      </c>
      <c r="R158" s="176" t="s">
        <v>313</v>
      </c>
      <c r="S158" s="251">
        <v>0.18</v>
      </c>
      <c r="T158" s="251"/>
      <c r="Y158" s="176" t="s">
        <v>312</v>
      </c>
      <c r="Z158" s="176"/>
      <c r="AA158" s="273">
        <f>AA157+2</f>
        <v>130.88888888888889</v>
      </c>
      <c r="AB158" s="176" t="s">
        <v>313</v>
      </c>
      <c r="AC158" s="251">
        <f>AA158*1.75</f>
        <v>229.05555555555554</v>
      </c>
      <c r="AD158" s="251"/>
      <c r="AI158" s="176" t="s">
        <v>312</v>
      </c>
      <c r="AJ158" s="176"/>
      <c r="AK158" s="273">
        <f>AK157+2</f>
        <v>5.333333333333333</v>
      </c>
      <c r="AL158" s="176" t="s">
        <v>313</v>
      </c>
      <c r="AM158" s="251">
        <f>AK158*1.75</f>
        <v>9.3333333333333321</v>
      </c>
      <c r="AN158" s="251"/>
    </row>
    <row r="159" spans="3:41" x14ac:dyDescent="0.2">
      <c r="C159" s="176"/>
      <c r="D159" s="274">
        <v>7</v>
      </c>
      <c r="E159" s="275" t="s">
        <v>299</v>
      </c>
      <c r="F159" s="176"/>
      <c r="G159" s="176"/>
      <c r="H159" s="176"/>
      <c r="O159" s="176"/>
      <c r="P159" s="274">
        <v>7</v>
      </c>
      <c r="Q159" s="275" t="s">
        <v>299</v>
      </c>
      <c r="R159" s="176"/>
      <c r="S159" s="176"/>
      <c r="T159" s="176"/>
      <c r="Y159" s="176"/>
      <c r="Z159" s="274">
        <f>AC158/AA125</f>
        <v>1.9746168582375478</v>
      </c>
      <c r="AA159" s="275" t="s">
        <v>299</v>
      </c>
      <c r="AB159" s="176"/>
      <c r="AC159" s="176"/>
      <c r="AD159" s="176"/>
      <c r="AI159" s="176"/>
      <c r="AJ159" s="274">
        <f>AM158/AK125</f>
        <v>3.1111111111111107</v>
      </c>
      <c r="AK159" s="275" t="s">
        <v>299</v>
      </c>
      <c r="AL159" s="176"/>
      <c r="AM159" s="176"/>
      <c r="AN159" s="176"/>
    </row>
    <row r="160" spans="3:41" x14ac:dyDescent="0.2">
      <c r="C160" s="176"/>
      <c r="D160" s="274"/>
      <c r="E160" s="275"/>
      <c r="F160" s="176"/>
      <c r="G160" s="176"/>
      <c r="O160" s="176"/>
      <c r="P160" s="274"/>
      <c r="Q160" s="275"/>
      <c r="R160" s="176"/>
      <c r="S160" s="176"/>
      <c r="Y160" s="176"/>
      <c r="Z160" s="274"/>
      <c r="AA160" s="275"/>
      <c r="AB160" s="176"/>
      <c r="AC160" s="176"/>
      <c r="AI160" s="176"/>
      <c r="AJ160" s="274"/>
      <c r="AK160" s="275"/>
      <c r="AL160" s="176"/>
      <c r="AM160" s="176"/>
    </row>
    <row r="161" spans="2:41" x14ac:dyDescent="0.2">
      <c r="C161" s="176"/>
      <c r="D161" s="202">
        <f>SUM(D143:D159)</f>
        <v>11.313542037735848</v>
      </c>
      <c r="E161" s="176"/>
      <c r="F161" s="176" t="s">
        <v>246</v>
      </c>
      <c r="G161" s="176" t="s">
        <v>219</v>
      </c>
      <c r="I161" s="210"/>
      <c r="O161" s="176"/>
      <c r="P161" s="202">
        <f>SUM(P143:P159)</f>
        <v>14.286875371069183</v>
      </c>
      <c r="Q161" s="176"/>
      <c r="R161" s="176" t="s">
        <v>246</v>
      </c>
      <c r="S161" s="176" t="s">
        <v>219</v>
      </c>
      <c r="U161" s="210"/>
      <c r="Y161" s="176"/>
      <c r="Z161" s="202">
        <f>SUM(Z143:Z159)</f>
        <v>10.06144343295019</v>
      </c>
      <c r="AA161" s="176"/>
      <c r="AB161" s="176" t="s">
        <v>246</v>
      </c>
      <c r="AC161" s="176" t="s">
        <v>219</v>
      </c>
      <c r="AE161" s="210"/>
      <c r="AI161" s="176"/>
      <c r="AJ161" s="202">
        <f>SUM(AJ143:AJ159)</f>
        <v>11.20908711111111</v>
      </c>
      <c r="AK161" s="176"/>
      <c r="AL161" s="176" t="s">
        <v>246</v>
      </c>
      <c r="AM161" s="176" t="s">
        <v>219</v>
      </c>
      <c r="AO161" s="210"/>
    </row>
    <row r="162" spans="2:41" x14ac:dyDescent="0.2">
      <c r="C162" s="176" t="s">
        <v>236</v>
      </c>
      <c r="D162" s="254">
        <f>D161*5%</f>
        <v>0.56567710188679243</v>
      </c>
      <c r="E162" s="176"/>
      <c r="F162" s="215">
        <f>E141-G162</f>
        <v>1026.0250000000001</v>
      </c>
      <c r="G162" s="215">
        <f>D134*G125</f>
        <v>785.93067279999991</v>
      </c>
      <c r="O162" s="176" t="s">
        <v>236</v>
      </c>
      <c r="P162" s="254">
        <f>P161*5%</f>
        <v>0.71434376855345916</v>
      </c>
      <c r="Q162" s="176"/>
      <c r="R162" s="215">
        <f>Q141-S162</f>
        <v>345.85833333333341</v>
      </c>
      <c r="S162" s="215">
        <f>P134*S125</f>
        <v>264.92597413333323</v>
      </c>
      <c r="Y162" s="176" t="s">
        <v>236</v>
      </c>
      <c r="Z162" s="254">
        <f>Z161*5%</f>
        <v>0.5030721716475095</v>
      </c>
      <c r="AA162" s="176"/>
      <c r="AB162" s="215">
        <f>AA141-AC162</f>
        <v>251.96111111111111</v>
      </c>
      <c r="AC162" s="215">
        <f>Z134*AC125</f>
        <v>699.74016746666655</v>
      </c>
      <c r="AI162" s="176" t="s">
        <v>236</v>
      </c>
      <c r="AJ162" s="254">
        <f>AJ161*5%</f>
        <v>0.56045435555555556</v>
      </c>
      <c r="AK162" s="176"/>
      <c r="AL162" s="215">
        <f>AK141-AM162</f>
        <v>32.917499999999997</v>
      </c>
      <c r="AM162" s="215">
        <f>AJ134*AM125</f>
        <v>58.342667039999988</v>
      </c>
    </row>
    <row r="163" spans="2:41" ht="15" x14ac:dyDescent="0.25">
      <c r="B163" t="s">
        <v>307</v>
      </c>
      <c r="C163" s="176"/>
      <c r="D163" s="105">
        <f>SUM(D161:D162)</f>
        <v>11.879219139622641</v>
      </c>
      <c r="E163" s="176"/>
      <c r="F163" s="321">
        <f>E170-G163</f>
        <v>1224.2999999999997</v>
      </c>
      <c r="G163" s="321">
        <f>D163*H125</f>
        <v>2518.3944575999999</v>
      </c>
      <c r="H163" s="104"/>
      <c r="I163" s="106"/>
      <c r="N163" t="s">
        <v>307</v>
      </c>
      <c r="O163" s="176"/>
      <c r="P163" s="105">
        <f>SUM(P161:P162)</f>
        <v>15.001219139622641</v>
      </c>
      <c r="Q163" s="176"/>
      <c r="R163" s="321">
        <f>Q170-S163</f>
        <v>1224.3000000000002</v>
      </c>
      <c r="S163" s="321">
        <f>P163*T125</f>
        <v>3180.2584575999999</v>
      </c>
      <c r="T163" s="104"/>
      <c r="U163" s="106"/>
      <c r="X163" t="s">
        <v>307</v>
      </c>
      <c r="Y163" s="176"/>
      <c r="Z163" s="105">
        <f>SUM(Z161:Z162)</f>
        <v>10.5645156045977</v>
      </c>
      <c r="AA163" s="176"/>
      <c r="AB163" s="321">
        <f>AA170-AC163</f>
        <v>1339.8000000000002</v>
      </c>
      <c r="AC163" s="321">
        <f>Z163*AD125</f>
        <v>2450.9676202666665</v>
      </c>
      <c r="AD163" s="104"/>
      <c r="AE163" s="106"/>
      <c r="AH163" t="s">
        <v>307</v>
      </c>
      <c r="AI163" s="176"/>
      <c r="AJ163" s="105">
        <f>SUM(AJ161:AJ162)</f>
        <v>11.769541466666665</v>
      </c>
      <c r="AK163" s="176"/>
      <c r="AL163" s="321">
        <f>AK170-AM163</f>
        <v>34.650000000000006</v>
      </c>
      <c r="AM163" s="321">
        <f>AJ163*AN125</f>
        <v>70.617248799999984</v>
      </c>
      <c r="AN163" s="104"/>
      <c r="AO163" s="106"/>
    </row>
    <row r="164" spans="2:41" x14ac:dyDescent="0.2">
      <c r="C164" s="244" t="s">
        <v>238</v>
      </c>
      <c r="D164" s="176"/>
      <c r="E164" s="183" t="s">
        <v>301</v>
      </c>
      <c r="F164" s="215">
        <f>SUM(F162:F163)</f>
        <v>2250.3249999999998</v>
      </c>
      <c r="G164" s="215">
        <f>SUM(G162:G163)</f>
        <v>3304.3251303999996</v>
      </c>
      <c r="H164" s="176"/>
      <c r="O164" s="244" t="s">
        <v>238</v>
      </c>
      <c r="P164" s="176"/>
      <c r="Q164" s="183" t="s">
        <v>301</v>
      </c>
      <c r="R164" s="215">
        <f>SUM(R162:R163)</f>
        <v>1570.1583333333335</v>
      </c>
      <c r="S164" s="215">
        <f>SUM(S162:S163)</f>
        <v>3445.184431733333</v>
      </c>
      <c r="T164" s="176"/>
      <c r="Y164" s="244" t="s">
        <v>238</v>
      </c>
      <c r="Z164" s="176"/>
      <c r="AA164" s="183" t="s">
        <v>301</v>
      </c>
      <c r="AB164" s="215">
        <f>SUM(AB162:AB163)</f>
        <v>1591.7611111111114</v>
      </c>
      <c r="AC164" s="215">
        <f>SUM(AC162:AC163)</f>
        <v>3150.7077877333331</v>
      </c>
      <c r="AD164" s="215">
        <f>SUM(AB164:AC164)</f>
        <v>4742.468898844445</v>
      </c>
      <c r="AI164" s="244" t="s">
        <v>238</v>
      </c>
      <c r="AJ164" s="176"/>
      <c r="AK164" s="183" t="s">
        <v>301</v>
      </c>
      <c r="AL164" s="215">
        <f>SUM(AL162:AL163)</f>
        <v>67.567499999999995</v>
      </c>
      <c r="AM164" s="215">
        <f>SUM(AM162:AM163)</f>
        <v>128.95991583999998</v>
      </c>
      <c r="AN164" s="215">
        <f>SUM(AL164:AM164)</f>
        <v>196.52741583999997</v>
      </c>
    </row>
    <row r="165" spans="2:41" x14ac:dyDescent="0.2">
      <c r="C165" s="244" t="s">
        <v>302</v>
      </c>
      <c r="D165" s="176"/>
      <c r="E165" s="257">
        <v>55</v>
      </c>
      <c r="F165" s="215">
        <f>F164/E125</f>
        <v>21.22948113207547</v>
      </c>
      <c r="G165" s="215">
        <f>G164/E125</f>
        <v>31.172878588679243</v>
      </c>
      <c r="H165" s="215">
        <f>SUM(F165:G165)</f>
        <v>52.402359720754717</v>
      </c>
      <c r="O165" s="244" t="s">
        <v>302</v>
      </c>
      <c r="P165" s="176"/>
      <c r="Q165" s="257">
        <v>55</v>
      </c>
      <c r="R165" s="215">
        <f>R164/Q125</f>
        <v>14.812814465408806</v>
      </c>
      <c r="S165" s="215">
        <f>S164/Q125</f>
        <v>32.501739922012575</v>
      </c>
      <c r="T165" s="215">
        <f>SUM(R165:S165)</f>
        <v>47.314554387421381</v>
      </c>
      <c r="Y165" s="244" t="s">
        <v>302</v>
      </c>
      <c r="Z165" s="176"/>
      <c r="AA165" s="257">
        <v>55</v>
      </c>
      <c r="AB165" s="215">
        <f>AB164/AA125</f>
        <v>13.722078544061306</v>
      </c>
      <c r="AC165" s="215">
        <f>AC164/AA125</f>
        <v>27.161274032183908</v>
      </c>
      <c r="AD165" s="215">
        <f>SUM(AB165:AC165)</f>
        <v>40.883352576245215</v>
      </c>
      <c r="AI165" s="244" t="s">
        <v>302</v>
      </c>
      <c r="AJ165" s="176"/>
      <c r="AK165" s="257">
        <v>55</v>
      </c>
      <c r="AL165" s="215">
        <f>AL164/AK125</f>
        <v>22.522499999999997</v>
      </c>
      <c r="AM165" s="215">
        <f>AM164/AK125</f>
        <v>42.986638613333326</v>
      </c>
      <c r="AN165" s="215">
        <f>SUM(AL165:AM165)</f>
        <v>65.50913861333332</v>
      </c>
    </row>
    <row r="166" spans="2:41" x14ac:dyDescent="0.2">
      <c r="C166" s="104">
        <v>10</v>
      </c>
      <c r="D166" s="276">
        <f>E165/C166</f>
        <v>5.5</v>
      </c>
      <c r="E166" s="176"/>
      <c r="F166" s="322">
        <f>F165/E165</f>
        <v>0.38599056603773585</v>
      </c>
      <c r="G166" s="176"/>
      <c r="H166" s="274"/>
      <c r="O166" s="104">
        <v>10</v>
      </c>
      <c r="P166" s="276">
        <f>Q165/O166</f>
        <v>5.5</v>
      </c>
      <c r="Q166" s="176"/>
      <c r="R166" s="322">
        <f>R165/Q165</f>
        <v>0.26932389937106921</v>
      </c>
      <c r="S166" s="176"/>
      <c r="T166" s="274"/>
      <c r="Y166" s="104">
        <v>10</v>
      </c>
      <c r="Z166" s="276">
        <f>AA165/Y166</f>
        <v>5.5</v>
      </c>
      <c r="AA166" s="176"/>
      <c r="AB166" s="322">
        <f>AB165/AA165</f>
        <v>0.24949233716475103</v>
      </c>
      <c r="AC166" s="176"/>
      <c r="AD166" s="274"/>
      <c r="AI166" s="104">
        <v>10</v>
      </c>
      <c r="AJ166" s="276">
        <f>AK165/AI166</f>
        <v>5.5</v>
      </c>
      <c r="AK166" s="176"/>
      <c r="AL166" s="322">
        <f>AL165/AK165</f>
        <v>0.40949999999999998</v>
      </c>
      <c r="AM166" s="176"/>
      <c r="AN166" s="274"/>
    </row>
    <row r="167" spans="2:41" x14ac:dyDescent="0.2">
      <c r="C167" s="244" t="s">
        <v>303</v>
      </c>
      <c r="D167" s="176"/>
      <c r="E167" s="176"/>
      <c r="F167" s="176"/>
      <c r="G167" s="176"/>
      <c r="H167" s="274"/>
      <c r="I167" s="251"/>
      <c r="O167" s="244" t="s">
        <v>303</v>
      </c>
      <c r="P167" s="176"/>
      <c r="Q167" s="176"/>
      <c r="R167" s="176"/>
      <c r="S167" s="176"/>
      <c r="T167" s="274"/>
      <c r="U167" s="251"/>
      <c r="Y167" s="244" t="s">
        <v>303</v>
      </c>
      <c r="Z167" s="176"/>
      <c r="AA167" s="176"/>
      <c r="AB167" s="176"/>
      <c r="AC167" s="176"/>
      <c r="AD167" s="274"/>
      <c r="AE167" s="251"/>
      <c r="AI167" s="244" t="s">
        <v>303</v>
      </c>
      <c r="AJ167" s="176"/>
      <c r="AK167" s="176"/>
      <c r="AL167" s="176"/>
      <c r="AM167" s="176"/>
      <c r="AN167" s="274"/>
      <c r="AO167" s="251"/>
    </row>
    <row r="168" spans="2:41" x14ac:dyDescent="0.2">
      <c r="C168" s="178">
        <v>0.05</v>
      </c>
      <c r="D168" s="276">
        <f>D166*5%</f>
        <v>0.27500000000000002</v>
      </c>
      <c r="E168" s="176"/>
      <c r="F168" s="176"/>
      <c r="G168" s="176"/>
      <c r="H168" s="176"/>
      <c r="O168" s="178">
        <v>0.05</v>
      </c>
      <c r="P168" s="276">
        <f>P166*5%</f>
        <v>0.27500000000000002</v>
      </c>
      <c r="Q168" s="176"/>
      <c r="R168" s="176"/>
      <c r="S168" s="176"/>
      <c r="T168" s="176"/>
      <c r="Y168" s="178">
        <v>0.05</v>
      </c>
      <c r="Z168" s="276">
        <f>Z166*5%</f>
        <v>0.27500000000000002</v>
      </c>
      <c r="AA168" s="176"/>
      <c r="AB168" s="176"/>
      <c r="AC168" s="176"/>
      <c r="AD168" s="176"/>
      <c r="AI168" s="178">
        <v>0.05</v>
      </c>
      <c r="AJ168" s="276">
        <f>AJ166*5%</f>
        <v>0.27500000000000002</v>
      </c>
      <c r="AK168" s="176"/>
      <c r="AL168" s="176"/>
      <c r="AM168" s="176"/>
      <c r="AN168" s="176"/>
    </row>
    <row r="169" spans="2:41" x14ac:dyDescent="0.2">
      <c r="C169" s="176"/>
      <c r="D169" s="278">
        <f>SUM(D163:D168)</f>
        <v>17.65421913962264</v>
      </c>
      <c r="E169" s="183" t="s">
        <v>305</v>
      </c>
      <c r="F169" s="176"/>
      <c r="G169" s="176"/>
      <c r="O169" s="176"/>
      <c r="P169" s="278">
        <f>SUM(P163:P168)</f>
        <v>20.77621913962264</v>
      </c>
      <c r="Q169" s="183" t="s">
        <v>305</v>
      </c>
      <c r="R169" s="176"/>
      <c r="S169" s="176"/>
      <c r="Y169" s="176"/>
      <c r="Z169" s="278">
        <f>SUM(Z163:Z168)</f>
        <v>16.3395156045977</v>
      </c>
      <c r="AA169" s="183" t="s">
        <v>305</v>
      </c>
      <c r="AB169" s="176"/>
      <c r="AC169" s="176"/>
      <c r="AI169" s="176"/>
      <c r="AJ169" s="278">
        <f>SUM(AJ163:AJ168)</f>
        <v>17.544541466666665</v>
      </c>
      <c r="AK169" s="183" t="s">
        <v>305</v>
      </c>
      <c r="AL169" s="176"/>
      <c r="AM169" s="176"/>
    </row>
    <row r="170" spans="2:41" x14ac:dyDescent="0.2">
      <c r="C170" s="259" t="s">
        <v>314</v>
      </c>
      <c r="D170" s="283"/>
      <c r="E170" s="280">
        <f>SUM(D169*H125)</f>
        <v>3742.6944575999996</v>
      </c>
      <c r="F170" s="176"/>
      <c r="G170" s="176"/>
      <c r="O170" s="259" t="s">
        <v>314</v>
      </c>
      <c r="P170" s="283"/>
      <c r="Q170" s="280">
        <f>SUM(P169*T125)</f>
        <v>4404.5584576000001</v>
      </c>
      <c r="R170" s="176"/>
      <c r="S170" s="176"/>
      <c r="Y170" s="259" t="s">
        <v>314</v>
      </c>
      <c r="Z170" s="283"/>
      <c r="AA170" s="280">
        <f>SUM(Z169*AD125)</f>
        <v>3790.7676202666667</v>
      </c>
      <c r="AB170" s="176"/>
      <c r="AC170" s="176"/>
      <c r="AI170" s="259" t="s">
        <v>314</v>
      </c>
      <c r="AJ170" s="283"/>
      <c r="AK170" s="280">
        <f>SUM(AJ169*AN125)</f>
        <v>105.26724879999999</v>
      </c>
      <c r="AL170" s="176"/>
      <c r="AM170" s="176"/>
    </row>
    <row r="171" spans="2:41" x14ac:dyDescent="0.2">
      <c r="C171" t="s">
        <v>315</v>
      </c>
      <c r="E171" s="210">
        <f>SUM(E141+E170)</f>
        <v>5554.6501303999994</v>
      </c>
      <c r="F171" t="s">
        <v>316</v>
      </c>
      <c r="H171" s="222"/>
      <c r="I171" s="222"/>
      <c r="O171" t="s">
        <v>315</v>
      </c>
      <c r="Q171" s="210">
        <f>SUM(Q141+Q170)</f>
        <v>5015.3427650666672</v>
      </c>
      <c r="R171" t="s">
        <v>316</v>
      </c>
      <c r="T171" s="222"/>
      <c r="U171" s="222"/>
      <c r="Y171" t="s">
        <v>315</v>
      </c>
      <c r="AA171" s="210">
        <f>SUM(AA141+AA170)</f>
        <v>4742.4688988444441</v>
      </c>
      <c r="AB171" t="s">
        <v>316</v>
      </c>
      <c r="AD171" s="222"/>
      <c r="AE171" s="222"/>
      <c r="AI171" t="s">
        <v>315</v>
      </c>
      <c r="AK171" s="210">
        <f>SUM(AK141+AK170)</f>
        <v>196.52741583999997</v>
      </c>
      <c r="AL171" t="s">
        <v>316</v>
      </c>
      <c r="AN171" s="222"/>
      <c r="AO171" s="222"/>
    </row>
    <row r="172" spans="2:41" ht="15.75" thickBot="1" x14ac:dyDescent="0.3">
      <c r="E172" s="285">
        <f>SUM(E171/E125)</f>
        <v>52.40235972075471</v>
      </c>
      <c r="F172" s="214" t="s">
        <v>46</v>
      </c>
      <c r="H172" s="251"/>
      <c r="Q172" s="285">
        <f>SUM(Q171/Q125)</f>
        <v>47.314554387421389</v>
      </c>
      <c r="R172" s="214" t="s">
        <v>46</v>
      </c>
      <c r="T172" s="251"/>
      <c r="AA172" s="285">
        <f>SUM(AA171/AA125)</f>
        <v>40.883352576245208</v>
      </c>
      <c r="AB172" s="214" t="s">
        <v>46</v>
      </c>
      <c r="AD172" s="251"/>
      <c r="AK172" s="285">
        <f>SUM(AK171/AK125)</f>
        <v>65.50913861333332</v>
      </c>
      <c r="AL172" s="214" t="s">
        <v>46</v>
      </c>
      <c r="AN172" s="251"/>
    </row>
    <row r="173" spans="2:41" ht="16.5" thickTop="1" thickBot="1" x14ac:dyDescent="0.3">
      <c r="E173" s="316">
        <f>SUM(E171/I125)</f>
        <v>52.40235972075471</v>
      </c>
      <c r="F173" s="214" t="s">
        <v>45</v>
      </c>
      <c r="H173" s="251"/>
      <c r="Q173" s="316">
        <f>SUM(Q171/U125)</f>
        <v>47.314554387421389</v>
      </c>
      <c r="R173" s="214" t="s">
        <v>45</v>
      </c>
      <c r="T173" s="251"/>
      <c r="AA173" s="316">
        <f>SUM(AA171/AE125)</f>
        <v>40.883352576245208</v>
      </c>
      <c r="AB173" s="214" t="s">
        <v>45</v>
      </c>
      <c r="AD173" s="251"/>
      <c r="AK173" s="316">
        <f>SUM(AK171/AO125)</f>
        <v>34.478494007017545</v>
      </c>
      <c r="AL173" s="214" t="s">
        <v>45</v>
      </c>
      <c r="AN173" s="251"/>
    </row>
    <row r="174" spans="2:41" ht="15.75" thickTop="1" x14ac:dyDescent="0.25">
      <c r="E174" s="106"/>
      <c r="F174" s="214"/>
      <c r="Q174" s="106"/>
      <c r="R174" s="214"/>
      <c r="AA174" s="106"/>
      <c r="AB174" s="214"/>
      <c r="AK174" s="106"/>
      <c r="AL174" s="214"/>
    </row>
    <row r="175" spans="2:41" x14ac:dyDescent="0.2">
      <c r="E175" s="222"/>
      <c r="G175" s="222"/>
      <c r="Q175" s="222"/>
      <c r="S175" s="222"/>
      <c r="AA175" s="222"/>
      <c r="AC175" s="222"/>
      <c r="AD175" s="222"/>
      <c r="AK175" s="222"/>
      <c r="AM175" s="222"/>
      <c r="AN175" s="222"/>
    </row>
    <row r="176" spans="2:41" x14ac:dyDescent="0.2">
      <c r="E176" s="222"/>
      <c r="G176" s="222"/>
      <c r="O176" s="70" t="s">
        <v>454</v>
      </c>
      <c r="P176" t="s">
        <v>453</v>
      </c>
      <c r="Q176" s="210">
        <v>23</v>
      </c>
      <c r="R176">
        <v>15</v>
      </c>
      <c r="S176" s="222">
        <f>Q176*R176</f>
        <v>345</v>
      </c>
      <c r="Y176" s="70"/>
      <c r="AA176" s="210"/>
      <c r="AC176" s="222"/>
      <c r="AD176" s="222"/>
      <c r="AI176" s="70"/>
      <c r="AK176" s="210"/>
      <c r="AM176" s="222"/>
      <c r="AN176" s="222"/>
    </row>
    <row r="177" spans="2:42" ht="15" x14ac:dyDescent="0.25">
      <c r="E177" s="106"/>
      <c r="F177" s="214"/>
      <c r="P177" t="s">
        <v>452</v>
      </c>
      <c r="Q177" s="107">
        <v>45</v>
      </c>
      <c r="R177" s="214">
        <v>30</v>
      </c>
      <c r="S177" s="222">
        <f>Q177*R177</f>
        <v>1350</v>
      </c>
      <c r="T177" s="222">
        <f>SUM(S176:S177)</f>
        <v>1695</v>
      </c>
      <c r="AA177" s="107"/>
      <c r="AB177" s="214"/>
      <c r="AC177" s="222"/>
      <c r="AD177" s="222"/>
      <c r="AK177" s="107"/>
      <c r="AL177" s="214"/>
      <c r="AM177" s="222"/>
      <c r="AN177" s="222"/>
    </row>
    <row r="178" spans="2:42" ht="15" x14ac:dyDescent="0.25">
      <c r="E178" s="106"/>
      <c r="F178" s="214"/>
      <c r="Q178" s="106"/>
      <c r="R178" s="214"/>
      <c r="AA178" s="106"/>
      <c r="AB178" s="214"/>
      <c r="AD178" s="222"/>
      <c r="AE178" s="222"/>
      <c r="AK178" s="106"/>
      <c r="AL178" s="214"/>
      <c r="AN178" s="222"/>
      <c r="AO178" s="222"/>
    </row>
    <row r="179" spans="2:42" ht="15" x14ac:dyDescent="0.25">
      <c r="E179" s="106"/>
      <c r="F179" s="214"/>
      <c r="Q179" s="106"/>
      <c r="R179" s="214"/>
      <c r="AA179" s="106"/>
      <c r="AB179" s="214"/>
      <c r="AK179" s="106"/>
      <c r="AL179" s="214"/>
    </row>
    <row r="180" spans="2:42" ht="15" x14ac:dyDescent="0.25">
      <c r="B180" s="317"/>
      <c r="C180" s="318"/>
      <c r="D180" s="319"/>
      <c r="E180" s="320"/>
      <c r="F180" s="318"/>
      <c r="G180" s="318"/>
      <c r="H180" s="318"/>
      <c r="I180" s="317"/>
      <c r="J180" s="317"/>
      <c r="N180" s="317"/>
      <c r="O180" s="318"/>
      <c r="P180" s="319"/>
      <c r="Q180" s="320"/>
      <c r="R180" s="318"/>
      <c r="S180" s="318"/>
      <c r="T180" s="318"/>
      <c r="U180" s="317"/>
      <c r="V180" s="317"/>
      <c r="X180" s="317"/>
      <c r="Y180" s="318"/>
      <c r="Z180" s="319"/>
      <c r="AA180" s="320"/>
      <c r="AB180" s="318"/>
      <c r="AC180" s="318"/>
      <c r="AD180" s="318"/>
      <c r="AE180" s="317"/>
      <c r="AF180" s="317"/>
      <c r="AH180" s="317"/>
      <c r="AI180" s="318"/>
      <c r="AJ180" s="319"/>
      <c r="AK180" s="320"/>
      <c r="AL180" s="318"/>
      <c r="AM180" s="318"/>
      <c r="AN180" s="318"/>
      <c r="AO180" s="317"/>
      <c r="AP180" s="317"/>
    </row>
    <row r="182" spans="2:42" x14ac:dyDescent="0.2">
      <c r="Y182" s="442" t="s">
        <v>495</v>
      </c>
      <c r="Z182" s="365"/>
      <c r="AA182" s="365"/>
      <c r="AB182" s="365"/>
      <c r="AC182" s="365"/>
      <c r="AD182" s="365"/>
    </row>
    <row r="183" spans="2:42" x14ac:dyDescent="0.2">
      <c r="Y183" s="70" t="s">
        <v>450</v>
      </c>
      <c r="Z183">
        <v>2.7</v>
      </c>
      <c r="AA183" s="70" t="s">
        <v>46</v>
      </c>
      <c r="AB183" s="222">
        <v>5.0599999999999996</v>
      </c>
      <c r="AC183" s="222">
        <f>Z183*AB183</f>
        <v>13.661999999999999</v>
      </c>
    </row>
    <row r="184" spans="2:42" x14ac:dyDescent="0.2">
      <c r="Y184" s="70" t="s">
        <v>499</v>
      </c>
      <c r="Z184">
        <v>1</v>
      </c>
      <c r="AA184" s="70" t="s">
        <v>60</v>
      </c>
      <c r="AB184" s="222">
        <v>4.5599999999999996</v>
      </c>
      <c r="AC184" s="222">
        <f>Z184*AB184</f>
        <v>4.5599999999999996</v>
      </c>
    </row>
    <row r="185" spans="2:42" x14ac:dyDescent="0.2">
      <c r="Y185" s="70" t="s">
        <v>500</v>
      </c>
      <c r="Z185">
        <v>2</v>
      </c>
      <c r="AA185" s="70" t="s">
        <v>60</v>
      </c>
      <c r="AB185" s="222">
        <v>1.75</v>
      </c>
      <c r="AC185" s="222">
        <f>Z185*AB185</f>
        <v>3.5</v>
      </c>
      <c r="AD185" s="70" t="s">
        <v>502</v>
      </c>
    </row>
    <row r="186" spans="2:42" x14ac:dyDescent="0.2">
      <c r="Y186" s="442" t="s">
        <v>501</v>
      </c>
      <c r="Z186" s="365">
        <v>12</v>
      </c>
      <c r="AA186" s="442" t="s">
        <v>60</v>
      </c>
      <c r="AB186" s="443">
        <v>0.03</v>
      </c>
      <c r="AC186" s="443">
        <f>Z186*AB186</f>
        <v>0.36</v>
      </c>
      <c r="AD186" s="365"/>
    </row>
    <row r="187" spans="2:42" x14ac:dyDescent="0.2">
      <c r="Z187" s="369"/>
      <c r="AA187" s="444"/>
      <c r="AB187" s="445"/>
      <c r="AC187" s="445">
        <f>SUM(AC183:AC186)</f>
        <v>22.081999999999997</v>
      </c>
      <c r="AD187" s="70" t="s">
        <v>497</v>
      </c>
    </row>
    <row r="188" spans="2:42" x14ac:dyDescent="0.2">
      <c r="Z188" s="369"/>
      <c r="AA188" s="444"/>
      <c r="AB188" s="445"/>
      <c r="AC188" s="445">
        <f>AC187*1.1</f>
        <v>24.290199999999999</v>
      </c>
      <c r="AD188" s="70" t="s">
        <v>498</v>
      </c>
    </row>
    <row r="189" spans="2:42" x14ac:dyDescent="0.2">
      <c r="Z189" s="369"/>
      <c r="AA189" s="444"/>
      <c r="AB189" s="445"/>
      <c r="AC189" s="445"/>
      <c r="AD189" s="70"/>
    </row>
    <row r="190" spans="2:42" x14ac:dyDescent="0.2">
      <c r="Y190" s="442" t="s">
        <v>496</v>
      </c>
      <c r="Z190" s="365"/>
      <c r="AA190" s="365"/>
      <c r="AB190" s="365"/>
      <c r="AC190" s="365"/>
      <c r="AD190" s="365"/>
    </row>
    <row r="191" spans="2:42" x14ac:dyDescent="0.2">
      <c r="Y191" s="70" t="s">
        <v>450</v>
      </c>
      <c r="Z191">
        <v>2.7</v>
      </c>
      <c r="AA191" s="70" t="s">
        <v>46</v>
      </c>
      <c r="AB191" s="222">
        <v>5.0599999999999996</v>
      </c>
      <c r="AC191" s="222">
        <f>Z191*AB191</f>
        <v>13.661999999999999</v>
      </c>
    </row>
    <row r="192" spans="2:42" x14ac:dyDescent="0.2">
      <c r="Y192" s="442" t="s">
        <v>501</v>
      </c>
      <c r="Z192" s="365">
        <v>8</v>
      </c>
      <c r="AA192" s="442" t="s">
        <v>60</v>
      </c>
      <c r="AB192" s="443">
        <v>0.03</v>
      </c>
      <c r="AC192" s="443">
        <f>Z192*AB192</f>
        <v>0.24</v>
      </c>
      <c r="AD192" s="365"/>
    </row>
    <row r="193" spans="2:32" x14ac:dyDescent="0.2">
      <c r="AC193" s="222">
        <f>SUM(AC191:AC192)</f>
        <v>13.901999999999999</v>
      </c>
      <c r="AD193" s="70" t="s">
        <v>497</v>
      </c>
    </row>
    <row r="194" spans="2:32" x14ac:dyDescent="0.2">
      <c r="AC194" s="222">
        <f>AC193*1.1</f>
        <v>15.292200000000001</v>
      </c>
      <c r="AD194" s="70" t="s">
        <v>498</v>
      </c>
    </row>
    <row r="196" spans="2:32" x14ac:dyDescent="0.2">
      <c r="Y196" s="70" t="s">
        <v>499</v>
      </c>
      <c r="Z196">
        <v>1</v>
      </c>
      <c r="AA196" s="70" t="s">
        <v>60</v>
      </c>
      <c r="AB196" s="222">
        <v>4.5599999999999996</v>
      </c>
      <c r="AC196" s="222">
        <f>Z196*AB196</f>
        <v>4.5599999999999996</v>
      </c>
    </row>
    <row r="197" spans="2:32" x14ac:dyDescent="0.2">
      <c r="Y197" s="442" t="s">
        <v>501</v>
      </c>
      <c r="Z197" s="365">
        <v>8</v>
      </c>
      <c r="AA197" s="442" t="s">
        <v>60</v>
      </c>
      <c r="AB197" s="443">
        <v>0.03</v>
      </c>
      <c r="AC197" s="443">
        <f>Z197*AB197</f>
        <v>0.24</v>
      </c>
      <c r="AD197" s="365"/>
    </row>
    <row r="198" spans="2:32" x14ac:dyDescent="0.2">
      <c r="AC198" s="445">
        <f>SUM(AC196:AC197)</f>
        <v>4.8</v>
      </c>
      <c r="AD198" s="70" t="s">
        <v>497</v>
      </c>
    </row>
    <row r="199" spans="2:32" x14ac:dyDescent="0.2">
      <c r="AC199" s="445">
        <f>AC198*1.1</f>
        <v>5.28</v>
      </c>
      <c r="AD199" s="70" t="s">
        <v>498</v>
      </c>
    </row>
    <row r="204" spans="2:32" x14ac:dyDescent="0.2">
      <c r="X204" s="269"/>
      <c r="Y204" s="269"/>
      <c r="Z204" s="269"/>
      <c r="AA204" s="269"/>
      <c r="AB204" s="269"/>
      <c r="AC204" s="269"/>
      <c r="AD204" s="269"/>
      <c r="AE204" s="269"/>
      <c r="AF204" s="269"/>
    </row>
    <row r="205" spans="2:32" x14ac:dyDescent="0.2">
      <c r="Y205" s="183" t="s">
        <v>366</v>
      </c>
      <c r="Z205" s="241">
        <v>1.8</v>
      </c>
      <c r="AA205" s="183" t="s">
        <v>282</v>
      </c>
      <c r="AB205" s="176"/>
      <c r="AC205" s="176"/>
      <c r="AD205" s="176" t="s">
        <v>490</v>
      </c>
    </row>
    <row r="206" spans="2:32" x14ac:dyDescent="0.2">
      <c r="Y206" s="176"/>
      <c r="Z206" s="176"/>
      <c r="AA206" s="176"/>
      <c r="AB206" s="176"/>
      <c r="AC206" s="176"/>
      <c r="AD206" s="176"/>
    </row>
    <row r="207" spans="2:32" ht="15" x14ac:dyDescent="0.25">
      <c r="B207" s="324"/>
      <c r="C207" s="324"/>
      <c r="D207" s="324"/>
      <c r="E207" s="324"/>
      <c r="F207" s="324"/>
      <c r="G207" s="324"/>
      <c r="Y207" s="244" t="s">
        <v>219</v>
      </c>
      <c r="Z207" s="176"/>
      <c r="AA207" s="242" t="s">
        <v>283</v>
      </c>
      <c r="AB207" s="242" t="s">
        <v>284</v>
      </c>
      <c r="AC207" s="242" t="s">
        <v>285</v>
      </c>
      <c r="AD207" s="242" t="s">
        <v>286</v>
      </c>
      <c r="AE207" s="243" t="s">
        <v>287</v>
      </c>
    </row>
    <row r="208" spans="2:32" ht="15" x14ac:dyDescent="0.25">
      <c r="B208" s="214" t="s">
        <v>378</v>
      </c>
      <c r="Y208" s="176"/>
      <c r="Z208" s="244" t="s">
        <v>220</v>
      </c>
      <c r="AA208" s="271">
        <v>93</v>
      </c>
      <c r="AB208" s="288">
        <v>1</v>
      </c>
      <c r="AC208" s="313">
        <f>SUM(AA235*AB208)</f>
        <v>52.666666666666664</v>
      </c>
      <c r="AD208" s="314">
        <f>AA208*2</f>
        <v>186</v>
      </c>
      <c r="AE208" s="315">
        <f>AA208*AB208</f>
        <v>93</v>
      </c>
    </row>
    <row r="209" spans="2:32" ht="15" x14ac:dyDescent="0.25">
      <c r="B209" s="183" t="s">
        <v>379</v>
      </c>
      <c r="C209" s="241">
        <v>0.6</v>
      </c>
      <c r="D209" s="183"/>
      <c r="E209" s="183"/>
      <c r="F209" t="s">
        <v>380</v>
      </c>
      <c r="G209" t="s">
        <v>381</v>
      </c>
      <c r="X209" s="214" t="s">
        <v>288</v>
      </c>
      <c r="Y209" s="176" t="s">
        <v>449</v>
      </c>
      <c r="Z209" s="246">
        <f>AD217</f>
        <v>4</v>
      </c>
      <c r="AA209" s="176"/>
      <c r="AB209" s="176"/>
      <c r="AC209" s="176" t="s">
        <v>464</v>
      </c>
      <c r="AD209" s="176"/>
    </row>
    <row r="210" spans="2:32" x14ac:dyDescent="0.2">
      <c r="B210" s="183" t="s">
        <v>215</v>
      </c>
      <c r="C210" s="271">
        <v>125</v>
      </c>
      <c r="D210" s="176"/>
      <c r="E210" s="176"/>
      <c r="F210" s="271">
        <v>0.9</v>
      </c>
      <c r="G210" s="271">
        <f>C209</f>
        <v>0.6</v>
      </c>
      <c r="Y210" s="176"/>
      <c r="Z210" s="246">
        <f>AE210</f>
        <v>3.73</v>
      </c>
      <c r="AA210" s="176"/>
      <c r="AB210" s="200">
        <f>AA235</f>
        <v>52.666666666666664</v>
      </c>
      <c r="AC210" s="176">
        <v>3.73</v>
      </c>
      <c r="AD210" s="176">
        <f>AB210*AC210</f>
        <v>196.44666666666666</v>
      </c>
      <c r="AE210">
        <f>AD210/AC208</f>
        <v>3.73</v>
      </c>
    </row>
    <row r="211" spans="2:32" x14ac:dyDescent="0.2">
      <c r="B211" s="183" t="s">
        <v>182</v>
      </c>
      <c r="C211" s="241">
        <v>244</v>
      </c>
      <c r="D211" s="176"/>
      <c r="E211" s="176"/>
      <c r="F211" s="176"/>
      <c r="G211" s="176"/>
      <c r="Y211" s="176" t="s">
        <v>367</v>
      </c>
      <c r="Z211" s="246">
        <f>0.09*0.0458*8</f>
        <v>3.2975999999999998E-2</v>
      </c>
      <c r="AA211" s="176"/>
      <c r="AB211" s="413"/>
      <c r="AC211" s="413"/>
      <c r="AD211" s="413"/>
      <c r="AF211" s="70"/>
    </row>
    <row r="212" spans="2:32" ht="15" x14ac:dyDescent="0.25">
      <c r="B212" s="244" t="s">
        <v>219</v>
      </c>
      <c r="C212" s="176"/>
      <c r="D212" s="176"/>
      <c r="E212" s="242" t="s">
        <v>216</v>
      </c>
      <c r="F212" s="242" t="s">
        <v>217</v>
      </c>
      <c r="G212" s="243" t="s">
        <v>218</v>
      </c>
      <c r="Y212" s="176"/>
      <c r="Z212" s="246"/>
      <c r="AA212" s="176"/>
      <c r="AB212" s="242"/>
      <c r="AC212" s="242"/>
      <c r="AD212" s="242"/>
    </row>
    <row r="213" spans="2:32" ht="15" x14ac:dyDescent="0.25">
      <c r="B213" s="176"/>
      <c r="C213" s="244" t="s">
        <v>220</v>
      </c>
      <c r="D213" s="244"/>
      <c r="E213" s="204">
        <f>SUM(G213/C209)*1.1</f>
        <v>447.33333333333337</v>
      </c>
      <c r="F213" s="183">
        <f>C210</f>
        <v>125</v>
      </c>
      <c r="G213" s="214">
        <f>C211</f>
        <v>244</v>
      </c>
      <c r="Y213" s="176" t="s">
        <v>235</v>
      </c>
      <c r="Z213" s="246">
        <v>0.09</v>
      </c>
      <c r="AA213" s="176"/>
      <c r="AB213" s="176"/>
      <c r="AC213" s="176"/>
      <c r="AD213" s="176"/>
    </row>
    <row r="214" spans="2:32" x14ac:dyDescent="0.2">
      <c r="B214" s="176"/>
      <c r="C214" s="244"/>
      <c r="D214" s="244" t="s">
        <v>196</v>
      </c>
      <c r="E214" s="273" t="s">
        <v>222</v>
      </c>
      <c r="F214" s="176"/>
      <c r="Y214" s="176"/>
      <c r="Z214" s="254"/>
      <c r="AA214" s="176"/>
      <c r="AB214" s="176"/>
      <c r="AC214" s="176"/>
      <c r="AD214" s="176"/>
    </row>
    <row r="215" spans="2:32" x14ac:dyDescent="0.2">
      <c r="B215" s="176" t="s">
        <v>224</v>
      </c>
      <c r="C215" s="246">
        <v>2.4</v>
      </c>
      <c r="D215" s="246"/>
      <c r="E215" s="247">
        <f>E213</f>
        <v>447.33333333333337</v>
      </c>
      <c r="F215" s="57">
        <f>SUM(C215*E215)</f>
        <v>1073.6000000000001</v>
      </c>
      <c r="Y215" s="176"/>
      <c r="Z215" s="202">
        <f>SUM(Z209:Z213)</f>
        <v>7.852976</v>
      </c>
      <c r="AA215" s="176"/>
      <c r="AB215" s="176"/>
      <c r="AC215" s="176" t="s">
        <v>491</v>
      </c>
      <c r="AD215" s="176"/>
    </row>
    <row r="216" spans="2:32" x14ac:dyDescent="0.2">
      <c r="B216" s="176" t="s">
        <v>226</v>
      </c>
      <c r="C216" s="176">
        <v>1.1000000000000001</v>
      </c>
      <c r="D216" s="250">
        <f>C209*3.6</f>
        <v>2.16</v>
      </c>
      <c r="E216" s="247">
        <f>G213/D216</f>
        <v>112.96296296296296</v>
      </c>
      <c r="F216" s="192">
        <f>C216*E216</f>
        <v>124.25925925925927</v>
      </c>
      <c r="G216" s="176"/>
      <c r="Y216" s="176" t="s">
        <v>236</v>
      </c>
      <c r="Z216" s="254">
        <f>Z215*5%</f>
        <v>0.39264880000000002</v>
      </c>
      <c r="AA216" s="176"/>
      <c r="AB216" s="176"/>
      <c r="AD216" s="176"/>
    </row>
    <row r="217" spans="2:32" ht="15" x14ac:dyDescent="0.25">
      <c r="B217" s="176" t="s">
        <v>382</v>
      </c>
      <c r="C217" s="111">
        <v>15</v>
      </c>
      <c r="D217" s="250">
        <f>F210*C209</f>
        <v>0.54</v>
      </c>
      <c r="E217" s="247">
        <f>SUM(G213)/G210/F210</f>
        <v>451.85185185185185</v>
      </c>
      <c r="F217" s="192">
        <f>C217*E217</f>
        <v>6777.7777777777774</v>
      </c>
      <c r="G217" s="176"/>
      <c r="Y217" s="176"/>
      <c r="Z217" s="105">
        <f>SUM(Z215:Z216)</f>
        <v>8.2456247999999999</v>
      </c>
      <c r="AA217" s="176"/>
      <c r="AB217" s="176"/>
      <c r="AC217" s="70" t="s">
        <v>492</v>
      </c>
      <c r="AD217" s="466">
        <v>4</v>
      </c>
      <c r="AE217" s="106"/>
      <c r="AF217" s="214"/>
    </row>
    <row r="218" spans="2:32" x14ac:dyDescent="0.2">
      <c r="B218" s="176" t="s">
        <v>230</v>
      </c>
      <c r="C218" s="104">
        <v>0.5</v>
      </c>
      <c r="D218" s="325">
        <f>F210*C209</f>
        <v>0.54</v>
      </c>
      <c r="E218" s="247">
        <f>SUM(G213)/G210/F210</f>
        <v>451.85185185185185</v>
      </c>
      <c r="F218" s="192">
        <f>C218*E218</f>
        <v>225.92592592592592</v>
      </c>
      <c r="G218" s="176"/>
      <c r="Y218" s="244" t="s">
        <v>238</v>
      </c>
      <c r="Z218" s="176"/>
      <c r="AA218" s="183" t="s">
        <v>301</v>
      </c>
      <c r="AB218" s="176"/>
      <c r="AC218" s="176"/>
      <c r="AD218" s="215"/>
    </row>
    <row r="219" spans="2:32" x14ac:dyDescent="0.2">
      <c r="B219" s="176" t="s">
        <v>241</v>
      </c>
      <c r="C219" s="104">
        <v>3.97</v>
      </c>
      <c r="D219" s="104"/>
      <c r="E219" s="247">
        <f>C210</f>
        <v>125</v>
      </c>
      <c r="F219" s="192">
        <f>C219*E219</f>
        <v>496.25</v>
      </c>
      <c r="G219" s="176"/>
      <c r="X219" t="s">
        <v>300</v>
      </c>
      <c r="Y219" s="244" t="s">
        <v>302</v>
      </c>
      <c r="Z219" s="176"/>
      <c r="AA219" s="257">
        <v>55</v>
      </c>
      <c r="AB219" s="176"/>
      <c r="AC219" s="176" t="s">
        <v>494</v>
      </c>
      <c r="AD219" s="466">
        <v>9.1199999999999992</v>
      </c>
    </row>
    <row r="220" spans="2:32" x14ac:dyDescent="0.2">
      <c r="B220" s="176"/>
      <c r="C220" s="244"/>
      <c r="D220" s="244"/>
      <c r="F220" s="252">
        <f>SUM(F215:F219)</f>
        <v>8697.812962962962</v>
      </c>
      <c r="G220" s="176"/>
      <c r="Y220" s="104">
        <v>15</v>
      </c>
      <c r="Z220" s="276">
        <f>AA219/Y220</f>
        <v>3.6666666666666665</v>
      </c>
      <c r="AA220" s="176"/>
      <c r="AB220" s="176"/>
      <c r="AC220" s="176"/>
      <c r="AD220" s="176"/>
    </row>
    <row r="221" spans="2:32" ht="15" x14ac:dyDescent="0.25">
      <c r="B221" s="176" t="s">
        <v>233</v>
      </c>
      <c r="C221" s="253">
        <f>F220/G213</f>
        <v>35.646774438372795</v>
      </c>
      <c r="D221" s="106"/>
      <c r="F221" s="183"/>
      <c r="G221" s="176"/>
      <c r="Y221" s="244" t="s">
        <v>303</v>
      </c>
      <c r="Z221" s="176"/>
      <c r="AA221" s="176"/>
      <c r="AB221" s="176"/>
      <c r="AC221" s="176"/>
      <c r="AD221" s="176"/>
    </row>
    <row r="222" spans="2:32" x14ac:dyDescent="0.2">
      <c r="B222" s="176" t="s">
        <v>234</v>
      </c>
      <c r="C222" s="210">
        <v>1.4999999999999999E-2</v>
      </c>
      <c r="D222" s="210"/>
      <c r="F222" s="183"/>
      <c r="G222" s="176"/>
      <c r="Y222" s="178">
        <v>0.05</v>
      </c>
      <c r="Z222" s="276">
        <f>Z220*5%</f>
        <v>0.18333333333333335</v>
      </c>
      <c r="AA222" s="176"/>
      <c r="AB222" s="176"/>
      <c r="AC222" s="176"/>
      <c r="AD222" s="176"/>
    </row>
    <row r="223" spans="2:32" x14ac:dyDescent="0.2">
      <c r="B223" s="176" t="s">
        <v>235</v>
      </c>
      <c r="C223" s="254">
        <v>0.03</v>
      </c>
      <c r="D223" s="246"/>
      <c r="F223" s="176"/>
      <c r="G223" s="176"/>
      <c r="Y223" s="176"/>
      <c r="Z223" s="278">
        <f>SUM(Z217:Z222)</f>
        <v>12.0956248</v>
      </c>
      <c r="AA223" s="183" t="s">
        <v>305</v>
      </c>
      <c r="AB223" s="176"/>
      <c r="AC223" s="176"/>
      <c r="AD223" s="215"/>
    </row>
    <row r="224" spans="2:32" x14ac:dyDescent="0.2">
      <c r="B224" s="176"/>
      <c r="C224" s="246">
        <f>SUM(C221:C223)</f>
        <v>35.691774438372796</v>
      </c>
      <c r="D224" s="246"/>
      <c r="F224" s="176"/>
      <c r="G224" s="176"/>
      <c r="Y224" s="259" t="s">
        <v>306</v>
      </c>
      <c r="Z224" s="279"/>
      <c r="AA224" s="280">
        <f>Z223*AC208</f>
        <v>637.03623946666664</v>
      </c>
      <c r="AB224" s="176"/>
      <c r="AC224" s="176"/>
      <c r="AD224" s="215"/>
      <c r="AE224" s="222"/>
    </row>
    <row r="225" spans="2:31" x14ac:dyDescent="0.2">
      <c r="B225" s="176" t="s">
        <v>236</v>
      </c>
      <c r="C225" s="254">
        <f>C224*5%</f>
        <v>1.7845887219186398</v>
      </c>
      <c r="D225" s="254"/>
      <c r="F225" s="176"/>
      <c r="G225" s="176"/>
      <c r="Y225" s="176"/>
      <c r="Z225" s="244"/>
      <c r="AA225" s="176"/>
      <c r="AB225" s="176"/>
      <c r="AC225" s="176"/>
      <c r="AD225" s="176"/>
    </row>
    <row r="226" spans="2:31" ht="15" x14ac:dyDescent="0.25">
      <c r="B226" s="176" t="s">
        <v>233</v>
      </c>
      <c r="C226" s="105">
        <f>SUM(C224:C225)</f>
        <v>37.476363160291434</v>
      </c>
      <c r="D226" s="105"/>
      <c r="F226" s="176"/>
      <c r="G226" s="176"/>
      <c r="X226" s="214" t="s">
        <v>307</v>
      </c>
      <c r="Y226" s="70" t="s">
        <v>534</v>
      </c>
      <c r="Z226" s="210">
        <f>AD219</f>
        <v>9.1199999999999992</v>
      </c>
      <c r="AA226" s="246"/>
      <c r="AB226" s="242"/>
      <c r="AC226" s="242"/>
    </row>
    <row r="227" spans="2:31" x14ac:dyDescent="0.2">
      <c r="B227" s="244"/>
      <c r="C227" s="206"/>
      <c r="D227" s="206"/>
      <c r="F227" s="176"/>
      <c r="G227" s="176"/>
      <c r="Y227" s="176"/>
      <c r="Z227" s="206"/>
      <c r="AA227" s="176"/>
      <c r="AB227" s="242"/>
      <c r="AC227" s="242"/>
      <c r="AD227" s="242"/>
    </row>
    <row r="228" spans="2:31" x14ac:dyDescent="0.2">
      <c r="B228" s="176"/>
      <c r="E228" s="326" t="s">
        <v>383</v>
      </c>
      <c r="F228" s="176"/>
      <c r="G228" s="176"/>
      <c r="Y228" s="176" t="s">
        <v>367</v>
      </c>
      <c r="Z228" s="246">
        <f>0.09*0.0458*8</f>
        <v>3.2975999999999998E-2</v>
      </c>
      <c r="AA228" s="176"/>
      <c r="AB228" s="242"/>
      <c r="AC228" s="242"/>
      <c r="AD228" s="272"/>
    </row>
    <row r="229" spans="2:31" x14ac:dyDescent="0.2">
      <c r="B229" s="176"/>
      <c r="E229" s="202">
        <v>55</v>
      </c>
      <c r="F229" s="176"/>
      <c r="G229" s="176"/>
      <c r="Y229" s="176"/>
      <c r="AA229" s="176"/>
      <c r="AB229" s="176"/>
      <c r="AC229" s="176"/>
      <c r="AD229" s="176"/>
    </row>
    <row r="230" spans="2:31" x14ac:dyDescent="0.2">
      <c r="B230" s="244" t="s">
        <v>238</v>
      </c>
      <c r="D230" t="s">
        <v>239</v>
      </c>
      <c r="F230" s="176"/>
      <c r="G230" s="176"/>
      <c r="Y230" s="176" t="s">
        <v>235</v>
      </c>
      <c r="Z230" s="246">
        <v>0.09</v>
      </c>
      <c r="AA230" s="176"/>
      <c r="AB230" s="104"/>
      <c r="AC230" s="176"/>
      <c r="AD230" s="176"/>
    </row>
    <row r="231" spans="2:31" x14ac:dyDescent="0.2">
      <c r="B231" s="176" t="s">
        <v>240</v>
      </c>
      <c r="C231" s="104">
        <f>E229/$D$231</f>
        <v>3.6666666666666665</v>
      </c>
      <c r="D231" s="104">
        <v>15</v>
      </c>
      <c r="E231" s="191">
        <f>C231*E213</f>
        <v>1640.2222222222224</v>
      </c>
      <c r="F231" s="176"/>
      <c r="Y231" s="176"/>
      <c r="AA231" s="176"/>
      <c r="AB231" s="176"/>
      <c r="AC231" s="176"/>
      <c r="AD231" s="176"/>
    </row>
    <row r="232" spans="2:31" x14ac:dyDescent="0.2">
      <c r="B232" s="176" t="s">
        <v>180</v>
      </c>
      <c r="C232" s="104">
        <f>E229/D232</f>
        <v>5.5</v>
      </c>
      <c r="D232" s="104">
        <v>10</v>
      </c>
      <c r="E232" s="191">
        <f>SUM(C232*E218)</f>
        <v>2485.1851851851852</v>
      </c>
      <c r="F232" s="176"/>
      <c r="Y232" s="244" t="s">
        <v>180</v>
      </c>
      <c r="Z232" s="206"/>
      <c r="AA232" s="176"/>
      <c r="AB232" s="176"/>
      <c r="AC232" s="176"/>
      <c r="AD232" s="176"/>
    </row>
    <row r="233" spans="2:31" x14ac:dyDescent="0.2">
      <c r="B233" s="176" t="s">
        <v>241</v>
      </c>
      <c r="C233" s="104">
        <f>E229/D233</f>
        <v>2.75</v>
      </c>
      <c r="D233" s="104">
        <v>20</v>
      </c>
      <c r="E233" s="191">
        <f>C210*C233</f>
        <v>343.75</v>
      </c>
      <c r="F233" s="176"/>
      <c r="Y233" s="176" t="s">
        <v>292</v>
      </c>
      <c r="Z233" s="206"/>
      <c r="AA233" s="176"/>
      <c r="AB233" s="176"/>
      <c r="AC233" s="176"/>
      <c r="AD233" s="176"/>
    </row>
    <row r="234" spans="2:31" x14ac:dyDescent="0.2">
      <c r="B234" s="176"/>
      <c r="C234" s="104"/>
      <c r="D234" s="104"/>
      <c r="E234" s="191">
        <f>SUM(E231:E233)</f>
        <v>4469.1574074074078</v>
      </c>
      <c r="F234" s="176"/>
      <c r="Y234" s="183" t="s">
        <v>293</v>
      </c>
      <c r="Z234" s="176"/>
      <c r="AA234" s="273">
        <f>SUM(AA208/Z205)</f>
        <v>51.666666666666664</v>
      </c>
      <c r="AB234" s="176"/>
      <c r="AC234" s="176"/>
      <c r="AD234" s="176"/>
    </row>
    <row r="235" spans="2:31" x14ac:dyDescent="0.2">
      <c r="B235" s="176" t="s">
        <v>242</v>
      </c>
      <c r="C235" s="105">
        <f>E234/G213</f>
        <v>18.316218882817246</v>
      </c>
      <c r="D235" s="105"/>
      <c r="E235" s="255"/>
      <c r="F235" s="176"/>
      <c r="Y235" s="176" t="s">
        <v>294</v>
      </c>
      <c r="Z235" s="206"/>
      <c r="AA235" s="200">
        <f>AA234+1</f>
        <v>52.666666666666664</v>
      </c>
      <c r="AB235" s="176" t="s">
        <v>295</v>
      </c>
      <c r="AC235" s="176"/>
      <c r="AD235" s="176"/>
    </row>
    <row r="236" spans="2:31" ht="13.5" thickBot="1" x14ac:dyDescent="0.25">
      <c r="B236" s="176"/>
      <c r="C236" s="256">
        <f>SUM(C226+C235)</f>
        <v>55.792582043108681</v>
      </c>
      <c r="D236" s="257" t="s">
        <v>45</v>
      </c>
      <c r="E236" s="258" t="s">
        <v>384</v>
      </c>
      <c r="F236" s="176"/>
      <c r="Y236" s="183" t="s">
        <v>296</v>
      </c>
      <c r="Z236" s="176"/>
      <c r="AA236" s="273">
        <f>SUM(AA235*4)</f>
        <v>210.66666666666666</v>
      </c>
      <c r="AB236" s="176" t="s">
        <v>297</v>
      </c>
      <c r="AC236" s="251">
        <v>0.03</v>
      </c>
      <c r="AD236" s="251"/>
    </row>
    <row r="237" spans="2:31" ht="13.5" thickTop="1" x14ac:dyDescent="0.2">
      <c r="B237" s="259" t="s">
        <v>244</v>
      </c>
      <c r="C237" s="260"/>
      <c r="D237" s="244"/>
      <c r="E237" s="261">
        <f>C236*G213</f>
        <v>13613.390018518518</v>
      </c>
      <c r="F237" s="176"/>
      <c r="Y237" s="176" t="s">
        <v>370</v>
      </c>
      <c r="Z237" s="274">
        <f>SUM(AA236*AC236)/AD208</f>
        <v>3.397849462365591E-2</v>
      </c>
      <c r="AA237" s="275" t="s">
        <v>299</v>
      </c>
      <c r="AB237" s="176"/>
      <c r="AC237" s="176"/>
      <c r="AD237" s="176"/>
    </row>
    <row r="238" spans="2:31" x14ac:dyDescent="0.2">
      <c r="B238" s="176"/>
      <c r="C238" s="262"/>
      <c r="D238" s="244"/>
      <c r="E238" s="176"/>
      <c r="F238" s="176"/>
      <c r="G238" s="176"/>
      <c r="Y238" s="176"/>
      <c r="Z238" s="274"/>
      <c r="AA238" s="275"/>
      <c r="AB238" s="176"/>
      <c r="AC238" s="176"/>
      <c r="AD238" s="176"/>
    </row>
    <row r="239" spans="2:31" x14ac:dyDescent="0.2">
      <c r="B239" t="s">
        <v>245</v>
      </c>
      <c r="C239" s="222"/>
      <c r="Y239" s="244" t="s">
        <v>311</v>
      </c>
      <c r="AB239" s="176"/>
      <c r="AC239" s="176"/>
      <c r="AD239" s="176"/>
      <c r="AE239" s="274"/>
    </row>
    <row r="240" spans="2:31" x14ac:dyDescent="0.2">
      <c r="B240" t="s">
        <v>219</v>
      </c>
      <c r="C240" s="222">
        <f>C226</f>
        <v>37.476363160291434</v>
      </c>
      <c r="D240" t="s">
        <v>45</v>
      </c>
      <c r="Y240" s="176" t="s">
        <v>465</v>
      </c>
      <c r="Z240" s="176"/>
      <c r="AA240" s="273">
        <f>AA208/1.8*1</f>
        <v>51.666666666666664</v>
      </c>
      <c r="AB240" s="176"/>
      <c r="AC240" s="176"/>
      <c r="AD240" s="176"/>
    </row>
    <row r="241" spans="1:31" x14ac:dyDescent="0.2">
      <c r="B241" t="s">
        <v>246</v>
      </c>
      <c r="C241" s="222">
        <f>C235</f>
        <v>18.316218882817246</v>
      </c>
      <c r="D241" t="s">
        <v>45</v>
      </c>
      <c r="E241" s="222">
        <f>C241*G213</f>
        <v>4469.1574074074078</v>
      </c>
      <c r="F241" s="210">
        <f>E241/E229</f>
        <v>81.257407407407413</v>
      </c>
      <c r="G241" t="s">
        <v>247</v>
      </c>
      <c r="Y241" s="176" t="s">
        <v>312</v>
      </c>
      <c r="Z241" s="176"/>
      <c r="AA241" s="273">
        <f>AA240+2</f>
        <v>53.666666666666664</v>
      </c>
      <c r="AB241" s="176" t="s">
        <v>313</v>
      </c>
      <c r="AC241" s="251">
        <f>AA241*1.75</f>
        <v>93.916666666666657</v>
      </c>
      <c r="AD241" s="251"/>
    </row>
    <row r="242" spans="1:31" x14ac:dyDescent="0.2">
      <c r="B242" s="294"/>
      <c r="C242" s="294"/>
      <c r="D242" s="294"/>
      <c r="E242" s="294"/>
      <c r="F242" s="294"/>
      <c r="G242" s="294"/>
      <c r="Y242" s="176"/>
      <c r="Z242" s="274">
        <f>AC241/AA208</f>
        <v>1.0098566308243726</v>
      </c>
      <c r="AA242" s="275" t="s">
        <v>299</v>
      </c>
      <c r="AB242" s="176"/>
      <c r="AC242" s="176"/>
      <c r="AD242" s="176"/>
    </row>
    <row r="243" spans="1:31" x14ac:dyDescent="0.2">
      <c r="C243" s="263">
        <f>C241/E229</f>
        <v>0.33302216150576813</v>
      </c>
      <c r="Y243" s="176"/>
      <c r="Z243" s="274"/>
      <c r="AA243" s="275"/>
      <c r="AB243" s="176"/>
      <c r="AC243" s="176"/>
    </row>
    <row r="244" spans="1:31" x14ac:dyDescent="0.2">
      <c r="Y244" s="176"/>
      <c r="Z244" s="202">
        <f>SUM(Z226:Z242)</f>
        <v>10.286811125448027</v>
      </c>
      <c r="AA244" s="176"/>
      <c r="AB244" s="176" t="s">
        <v>246</v>
      </c>
      <c r="AC244" s="176" t="s">
        <v>219</v>
      </c>
      <c r="AE244" s="210"/>
    </row>
    <row r="245" spans="1:31" x14ac:dyDescent="0.2">
      <c r="Y245" s="176" t="s">
        <v>236</v>
      </c>
      <c r="Z245" s="254">
        <f>Z244*5%</f>
        <v>0.51434055627240138</v>
      </c>
      <c r="AA245" s="176"/>
      <c r="AB245" s="215">
        <f>AA224-AC245</f>
        <v>202.76666666666665</v>
      </c>
      <c r="AC245" s="215">
        <f>Z217*AC208</f>
        <v>434.26957279999999</v>
      </c>
    </row>
    <row r="246" spans="1:31" ht="15" x14ac:dyDescent="0.25">
      <c r="X246" t="s">
        <v>307</v>
      </c>
      <c r="Y246" s="176"/>
      <c r="Z246" s="105">
        <f>SUM(Z244:Z245)</f>
        <v>10.801151681720428</v>
      </c>
      <c r="AA246" s="176"/>
      <c r="AB246" s="321">
        <f>AA253-AC246</f>
        <v>1074.1499999999992</v>
      </c>
      <c r="AC246" s="321">
        <f>Z246*AD208</f>
        <v>2009.0142127999998</v>
      </c>
      <c r="AD246" s="104"/>
      <c r="AE246" s="106"/>
    </row>
    <row r="247" spans="1:31" x14ac:dyDescent="0.2">
      <c r="Y247" s="244" t="s">
        <v>238</v>
      </c>
      <c r="Z247" s="176"/>
      <c r="AA247" s="183" t="s">
        <v>301</v>
      </c>
      <c r="AB247" s="215">
        <f>SUM(AB245:AB246)</f>
        <v>1276.9166666666658</v>
      </c>
      <c r="AC247" s="215">
        <f>SUM(AC245:AC246)</f>
        <v>2443.2837855999996</v>
      </c>
      <c r="AD247" s="215">
        <f>SUM(AB247:AC247)</f>
        <v>3720.2004522666657</v>
      </c>
    </row>
    <row r="248" spans="1:31" x14ac:dyDescent="0.2">
      <c r="Y248" s="244" t="s">
        <v>302</v>
      </c>
      <c r="Z248" s="176"/>
      <c r="AA248" s="257">
        <v>55</v>
      </c>
      <c r="AB248" s="215">
        <f>AB247/AA208</f>
        <v>13.730286738351246</v>
      </c>
      <c r="AC248" s="215">
        <f>AC247/AA208</f>
        <v>26.271868662365588</v>
      </c>
      <c r="AD248" s="215">
        <f>SUM(AB248:AC248)</f>
        <v>40.002155400716831</v>
      </c>
    </row>
    <row r="249" spans="1:31" ht="18" x14ac:dyDescent="0.25">
      <c r="A249" s="176"/>
      <c r="B249" s="216"/>
      <c r="C249" s="176"/>
      <c r="D249" s="176"/>
      <c r="E249" s="176"/>
      <c r="F249" s="176"/>
      <c r="G249" s="176"/>
      <c r="H249" s="176"/>
      <c r="I249" s="176"/>
      <c r="J249" s="176"/>
      <c r="Y249" s="104">
        <v>10</v>
      </c>
      <c r="Z249" s="276">
        <f>AA248/Y249</f>
        <v>5.5</v>
      </c>
      <c r="AA249" s="176"/>
      <c r="AB249" s="322">
        <f>AB248/AA248</f>
        <v>0.24964157706093176</v>
      </c>
      <c r="AC249" s="176"/>
      <c r="AD249" s="274"/>
    </row>
    <row r="250" spans="1:31" ht="18" x14ac:dyDescent="0.25">
      <c r="A250" s="178"/>
      <c r="B250" s="178"/>
      <c r="C250" s="177"/>
      <c r="D250" s="177"/>
      <c r="E250" s="178"/>
      <c r="F250" s="178"/>
      <c r="G250" s="178"/>
      <c r="H250" s="178"/>
      <c r="I250" s="178"/>
      <c r="J250" s="176"/>
      <c r="Y250" s="244" t="s">
        <v>303</v>
      </c>
      <c r="Z250" s="176"/>
      <c r="AA250" s="176"/>
      <c r="AB250" s="176"/>
      <c r="AC250" s="176"/>
      <c r="AD250" s="274"/>
      <c r="AE250" s="251"/>
    </row>
    <row r="251" spans="1:31" ht="18.75" thickBot="1" x14ac:dyDescent="0.3">
      <c r="A251" s="180"/>
      <c r="B251" s="180" t="s">
        <v>154</v>
      </c>
      <c r="C251" s="179"/>
      <c r="D251" s="177"/>
      <c r="E251" s="180"/>
      <c r="F251" s="180"/>
      <c r="G251" s="180"/>
      <c r="H251" s="180"/>
      <c r="I251" s="180"/>
      <c r="J251" s="176"/>
      <c r="Y251" s="178">
        <v>0.05</v>
      </c>
      <c r="Z251" s="276">
        <f>Z249*5%</f>
        <v>0.27500000000000002</v>
      </c>
      <c r="AA251" s="176"/>
      <c r="AB251" s="176"/>
      <c r="AC251" s="176"/>
      <c r="AD251" s="176"/>
    </row>
    <row r="252" spans="1:31" x14ac:dyDescent="0.2">
      <c r="A252" s="176"/>
      <c r="B252" s="217" t="s">
        <v>155</v>
      </c>
      <c r="C252" s="181">
        <v>4111</v>
      </c>
      <c r="D252" s="182" t="s">
        <v>45</v>
      </c>
      <c r="E252" s="176"/>
      <c r="F252" s="183" t="s">
        <v>156</v>
      </c>
      <c r="G252" s="176"/>
      <c r="H252" s="218" t="s">
        <v>198</v>
      </c>
      <c r="I252" s="176"/>
      <c r="J252" s="176"/>
      <c r="Y252" s="176"/>
      <c r="Z252" s="278">
        <f>SUM(Z246:Z251)</f>
        <v>16.576151681720425</v>
      </c>
      <c r="AA252" s="183" t="s">
        <v>305</v>
      </c>
      <c r="AB252" s="176"/>
      <c r="AC252" s="176"/>
    </row>
    <row r="253" spans="1:31" x14ac:dyDescent="0.2">
      <c r="A253" s="176"/>
      <c r="B253" s="219" t="s">
        <v>157</v>
      </c>
      <c r="C253" s="185"/>
      <c r="D253" s="186"/>
      <c r="E253" s="176"/>
      <c r="F253" s="183" t="s">
        <v>158</v>
      </c>
      <c r="G253" s="183" t="s">
        <v>206</v>
      </c>
      <c r="H253" s="183" t="s">
        <v>159</v>
      </c>
      <c r="I253" s="176"/>
      <c r="J253" s="176"/>
      <c r="Y253" s="259" t="s">
        <v>314</v>
      </c>
      <c r="Z253" s="283"/>
      <c r="AA253" s="280">
        <f>SUM(Z252*AD208)</f>
        <v>3083.1642127999989</v>
      </c>
      <c r="AB253" s="176"/>
      <c r="AC253" s="176"/>
    </row>
    <row r="254" spans="1:31" x14ac:dyDescent="0.2">
      <c r="A254" s="176"/>
      <c r="B254" s="219" t="s">
        <v>160</v>
      </c>
      <c r="C254" s="187"/>
      <c r="D254" s="186"/>
      <c r="E254" s="176"/>
      <c r="F254" s="176" t="s">
        <v>161</v>
      </c>
      <c r="G254" s="238">
        <v>2.19</v>
      </c>
      <c r="H254" s="215">
        <f>G254*1.15</f>
        <v>2.5185</v>
      </c>
      <c r="I254" s="176"/>
      <c r="J254" s="176"/>
      <c r="Y254" t="s">
        <v>315</v>
      </c>
      <c r="AA254" s="210">
        <f>SUM(AA224+AA253)</f>
        <v>3720.2004522666657</v>
      </c>
      <c r="AB254" t="s">
        <v>316</v>
      </c>
      <c r="AD254" s="222"/>
      <c r="AE254" s="222"/>
    </row>
    <row r="255" spans="1:31" ht="15.75" thickBot="1" x14ac:dyDescent="0.3">
      <c r="A255" s="176"/>
      <c r="B255" s="219" t="s">
        <v>162</v>
      </c>
      <c r="C255" s="188">
        <v>55</v>
      </c>
      <c r="D255" s="186"/>
      <c r="E255" s="176"/>
      <c r="F255" s="176" t="s">
        <v>163</v>
      </c>
      <c r="G255" s="239">
        <v>3</v>
      </c>
      <c r="H255" s="215">
        <f>G255*1.15</f>
        <v>3.4499999999999997</v>
      </c>
      <c r="I255" s="176"/>
      <c r="J255" s="176"/>
      <c r="AA255" s="285">
        <f>SUM(AA254/AA208)</f>
        <v>40.002155400716838</v>
      </c>
      <c r="AB255" s="214" t="s">
        <v>46</v>
      </c>
      <c r="AD255" s="251"/>
    </row>
    <row r="256" spans="1:31" ht="16.5" thickTop="1" thickBot="1" x14ac:dyDescent="0.3">
      <c r="A256" s="176"/>
      <c r="B256" s="219" t="s">
        <v>164</v>
      </c>
      <c r="C256" s="189">
        <v>1303</v>
      </c>
      <c r="D256" s="186" t="s">
        <v>46</v>
      </c>
      <c r="E256" s="176"/>
      <c r="F256" s="176" t="s">
        <v>199</v>
      </c>
      <c r="G256" s="239">
        <v>2.72</v>
      </c>
      <c r="H256" s="215">
        <f>G256*1.15</f>
        <v>3.1280000000000001</v>
      </c>
      <c r="I256" s="176"/>
      <c r="J256" s="176"/>
      <c r="AA256" s="316">
        <f>SUM(AA254/AE208)</f>
        <v>40.002155400716838</v>
      </c>
      <c r="AB256" s="214" t="s">
        <v>45</v>
      </c>
      <c r="AD256" s="251"/>
    </row>
    <row r="257" spans="1:32" ht="15.75" thickTop="1" x14ac:dyDescent="0.25">
      <c r="A257" s="176"/>
      <c r="B257" s="219" t="s">
        <v>165</v>
      </c>
      <c r="C257" s="190" t="s">
        <v>207</v>
      </c>
      <c r="D257" s="186"/>
      <c r="E257" s="176"/>
      <c r="F257" s="176"/>
      <c r="G257" s="220"/>
      <c r="H257" s="104"/>
      <c r="I257" s="176"/>
      <c r="J257" s="176"/>
      <c r="AA257" s="106"/>
      <c r="AB257" s="214"/>
    </row>
    <row r="258" spans="1:32" x14ac:dyDescent="0.2">
      <c r="A258" s="176"/>
      <c r="B258" s="219" t="s">
        <v>166</v>
      </c>
      <c r="C258" s="193">
        <f>K262</f>
        <v>23.518131841401118</v>
      </c>
      <c r="D258" s="186" t="s">
        <v>167</v>
      </c>
      <c r="E258" s="176"/>
      <c r="F258" s="183" t="s">
        <v>200</v>
      </c>
      <c r="G258" s="176"/>
      <c r="H258" s="176"/>
      <c r="I258" s="176" t="s">
        <v>469</v>
      </c>
      <c r="J258" s="176"/>
      <c r="AA258" s="222"/>
      <c r="AC258" s="222"/>
      <c r="AD258" s="222"/>
    </row>
    <row r="259" spans="1:32" ht="13.5" thickBot="1" x14ac:dyDescent="0.25">
      <c r="A259" s="176"/>
      <c r="B259" s="221" t="s">
        <v>168</v>
      </c>
      <c r="C259" s="194" t="s">
        <v>201</v>
      </c>
      <c r="D259" s="195"/>
      <c r="E259" s="176"/>
      <c r="F259" s="176"/>
      <c r="G259" s="176"/>
      <c r="H259" s="176"/>
      <c r="I259" s="176" t="s">
        <v>208</v>
      </c>
      <c r="J259" s="176"/>
      <c r="K259" s="70">
        <v>1191</v>
      </c>
      <c r="Y259" s="70"/>
      <c r="AA259" s="210"/>
      <c r="AC259" s="222"/>
      <c r="AD259" s="222"/>
    </row>
    <row r="260" spans="1:32" ht="15" x14ac:dyDescent="0.25">
      <c r="A260" s="176"/>
      <c r="B260" s="176"/>
      <c r="C260" s="176"/>
      <c r="D260" s="176"/>
      <c r="E260" s="176"/>
      <c r="F260" s="176"/>
      <c r="G260" s="176"/>
      <c r="H260" s="176"/>
      <c r="I260" s="240">
        <v>6567</v>
      </c>
      <c r="J260" s="176"/>
      <c r="AA260" s="107"/>
      <c r="AB260" s="214"/>
      <c r="AC260" s="222"/>
      <c r="AD260" s="222"/>
    </row>
    <row r="261" spans="1:32" ht="18.75" thickBot="1" x14ac:dyDescent="0.3">
      <c r="A261" s="176"/>
      <c r="B261" s="180"/>
      <c r="C261" s="176"/>
      <c r="D261" s="176"/>
      <c r="E261" s="176"/>
      <c r="F261" s="178"/>
      <c r="G261" s="176"/>
      <c r="H261" s="176"/>
      <c r="I261" s="176" t="s">
        <v>470</v>
      </c>
      <c r="J261" s="176"/>
      <c r="K261" s="222">
        <v>134282</v>
      </c>
      <c r="AA261" s="106"/>
      <c r="AB261" s="214"/>
      <c r="AD261" s="222"/>
      <c r="AE261" s="222"/>
    </row>
    <row r="262" spans="1:32" ht="15" x14ac:dyDescent="0.25">
      <c r="A262" s="176"/>
      <c r="B262" s="223" t="s">
        <v>169</v>
      </c>
      <c r="C262" s="196">
        <f>C252*C281</f>
        <v>251513.55269264214</v>
      </c>
      <c r="D262" s="176"/>
      <c r="E262" s="224"/>
      <c r="F262" s="178"/>
      <c r="G262" s="176"/>
      <c r="H262" s="176"/>
      <c r="I262" s="176"/>
      <c r="J262" s="176"/>
      <c r="K262" s="222">
        <f>K261/C277</f>
        <v>23.518131841401118</v>
      </c>
      <c r="AA262" s="106"/>
      <c r="AB262" s="214"/>
    </row>
    <row r="263" spans="1:32" ht="15" x14ac:dyDescent="0.25">
      <c r="A263" s="176"/>
      <c r="B263" s="225" t="s">
        <v>170</v>
      </c>
      <c r="C263" s="197">
        <f>C262*(1+C253)</f>
        <v>251513.55269264214</v>
      </c>
      <c r="D263" s="178" t="s">
        <v>171</v>
      </c>
      <c r="E263" s="224"/>
      <c r="F263" s="178"/>
      <c r="G263" s="176"/>
      <c r="H263" s="176"/>
      <c r="I263" s="176"/>
      <c r="J263" s="176"/>
      <c r="X263" s="317"/>
      <c r="Y263" s="318"/>
      <c r="Z263" s="319"/>
      <c r="AA263" s="320"/>
      <c r="AB263" s="318"/>
      <c r="AC263" s="318"/>
      <c r="AD263" s="318"/>
      <c r="AE263" s="317"/>
      <c r="AF263" s="317"/>
    </row>
    <row r="264" spans="1:32" ht="13.5" thickBot="1" x14ac:dyDescent="0.25">
      <c r="A264" s="176"/>
      <c r="B264" s="226" t="s">
        <v>172</v>
      </c>
      <c r="C264" s="198">
        <f>C263-C262</f>
        <v>0</v>
      </c>
      <c r="D264" s="176"/>
      <c r="E264" s="224"/>
      <c r="F264" s="178"/>
      <c r="G264" s="176"/>
      <c r="H264" s="176"/>
      <c r="I264" s="176"/>
      <c r="J264" s="176"/>
    </row>
    <row r="265" spans="1:32" ht="18" x14ac:dyDescent="0.25">
      <c r="A265" s="176"/>
      <c r="B265" s="180"/>
      <c r="C265" s="199"/>
      <c r="D265" s="176"/>
      <c r="E265" s="224"/>
      <c r="F265" s="178"/>
      <c r="G265" s="176"/>
      <c r="H265" s="176"/>
      <c r="I265" s="176"/>
      <c r="J265" s="176"/>
    </row>
    <row r="266" spans="1:32" ht="18" x14ac:dyDescent="0.25">
      <c r="A266" s="176"/>
      <c r="B266" s="180" t="s">
        <v>156</v>
      </c>
      <c r="C266" s="176"/>
      <c r="D266" s="176"/>
      <c r="E266" s="227"/>
      <c r="F266" s="104"/>
      <c r="G266" s="104"/>
      <c r="H266" s="178"/>
      <c r="I266" s="176"/>
      <c r="J266" s="176"/>
      <c r="Y266" s="442" t="s">
        <v>495</v>
      </c>
      <c r="Z266" s="365"/>
      <c r="AA266" s="365"/>
      <c r="AB266" s="365"/>
      <c r="AC266" s="365"/>
      <c r="AD266" s="365"/>
    </row>
    <row r="267" spans="1:32" x14ac:dyDescent="0.2">
      <c r="A267" s="176"/>
      <c r="B267" s="183" t="s">
        <v>202</v>
      </c>
      <c r="C267" s="176"/>
      <c r="D267" s="176"/>
      <c r="E267" s="224" t="s">
        <v>173</v>
      </c>
      <c r="F267" s="176"/>
      <c r="G267" s="200"/>
      <c r="H267" s="176"/>
      <c r="I267" s="176"/>
      <c r="J267" s="176"/>
      <c r="Y267" s="70" t="s">
        <v>450</v>
      </c>
      <c r="Z267">
        <v>1.45</v>
      </c>
      <c r="AA267" s="70" t="s">
        <v>46</v>
      </c>
      <c r="AB267" s="249">
        <v>4.33</v>
      </c>
      <c r="AC267" s="222">
        <f>Z267*AB267</f>
        <v>6.2785000000000002</v>
      </c>
    </row>
    <row r="268" spans="1:32" x14ac:dyDescent="0.2">
      <c r="A268" s="176"/>
      <c r="B268" s="176" t="s">
        <v>174</v>
      </c>
      <c r="C268" s="176"/>
      <c r="D268" s="176"/>
      <c r="E268" s="176" t="s">
        <v>175</v>
      </c>
      <c r="F268" s="228">
        <f>SUM(C254)</f>
        <v>0</v>
      </c>
      <c r="G268" s="178" t="s">
        <v>176</v>
      </c>
      <c r="H268" s="176" t="s">
        <v>177</v>
      </c>
      <c r="I268" s="191">
        <f>C255</f>
        <v>55</v>
      </c>
      <c r="J268" s="176"/>
      <c r="Y268" s="70" t="s">
        <v>499</v>
      </c>
      <c r="Z268">
        <v>1</v>
      </c>
      <c r="AA268" s="70" t="s">
        <v>60</v>
      </c>
      <c r="AB268" s="222">
        <v>3.73</v>
      </c>
      <c r="AC268" s="222">
        <f>Z268*AB268</f>
        <v>3.73</v>
      </c>
    </row>
    <row r="269" spans="1:32" x14ac:dyDescent="0.2">
      <c r="A269" s="176"/>
      <c r="B269" s="176" t="s">
        <v>203</v>
      </c>
      <c r="C269" s="176">
        <f>C256</f>
        <v>1303</v>
      </c>
      <c r="D269" s="176" t="s">
        <v>46</v>
      </c>
      <c r="E269" s="229">
        <f>H254</f>
        <v>2.5185</v>
      </c>
      <c r="F269" s="230">
        <f>C269*E269</f>
        <v>3281.6055000000001</v>
      </c>
      <c r="G269" s="200">
        <f>C269/10</f>
        <v>130.30000000000001</v>
      </c>
      <c r="H269" s="229">
        <f>G269*$I$23</f>
        <v>7166.5000000000009</v>
      </c>
      <c r="I269" s="176"/>
      <c r="J269" s="176"/>
      <c r="Y269" s="70" t="s">
        <v>500</v>
      </c>
      <c r="Z269">
        <v>2</v>
      </c>
      <c r="AA269" s="70" t="s">
        <v>60</v>
      </c>
      <c r="AB269" s="222">
        <v>1.75</v>
      </c>
      <c r="AC269" s="222">
        <f>Z269*AB269</f>
        <v>3.5</v>
      </c>
      <c r="AD269" s="70" t="s">
        <v>502</v>
      </c>
    </row>
    <row r="270" spans="1:32" x14ac:dyDescent="0.2">
      <c r="A270" s="176"/>
      <c r="B270" s="176" t="s">
        <v>204</v>
      </c>
      <c r="C270" s="199">
        <f>C252*90%</f>
        <v>3699.9</v>
      </c>
      <c r="D270" s="176" t="s">
        <v>46</v>
      </c>
      <c r="E270" s="229">
        <f>H255</f>
        <v>3.4499999999999997</v>
      </c>
      <c r="F270" s="230">
        <f>C270*E270</f>
        <v>12764.654999999999</v>
      </c>
      <c r="G270" s="200">
        <f>C270/23</f>
        <v>160.86521739130436</v>
      </c>
      <c r="H270" s="229">
        <f>G270*$I$23</f>
        <v>8847.5869565217399</v>
      </c>
      <c r="I270" s="176"/>
      <c r="J270" s="176"/>
      <c r="Y270" s="442" t="s">
        <v>501</v>
      </c>
      <c r="Z270" s="365">
        <v>12</v>
      </c>
      <c r="AA270" s="442" t="s">
        <v>60</v>
      </c>
      <c r="AB270" s="443">
        <v>0.03</v>
      </c>
      <c r="AC270" s="443">
        <f>Z270*AB270</f>
        <v>0.36</v>
      </c>
      <c r="AD270" s="365"/>
    </row>
    <row r="271" spans="1:32" x14ac:dyDescent="0.2">
      <c r="A271" s="176"/>
      <c r="B271" s="176" t="s">
        <v>205</v>
      </c>
      <c r="C271" s="201">
        <f>C252*180%</f>
        <v>7399.8</v>
      </c>
      <c r="D271" s="176" t="s">
        <v>46</v>
      </c>
      <c r="E271" s="229">
        <f>H256</f>
        <v>3.1280000000000001</v>
      </c>
      <c r="F271" s="230">
        <f>C271*E271</f>
        <v>23146.574400000001</v>
      </c>
      <c r="G271" s="200">
        <f>C271/23</f>
        <v>321.73043478260871</v>
      </c>
      <c r="H271" s="229">
        <f>G271*$I$23</f>
        <v>17695.17391304348</v>
      </c>
      <c r="I271" s="176"/>
      <c r="J271" s="176"/>
      <c r="Z271" s="369"/>
      <c r="AA271" s="444"/>
      <c r="AB271" s="445"/>
      <c r="AC271" s="445">
        <f>SUM(AC267:AC270)</f>
        <v>13.868499999999999</v>
      </c>
      <c r="AD271" s="70" t="s">
        <v>497</v>
      </c>
    </row>
    <row r="272" spans="1:32" x14ac:dyDescent="0.2">
      <c r="A272" s="176"/>
      <c r="B272" s="176" t="s">
        <v>178</v>
      </c>
      <c r="C272" s="176">
        <f>ROUND(C252/200, 0)</f>
        <v>21</v>
      </c>
      <c r="D272" s="176" t="s">
        <v>179</v>
      </c>
      <c r="E272" s="229">
        <v>100</v>
      </c>
      <c r="F272" s="230">
        <f>C272*E272</f>
        <v>2100</v>
      </c>
      <c r="G272" s="176"/>
      <c r="H272" s="229"/>
      <c r="I272" s="176"/>
      <c r="J272" s="176"/>
      <c r="Z272" s="369"/>
      <c r="AA272" s="444"/>
      <c r="AB272" s="445"/>
      <c r="AC272" s="445">
        <f>AC271*1.1</f>
        <v>15.25535</v>
      </c>
      <c r="AD272" s="70" t="s">
        <v>498</v>
      </c>
    </row>
    <row r="273" spans="1:30" x14ac:dyDescent="0.2">
      <c r="A273" s="176"/>
      <c r="B273" s="176" t="s">
        <v>180</v>
      </c>
      <c r="C273" s="200">
        <f>C252*66%</f>
        <v>2713.26</v>
      </c>
      <c r="D273" s="176" t="s">
        <v>179</v>
      </c>
      <c r="E273" s="229">
        <v>3</v>
      </c>
      <c r="F273" s="230">
        <f>C273*E273</f>
        <v>8139.7800000000007</v>
      </c>
      <c r="G273" s="200">
        <f>C273/13</f>
        <v>208.71230769230772</v>
      </c>
      <c r="H273" s="231">
        <f>G273*$I$23</f>
        <v>11479.176923076924</v>
      </c>
      <c r="I273" s="176"/>
      <c r="J273" s="176"/>
      <c r="Z273" s="369"/>
      <c r="AA273" s="444"/>
      <c r="AB273" s="445"/>
      <c r="AC273" s="445"/>
      <c r="AD273" s="70"/>
    </row>
    <row r="274" spans="1:30" x14ac:dyDescent="0.2">
      <c r="A274" s="176"/>
      <c r="B274" s="176" t="s">
        <v>181</v>
      </c>
      <c r="C274" s="230">
        <f>F274+H274</f>
        <v>94621.052692642144</v>
      </c>
      <c r="D274" s="176"/>
      <c r="E274" s="104"/>
      <c r="F274" s="230">
        <f>SUM(F268:F273)</f>
        <v>49432.6149</v>
      </c>
      <c r="G274" s="176"/>
      <c r="H274" s="229">
        <f>SUM(H269:H273)</f>
        <v>45188.437792642144</v>
      </c>
      <c r="I274" s="176"/>
      <c r="J274" s="176"/>
      <c r="Y274" s="442" t="s">
        <v>496</v>
      </c>
      <c r="Z274" s="365"/>
      <c r="AA274" s="365"/>
      <c r="AB274" s="365"/>
      <c r="AC274" s="365"/>
      <c r="AD274" s="365"/>
    </row>
    <row r="275" spans="1:30" x14ac:dyDescent="0.2">
      <c r="A275" s="176"/>
      <c r="B275" s="176"/>
      <c r="C275" s="232">
        <f>C274/C252</f>
        <v>23.016553805069847</v>
      </c>
      <c r="D275" s="183" t="s">
        <v>182</v>
      </c>
      <c r="E275" s="202" t="s">
        <v>183</v>
      </c>
      <c r="F275" s="105">
        <f>F274/C252</f>
        <v>12.024474556069084</v>
      </c>
      <c r="G275" s="203" t="s">
        <v>184</v>
      </c>
      <c r="H275" s="232">
        <f>H274/C252</f>
        <v>10.992079249000765</v>
      </c>
      <c r="I275" s="105">
        <f>H275/I268</f>
        <v>0.19985598634546847</v>
      </c>
      <c r="J275" s="176"/>
      <c r="Y275" s="70" t="s">
        <v>450</v>
      </c>
      <c r="Z275">
        <v>1.45</v>
      </c>
      <c r="AA275" s="70" t="s">
        <v>46</v>
      </c>
      <c r="AB275" s="222">
        <v>5.0599999999999996</v>
      </c>
      <c r="AC275" s="222">
        <f>Z275*AB275</f>
        <v>7.3369999999999989</v>
      </c>
    </row>
    <row r="276" spans="1:30" x14ac:dyDescent="0.2">
      <c r="A276" s="176"/>
      <c r="B276" s="176"/>
      <c r="C276" s="176"/>
      <c r="D276" s="176"/>
      <c r="E276" s="183"/>
      <c r="F276" s="105"/>
      <c r="G276" s="176"/>
      <c r="H276" s="229"/>
      <c r="I276" s="176"/>
      <c r="J276" s="176"/>
      <c r="Y276" s="442" t="s">
        <v>501</v>
      </c>
      <c r="Z276" s="365">
        <v>8</v>
      </c>
      <c r="AA276" s="442" t="s">
        <v>60</v>
      </c>
      <c r="AB276" s="443">
        <v>0.03</v>
      </c>
      <c r="AC276" s="443">
        <f>Z276*AB276</f>
        <v>0.24</v>
      </c>
      <c r="AD276" s="365"/>
    </row>
    <row r="277" spans="1:30" x14ac:dyDescent="0.2">
      <c r="A277" s="176"/>
      <c r="B277" s="176" t="s">
        <v>185</v>
      </c>
      <c r="C277" s="200">
        <f>C252/0.72</f>
        <v>5709.7222222222226</v>
      </c>
      <c r="D277" s="176" t="s">
        <v>179</v>
      </c>
      <c r="E277" s="229">
        <f>C258</f>
        <v>23.518131841401118</v>
      </c>
      <c r="F277" s="233">
        <f>C277*E277</f>
        <v>134282</v>
      </c>
      <c r="G277" s="201">
        <f>C252/10</f>
        <v>411.1</v>
      </c>
      <c r="H277" s="230">
        <f>G277*$I$23</f>
        <v>22610.5</v>
      </c>
      <c r="I277" s="176"/>
      <c r="J277" s="176"/>
      <c r="AC277" s="222">
        <f>SUM(AC275:AC276)</f>
        <v>7.5769999999999991</v>
      </c>
      <c r="AD277" s="70" t="s">
        <v>497</v>
      </c>
    </row>
    <row r="278" spans="1:30" x14ac:dyDescent="0.2">
      <c r="A278" s="176"/>
      <c r="B278" s="176" t="s">
        <v>186</v>
      </c>
      <c r="C278" s="230">
        <f>F277+H277</f>
        <v>156892.5</v>
      </c>
      <c r="D278" s="176"/>
      <c r="E278" s="105" t="s">
        <v>28</v>
      </c>
      <c r="I278" s="183"/>
      <c r="J278" s="176"/>
      <c r="AC278" s="222">
        <f>AC277*1.1</f>
        <v>8.3346999999999998</v>
      </c>
      <c r="AD278" s="70" t="s">
        <v>498</v>
      </c>
    </row>
    <row r="279" spans="1:30" x14ac:dyDescent="0.2">
      <c r="A279" s="176"/>
      <c r="B279" s="176"/>
      <c r="C279" s="232">
        <f>C278/C252</f>
        <v>38.164072001945996</v>
      </c>
      <c r="D279" s="176" t="s">
        <v>182</v>
      </c>
      <c r="E279" s="202" t="s">
        <v>183</v>
      </c>
      <c r="F279" s="105">
        <f>F277/C252</f>
        <v>32.664072001945996</v>
      </c>
      <c r="G279" s="203" t="s">
        <v>184</v>
      </c>
      <c r="H279" s="105">
        <f>H277/C252</f>
        <v>5.5</v>
      </c>
      <c r="I279" s="183" t="s">
        <v>45</v>
      </c>
      <c r="J279" s="234">
        <f>H279/I268</f>
        <v>0.1</v>
      </c>
    </row>
    <row r="280" spans="1:30" x14ac:dyDescent="0.2">
      <c r="A280" s="176"/>
      <c r="B280" s="176"/>
      <c r="C280" s="230"/>
      <c r="D280" s="176"/>
      <c r="E280" s="104"/>
      <c r="F280" s="176"/>
      <c r="G280" s="204">
        <f>SUM(G269:G277)</f>
        <v>1232.7079598662208</v>
      </c>
      <c r="H280" s="105" t="s">
        <v>187</v>
      </c>
      <c r="I280" s="176"/>
      <c r="J280" s="176"/>
    </row>
    <row r="281" spans="1:30" ht="15" x14ac:dyDescent="0.2">
      <c r="A281" s="176"/>
      <c r="B281" s="235" t="s">
        <v>188</v>
      </c>
      <c r="C281" s="236">
        <f>C275+C279</f>
        <v>61.180625807015844</v>
      </c>
      <c r="D281" s="176" t="s">
        <v>182</v>
      </c>
      <c r="E281" s="176"/>
      <c r="F281" s="176"/>
      <c r="I281" s="176"/>
      <c r="J281" s="176"/>
      <c r="AA281">
        <v>56</v>
      </c>
      <c r="AB281" s="222">
        <f>AA255</f>
        <v>40.002155400716838</v>
      </c>
      <c r="AC281" s="222">
        <f>AA281-AB281</f>
        <v>15.997844599283162</v>
      </c>
    </row>
    <row r="282" spans="1:30" x14ac:dyDescent="0.2">
      <c r="A282" s="176"/>
      <c r="B282" s="183"/>
      <c r="C282" s="205"/>
      <c r="D282" s="183"/>
      <c r="E282" s="176" t="s">
        <v>183</v>
      </c>
      <c r="F282" s="176"/>
      <c r="I282" s="176"/>
      <c r="J282" s="176"/>
    </row>
    <row r="283" spans="1:30" x14ac:dyDescent="0.2">
      <c r="A283" s="176"/>
      <c r="B283" s="176"/>
      <c r="C283" s="176"/>
      <c r="D283" s="176"/>
      <c r="E283" s="184">
        <f>F277+F274</f>
        <v>183714.61489999999</v>
      </c>
      <c r="H283" s="70" t="s">
        <v>189</v>
      </c>
      <c r="I283" s="176"/>
      <c r="J283" s="176"/>
      <c r="Z283">
        <v>5.28</v>
      </c>
      <c r="AA283">
        <v>29.55</v>
      </c>
      <c r="AB283" s="222">
        <f>AC272</f>
        <v>15.25535</v>
      </c>
      <c r="AC283" s="222">
        <f>SUM(Z283:AA283)-AB283</f>
        <v>19.574649999999998</v>
      </c>
    </row>
    <row r="284" spans="1:30" ht="15" x14ac:dyDescent="0.25">
      <c r="A284" s="176"/>
      <c r="B284" s="176"/>
      <c r="C284" s="176"/>
      <c r="D284" s="206"/>
      <c r="E284" s="207">
        <f>F279+F275</f>
        <v>44.688546558015076</v>
      </c>
      <c r="F284" s="183" t="s">
        <v>45</v>
      </c>
      <c r="H284" s="208">
        <f>E284</f>
        <v>44.688546558015076</v>
      </c>
      <c r="I284" s="176" t="s">
        <v>45</v>
      </c>
      <c r="J284" s="176"/>
      <c r="AA284">
        <v>14.06</v>
      </c>
      <c r="AB284" s="222">
        <f>AC278</f>
        <v>8.3346999999999998</v>
      </c>
      <c r="AC284" s="222">
        <f>AA284-AB284</f>
        <v>5.7253000000000007</v>
      </c>
    </row>
    <row r="285" spans="1:30" x14ac:dyDescent="0.2">
      <c r="A285" s="176"/>
      <c r="B285" s="176"/>
      <c r="C285" s="176"/>
      <c r="D285" s="176"/>
      <c r="E285" s="176" t="s">
        <v>190</v>
      </c>
      <c r="F285" s="176"/>
      <c r="I285" s="176"/>
      <c r="J285" s="176"/>
    </row>
    <row r="286" spans="1:30" x14ac:dyDescent="0.2">
      <c r="A286" s="176"/>
      <c r="B286" s="176"/>
      <c r="C286" s="176"/>
      <c r="D286" s="176"/>
      <c r="E286" s="57">
        <f>H277+H274</f>
        <v>67798.937792642144</v>
      </c>
      <c r="H286" s="70" t="s">
        <v>191</v>
      </c>
      <c r="I286" s="176"/>
      <c r="J286" s="176"/>
      <c r="AC286" s="222">
        <f>SUM(AC281:AC284)</f>
        <v>41.297794599283165</v>
      </c>
    </row>
    <row r="287" spans="1:30" ht="15" x14ac:dyDescent="0.25">
      <c r="E287" s="106">
        <f>E286/C252</f>
        <v>16.492079249000763</v>
      </c>
      <c r="F287" s="209" t="s">
        <v>45</v>
      </c>
      <c r="H287" s="210">
        <f>E287</f>
        <v>16.492079249000763</v>
      </c>
    </row>
    <row r="288" spans="1:30" x14ac:dyDescent="0.2">
      <c r="D288" s="70" t="s">
        <v>192</v>
      </c>
    </row>
    <row r="289" spans="1:30" ht="13.5" thickBot="1" x14ac:dyDescent="0.25">
      <c r="E289" s="211">
        <f>E284+E287</f>
        <v>61.180625807015844</v>
      </c>
    </row>
    <row r="290" spans="1:30" ht="13.5" thickTop="1" x14ac:dyDescent="0.2">
      <c r="C290" s="70"/>
      <c r="D290" s="212" t="s">
        <v>193</v>
      </c>
      <c r="H290" s="210">
        <f>H284+H287</f>
        <v>61.180625807015844</v>
      </c>
    </row>
    <row r="291" spans="1:30" x14ac:dyDescent="0.2">
      <c r="H291" s="210">
        <f>E290-H290</f>
        <v>-61.180625807015844</v>
      </c>
      <c r="I291" t="s">
        <v>194</v>
      </c>
    </row>
    <row r="292" spans="1:30" ht="15" x14ac:dyDescent="0.25">
      <c r="D292" s="178">
        <v>0.05</v>
      </c>
      <c r="E292" s="210">
        <f>E289*D292</f>
        <v>3.0590312903507924</v>
      </c>
      <c r="H292" s="213">
        <f>H291*C252</f>
        <v>-251513.55269264214</v>
      </c>
      <c r="I292" s="209" t="s">
        <v>195</v>
      </c>
      <c r="J292" s="214"/>
      <c r="AA292">
        <v>52</v>
      </c>
      <c r="AB292">
        <v>1.54</v>
      </c>
      <c r="AC292">
        <f>AA292*AB292</f>
        <v>80.08</v>
      </c>
    </row>
    <row r="293" spans="1:30" x14ac:dyDescent="0.2">
      <c r="B293" s="70"/>
      <c r="D293" s="237">
        <v>0.04</v>
      </c>
      <c r="E293" s="210">
        <f>E289*D293</f>
        <v>2.4472250322806337</v>
      </c>
      <c r="AA293">
        <v>52</v>
      </c>
      <c r="AB293">
        <v>2.17</v>
      </c>
      <c r="AC293">
        <f>AA293*AB293</f>
        <v>112.84</v>
      </c>
    </row>
    <row r="294" spans="1:30" x14ac:dyDescent="0.2">
      <c r="E294" s="210">
        <f>SUM(E289:E293)</f>
        <v>66.686882129647259</v>
      </c>
      <c r="AA294">
        <v>52</v>
      </c>
      <c r="AB294">
        <v>1.54</v>
      </c>
      <c r="AC294">
        <f>AA294*AB294</f>
        <v>80.08</v>
      </c>
    </row>
    <row r="295" spans="1:30" x14ac:dyDescent="0.2">
      <c r="D295" s="237">
        <v>0.1</v>
      </c>
      <c r="E295" s="210">
        <f>E294*D295</f>
        <v>6.6686882129647262</v>
      </c>
      <c r="AA295">
        <v>93</v>
      </c>
      <c r="AB295">
        <v>3.85</v>
      </c>
      <c r="AC295">
        <f>AA295*AB295</f>
        <v>358.05</v>
      </c>
    </row>
    <row r="296" spans="1:30" x14ac:dyDescent="0.2">
      <c r="A296" s="176"/>
      <c r="B296" s="176"/>
      <c r="C296" s="176"/>
      <c r="D296" s="176"/>
      <c r="E296" s="104">
        <f>SUM(E294:E295)</f>
        <v>73.355570342611983</v>
      </c>
      <c r="F296" s="176"/>
      <c r="G296" s="176"/>
      <c r="H296" s="176"/>
      <c r="I296" s="176"/>
      <c r="J296" s="176"/>
      <c r="K296" s="176"/>
      <c r="AC296">
        <f>SUM(AC292:AC295)</f>
        <v>631.04999999999995</v>
      </c>
      <c r="AD296">
        <f>AC296/AA208</f>
        <v>6.7854838709677416</v>
      </c>
    </row>
    <row r="297" spans="1:30" x14ac:dyDescent="0.2">
      <c r="A297" s="176"/>
      <c r="B297" s="176"/>
      <c r="C297" s="176"/>
      <c r="D297" s="176"/>
      <c r="E297" s="176"/>
      <c r="F297" s="176"/>
      <c r="G297" s="176"/>
      <c r="H297" s="176"/>
      <c r="I297" s="176"/>
      <c r="J297" s="176"/>
      <c r="K297" s="176"/>
      <c r="AD297">
        <v>12.5</v>
      </c>
    </row>
    <row r="298" spans="1:30" x14ac:dyDescent="0.2">
      <c r="AD298">
        <f>SUM(AD296:AD297)</f>
        <v>19.285483870967742</v>
      </c>
    </row>
  </sheetData>
  <phoneticPr fontId="5" type="noConversion"/>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C386A-F28D-424B-B1A8-19BBBF24B476}">
  <dimension ref="B7:L111"/>
  <sheetViews>
    <sheetView topLeftCell="A157" workbookViewId="0">
      <selection activeCell="Q103" sqref="Q103"/>
    </sheetView>
  </sheetViews>
  <sheetFormatPr defaultRowHeight="12.75" x14ac:dyDescent="0.2"/>
  <cols>
    <col min="2" max="2" width="17.7109375" bestFit="1" customWidth="1"/>
    <col min="3" max="3" width="27.28515625" customWidth="1"/>
    <col min="5" max="5" width="34.5703125" bestFit="1" customWidth="1"/>
    <col min="6" max="6" width="13.5703125" bestFit="1" customWidth="1"/>
    <col min="8" max="8" width="19.140625" bestFit="1" customWidth="1"/>
    <col min="9" max="9" width="33.140625" bestFit="1" customWidth="1"/>
    <col min="11" max="11" width="11.140625" bestFit="1" customWidth="1"/>
  </cols>
  <sheetData>
    <row r="7" spans="2:11" ht="18" x14ac:dyDescent="0.25">
      <c r="B7" s="333"/>
      <c r="C7" s="334"/>
      <c r="D7" s="334"/>
      <c r="E7" s="334" t="s">
        <v>427</v>
      </c>
      <c r="F7" s="334"/>
      <c r="G7" s="335"/>
      <c r="H7" s="335"/>
      <c r="I7" s="334"/>
      <c r="J7" s="334"/>
      <c r="K7" s="336"/>
    </row>
    <row r="8" spans="2:11" ht="18" x14ac:dyDescent="0.25">
      <c r="B8" s="337" t="s">
        <v>410</v>
      </c>
      <c r="C8" s="176"/>
      <c r="D8" s="176"/>
      <c r="E8" s="176"/>
      <c r="F8" s="176"/>
      <c r="G8" s="176"/>
      <c r="H8" s="176"/>
      <c r="I8" s="176"/>
      <c r="J8" s="176"/>
      <c r="K8" s="338"/>
    </row>
    <row r="9" spans="2:11" ht="18" x14ac:dyDescent="0.25">
      <c r="B9" s="339"/>
      <c r="C9" s="177"/>
      <c r="D9" s="177"/>
      <c r="E9" s="178"/>
      <c r="F9" s="178"/>
      <c r="G9" s="178"/>
      <c r="H9" s="178"/>
      <c r="I9" s="178"/>
      <c r="J9" s="176"/>
      <c r="K9" s="338"/>
    </row>
    <row r="10" spans="2:11" ht="18.75" thickBot="1" x14ac:dyDescent="0.3">
      <c r="B10" s="340" t="s">
        <v>154</v>
      </c>
      <c r="C10" s="179"/>
      <c r="D10" s="177"/>
      <c r="E10" s="180"/>
      <c r="F10" s="180"/>
      <c r="G10" s="180"/>
      <c r="H10" s="180"/>
      <c r="I10" s="180"/>
      <c r="J10" s="176"/>
      <c r="K10" s="338"/>
    </row>
    <row r="11" spans="2:11" x14ac:dyDescent="0.2">
      <c r="B11" s="341" t="s">
        <v>155</v>
      </c>
      <c r="C11" s="181">
        <v>4001</v>
      </c>
      <c r="D11" s="182" t="s">
        <v>45</v>
      </c>
      <c r="E11" s="176"/>
      <c r="F11" s="183" t="s">
        <v>156</v>
      </c>
      <c r="G11" s="176"/>
      <c r="H11" s="218" t="s">
        <v>198</v>
      </c>
      <c r="I11" s="176"/>
      <c r="J11" s="176"/>
      <c r="K11" s="338"/>
    </row>
    <row r="12" spans="2:11" x14ac:dyDescent="0.2">
      <c r="B12" s="342" t="s">
        <v>157</v>
      </c>
      <c r="C12" s="185"/>
      <c r="D12" s="186"/>
      <c r="E12" s="176"/>
      <c r="F12" s="183" t="s">
        <v>158</v>
      </c>
      <c r="G12" s="183"/>
      <c r="H12" s="183" t="s">
        <v>159</v>
      </c>
      <c r="I12" s="176"/>
      <c r="J12" s="176"/>
      <c r="K12" s="338"/>
    </row>
    <row r="13" spans="2:11" x14ac:dyDescent="0.2">
      <c r="B13" s="342" t="s">
        <v>160</v>
      </c>
      <c r="C13" s="187"/>
      <c r="D13" s="186"/>
      <c r="E13" s="176"/>
      <c r="F13" s="176" t="s">
        <v>161</v>
      </c>
      <c r="G13" s="215">
        <v>2.2000000000000002</v>
      </c>
      <c r="H13" s="215">
        <f>G13*1.15</f>
        <v>2.5299999999999998</v>
      </c>
      <c r="I13" s="176"/>
      <c r="J13" s="176"/>
      <c r="K13" s="338"/>
    </row>
    <row r="14" spans="2:11" x14ac:dyDescent="0.2">
      <c r="B14" s="342" t="s">
        <v>162</v>
      </c>
      <c r="C14" s="188">
        <v>50</v>
      </c>
      <c r="D14" s="186"/>
      <c r="E14" s="176"/>
      <c r="F14" s="176" t="s">
        <v>163</v>
      </c>
      <c r="G14" s="368">
        <v>3</v>
      </c>
      <c r="H14" s="215">
        <f>G14*1.15</f>
        <v>3.4499999999999997</v>
      </c>
      <c r="I14" s="176"/>
      <c r="J14" s="176"/>
      <c r="K14" s="338"/>
    </row>
    <row r="15" spans="2:11" x14ac:dyDescent="0.2">
      <c r="B15" s="342" t="s">
        <v>164</v>
      </c>
      <c r="C15" s="189">
        <v>1698</v>
      </c>
      <c r="D15" s="186" t="s">
        <v>46</v>
      </c>
      <c r="E15" s="176"/>
      <c r="F15" s="176" t="s">
        <v>411</v>
      </c>
      <c r="G15" s="368">
        <v>3.36</v>
      </c>
      <c r="H15" s="215">
        <f>G15*1.15</f>
        <v>3.8639999999999994</v>
      </c>
      <c r="I15" s="176"/>
      <c r="J15" s="176"/>
      <c r="K15" s="338"/>
    </row>
    <row r="16" spans="2:11" ht="18" customHeight="1" x14ac:dyDescent="0.2">
      <c r="B16" s="342" t="s">
        <v>165</v>
      </c>
      <c r="C16" s="190" t="s">
        <v>412</v>
      </c>
      <c r="D16" s="186"/>
      <c r="E16" s="176"/>
      <c r="F16" s="176"/>
      <c r="G16" s="215"/>
      <c r="H16" s="215"/>
      <c r="I16" s="176"/>
      <c r="J16" s="176"/>
      <c r="K16" s="338"/>
    </row>
    <row r="17" spans="2:12" x14ac:dyDescent="0.2">
      <c r="B17" s="342" t="s">
        <v>166</v>
      </c>
      <c r="C17" s="193">
        <f>K23</f>
        <v>32.725043739065235</v>
      </c>
      <c r="D17" s="186" t="s">
        <v>167</v>
      </c>
      <c r="E17" s="176"/>
      <c r="F17" s="176" t="s">
        <v>413</v>
      </c>
      <c r="G17" s="368">
        <v>1.97</v>
      </c>
      <c r="H17" s="215">
        <f>G17*1.15</f>
        <v>2.2654999999999998</v>
      </c>
      <c r="I17" s="176"/>
      <c r="J17" s="176"/>
      <c r="K17" s="369"/>
      <c r="L17" s="362"/>
    </row>
    <row r="18" spans="2:12" ht="13.5" thickBot="1" x14ac:dyDescent="0.25">
      <c r="B18" s="343" t="s">
        <v>168</v>
      </c>
      <c r="C18" s="194" t="s">
        <v>414</v>
      </c>
      <c r="D18" s="195"/>
      <c r="E18" s="176"/>
      <c r="F18" s="176"/>
      <c r="G18" s="176"/>
      <c r="H18" s="176"/>
      <c r="I18" s="176"/>
      <c r="J18" s="176"/>
      <c r="K18" s="369"/>
      <c r="L18" s="362"/>
    </row>
    <row r="19" spans="2:12" x14ac:dyDescent="0.2">
      <c r="B19" s="344"/>
      <c r="C19" s="176"/>
      <c r="D19" s="176"/>
      <c r="E19" s="176"/>
      <c r="F19" s="176"/>
      <c r="G19" s="176"/>
      <c r="H19" s="176"/>
      <c r="I19" s="176" t="s">
        <v>432</v>
      </c>
      <c r="J19" s="176"/>
      <c r="L19" s="362"/>
    </row>
    <row r="20" spans="2:12" ht="18.75" thickBot="1" x14ac:dyDescent="0.3">
      <c r="B20" s="340"/>
      <c r="C20" s="176"/>
      <c r="D20" s="176"/>
      <c r="E20" s="176"/>
      <c r="F20" s="178"/>
      <c r="G20" s="176"/>
      <c r="H20" s="176"/>
      <c r="I20" s="176" t="s">
        <v>431</v>
      </c>
      <c r="J20" s="176"/>
      <c r="K20" s="70"/>
      <c r="L20" s="362"/>
    </row>
    <row r="21" spans="2:12" x14ac:dyDescent="0.2">
      <c r="B21" s="345" t="s">
        <v>169</v>
      </c>
      <c r="C21" s="196">
        <f>C11*C41</f>
        <v>257933.4109361576</v>
      </c>
      <c r="D21" s="176"/>
      <c r="E21" s="346"/>
      <c r="F21" s="178"/>
      <c r="G21" s="176"/>
      <c r="H21" s="176"/>
      <c r="I21" s="240">
        <v>4891</v>
      </c>
      <c r="J21" s="176" t="s">
        <v>486</v>
      </c>
      <c r="L21" s="362"/>
    </row>
    <row r="22" spans="2:12" x14ac:dyDescent="0.2">
      <c r="B22" s="347" t="s">
        <v>170</v>
      </c>
      <c r="C22" s="197">
        <f>C21*(1+C12)</f>
        <v>257933.4109361576</v>
      </c>
      <c r="D22" s="178" t="s">
        <v>171</v>
      </c>
      <c r="E22" s="346"/>
      <c r="F22" s="178"/>
      <c r="G22" s="176"/>
      <c r="H22" s="176"/>
      <c r="I22" s="176" t="s">
        <v>487</v>
      </c>
      <c r="J22" s="176"/>
      <c r="K22" s="222">
        <v>145481</v>
      </c>
      <c r="L22" s="362"/>
    </row>
    <row r="23" spans="2:12" ht="13.5" thickBot="1" x14ac:dyDescent="0.25">
      <c r="B23" s="348" t="s">
        <v>172</v>
      </c>
      <c r="C23" s="198">
        <f>C22-C21</f>
        <v>0</v>
      </c>
      <c r="D23" s="176"/>
      <c r="E23" s="346"/>
      <c r="F23" s="178"/>
      <c r="G23" s="176"/>
      <c r="H23" s="176"/>
      <c r="I23" s="176"/>
      <c r="J23" s="176"/>
      <c r="K23" s="222">
        <f>K22/C37</f>
        <v>32.725043739065235</v>
      </c>
      <c r="L23" s="362"/>
    </row>
    <row r="24" spans="2:12" ht="18" x14ac:dyDescent="0.25">
      <c r="B24" s="340"/>
      <c r="C24" s="199"/>
      <c r="D24" s="176"/>
      <c r="E24" s="346"/>
      <c r="F24" s="178"/>
      <c r="G24" s="176"/>
      <c r="H24" s="176"/>
      <c r="I24" s="176"/>
      <c r="J24" s="176"/>
      <c r="K24" s="369"/>
      <c r="L24" s="362"/>
    </row>
    <row r="25" spans="2:12" ht="18" x14ac:dyDescent="0.25">
      <c r="B25" s="340" t="s">
        <v>156</v>
      </c>
      <c r="C25" s="176"/>
      <c r="D25" s="176"/>
      <c r="E25" s="349"/>
      <c r="F25" s="104"/>
      <c r="G25" s="104"/>
      <c r="H25" s="178"/>
      <c r="I25" s="176"/>
      <c r="J25" s="176"/>
      <c r="K25" s="369"/>
      <c r="L25" s="362"/>
    </row>
    <row r="26" spans="2:12" x14ac:dyDescent="0.2">
      <c r="B26" s="350" t="s">
        <v>415</v>
      </c>
      <c r="C26" s="176"/>
      <c r="D26" s="176"/>
      <c r="E26" s="346" t="s">
        <v>173</v>
      </c>
      <c r="F26" s="176"/>
      <c r="G26" s="200"/>
      <c r="H26" s="176"/>
      <c r="I26" s="176"/>
      <c r="J26" s="176"/>
      <c r="K26" s="369"/>
      <c r="L26" s="362"/>
    </row>
    <row r="27" spans="2:12" x14ac:dyDescent="0.2">
      <c r="B27" s="344" t="s">
        <v>174</v>
      </c>
      <c r="C27" s="176"/>
      <c r="D27" s="176"/>
      <c r="E27" s="176" t="s">
        <v>175</v>
      </c>
      <c r="F27" s="351">
        <f>SUM(C13)</f>
        <v>0</v>
      </c>
      <c r="G27" s="178" t="s">
        <v>176</v>
      </c>
      <c r="H27" s="176" t="s">
        <v>177</v>
      </c>
      <c r="I27" s="191">
        <v>50</v>
      </c>
      <c r="J27" s="176"/>
      <c r="K27" s="338"/>
    </row>
    <row r="28" spans="2:12" x14ac:dyDescent="0.2">
      <c r="B28" s="344" t="s">
        <v>416</v>
      </c>
      <c r="C28" s="352">
        <f>C15</f>
        <v>1698</v>
      </c>
      <c r="D28" s="176" t="s">
        <v>46</v>
      </c>
      <c r="E28" s="353">
        <f>H13</f>
        <v>2.5299999999999998</v>
      </c>
      <c r="F28" s="354">
        <f t="shared" ref="F28:F33" si="0">C28*E28</f>
        <v>4295.9399999999996</v>
      </c>
      <c r="G28" s="355">
        <f>C28/10</f>
        <v>169.8</v>
      </c>
      <c r="H28" s="353">
        <f>G28*$I$27</f>
        <v>8490</v>
      </c>
      <c r="I28" s="176">
        <f>H28/I27</f>
        <v>169.8</v>
      </c>
      <c r="J28" s="104">
        <f>I28/C15</f>
        <v>0.1</v>
      </c>
      <c r="K28" s="440">
        <f>F28/C28</f>
        <v>2.5299999999999998</v>
      </c>
    </row>
    <row r="29" spans="2:12" x14ac:dyDescent="0.2">
      <c r="B29" s="344" t="s">
        <v>417</v>
      </c>
      <c r="C29" s="199">
        <f>(C11/1.5)*1.07</f>
        <v>2854.0466666666671</v>
      </c>
      <c r="D29" s="176" t="s">
        <v>46</v>
      </c>
      <c r="E29" s="353">
        <f>H14</f>
        <v>3.4499999999999997</v>
      </c>
      <c r="F29" s="354">
        <f t="shared" si="0"/>
        <v>9846.4610000000011</v>
      </c>
      <c r="G29" s="355">
        <f>C29/23</f>
        <v>124.08898550724639</v>
      </c>
      <c r="H29" s="353">
        <f>G29*$I$27</f>
        <v>6204.4492753623199</v>
      </c>
      <c r="I29" s="176"/>
      <c r="J29" s="176"/>
      <c r="K29" s="338"/>
    </row>
    <row r="30" spans="2:12" x14ac:dyDescent="0.2">
      <c r="B30" s="344" t="s">
        <v>418</v>
      </c>
      <c r="C30" s="356">
        <f>C11*180%</f>
        <v>7201.8</v>
      </c>
      <c r="D30" s="176" t="s">
        <v>46</v>
      </c>
      <c r="E30" s="353">
        <f>H15</f>
        <v>3.8639999999999994</v>
      </c>
      <c r="F30" s="354">
        <f t="shared" si="0"/>
        <v>27827.755199999996</v>
      </c>
      <c r="G30" s="355">
        <f>C30/23</f>
        <v>313.12173913043478</v>
      </c>
      <c r="H30" s="353">
        <f>G30*$I$27</f>
        <v>15656.086956521738</v>
      </c>
      <c r="I30" s="176"/>
      <c r="J30" s="176"/>
      <c r="K30" s="338"/>
    </row>
    <row r="31" spans="2:12" x14ac:dyDescent="0.2">
      <c r="B31" s="344" t="s">
        <v>419</v>
      </c>
      <c r="C31" s="201">
        <f>SUM(C15/2)/0.9</f>
        <v>943.33333333333326</v>
      </c>
      <c r="D31" s="176" t="s">
        <v>420</v>
      </c>
      <c r="E31" s="353">
        <f>H17</f>
        <v>2.2654999999999998</v>
      </c>
      <c r="F31" s="354">
        <f t="shared" si="0"/>
        <v>2137.1216666666664</v>
      </c>
      <c r="G31" s="355">
        <f>C31/30</f>
        <v>31.444444444444443</v>
      </c>
      <c r="H31" s="353">
        <f>G31*$I$27</f>
        <v>1572.2222222222222</v>
      </c>
      <c r="I31" s="176"/>
      <c r="J31" s="176"/>
      <c r="K31" s="338"/>
    </row>
    <row r="32" spans="2:12" x14ac:dyDescent="0.2">
      <c r="B32" s="344" t="s">
        <v>178</v>
      </c>
      <c r="C32" s="176">
        <f>ROUND(C11/200, 0)</f>
        <v>20</v>
      </c>
      <c r="D32" s="176" t="s">
        <v>179</v>
      </c>
      <c r="E32" s="353">
        <v>115</v>
      </c>
      <c r="F32" s="354">
        <f t="shared" si="0"/>
        <v>2300</v>
      </c>
      <c r="G32" s="176"/>
      <c r="H32" s="353"/>
      <c r="I32" s="353">
        <f>H32*$I$21</f>
        <v>0</v>
      </c>
      <c r="J32" s="176"/>
      <c r="K32" s="338"/>
    </row>
    <row r="33" spans="2:11" x14ac:dyDescent="0.2">
      <c r="B33" s="344" t="s">
        <v>180</v>
      </c>
      <c r="C33" s="200">
        <f>C11*66%</f>
        <v>2640.6600000000003</v>
      </c>
      <c r="D33" s="176" t="s">
        <v>179</v>
      </c>
      <c r="E33" s="353">
        <v>1.5</v>
      </c>
      <c r="F33" s="354">
        <f t="shared" si="0"/>
        <v>3960.9900000000007</v>
      </c>
      <c r="G33" s="200">
        <f>C33/13</f>
        <v>203.12769230769234</v>
      </c>
      <c r="H33" s="353">
        <f>G33*$I$27</f>
        <v>10156.384615384617</v>
      </c>
      <c r="I33" s="176"/>
      <c r="J33" s="176"/>
      <c r="K33" s="338"/>
    </row>
    <row r="34" spans="2:11" x14ac:dyDescent="0.2">
      <c r="B34" s="344" t="s">
        <v>181</v>
      </c>
      <c r="C34" s="354">
        <f>F34+H34</f>
        <v>92447.410936157554</v>
      </c>
      <c r="D34" s="176"/>
      <c r="E34" s="104"/>
      <c r="F34" s="354">
        <f>SUM(F27:F33)</f>
        <v>50368.267866666662</v>
      </c>
      <c r="G34" s="176"/>
      <c r="H34" s="353">
        <f>SUM(H28:H33)</f>
        <v>42079.143069490892</v>
      </c>
      <c r="I34" s="176"/>
      <c r="J34" s="176"/>
      <c r="K34" s="338"/>
    </row>
    <row r="35" spans="2:11" x14ac:dyDescent="0.2">
      <c r="B35" s="344"/>
      <c r="C35" s="357">
        <f>C34/C11</f>
        <v>23.106076214985642</v>
      </c>
      <c r="D35" s="183" t="s">
        <v>182</v>
      </c>
      <c r="E35" s="202" t="s">
        <v>183</v>
      </c>
      <c r="F35" s="105">
        <f>F34/C11</f>
        <v>12.588919736732482</v>
      </c>
      <c r="G35" s="203" t="s">
        <v>184</v>
      </c>
      <c r="H35" s="357">
        <f>H34/C11</f>
        <v>10.51715647825316</v>
      </c>
      <c r="I35" s="105">
        <f>H35/I27</f>
        <v>0.21034312956506318</v>
      </c>
      <c r="J35" s="104">
        <f>I35-J28</f>
        <v>0.11034312956506317</v>
      </c>
      <c r="K35" s="338"/>
    </row>
    <row r="36" spans="2:11" x14ac:dyDescent="0.2">
      <c r="B36" s="344"/>
      <c r="C36" s="176"/>
      <c r="D36" s="176"/>
      <c r="E36" s="183"/>
      <c r="F36" s="105"/>
      <c r="G36" s="176"/>
      <c r="H36" s="353"/>
      <c r="I36" s="176"/>
      <c r="J36" s="176"/>
      <c r="K36" s="338"/>
    </row>
    <row r="37" spans="2:11" x14ac:dyDescent="0.2">
      <c r="B37" s="344" t="s">
        <v>185</v>
      </c>
      <c r="C37" s="200">
        <f>C11/0.9</f>
        <v>4445.5555555555557</v>
      </c>
      <c r="D37" s="176" t="s">
        <v>179</v>
      </c>
      <c r="E37" s="353">
        <f>C17</f>
        <v>32.725043739065235</v>
      </c>
      <c r="F37" s="358">
        <f>C37*E37</f>
        <v>145481</v>
      </c>
      <c r="G37" s="201">
        <f>C11/10</f>
        <v>400.1</v>
      </c>
      <c r="H37" s="353">
        <f>G37*$I$27</f>
        <v>20005</v>
      </c>
      <c r="I37" s="176"/>
      <c r="J37" s="176"/>
      <c r="K37" s="338"/>
    </row>
    <row r="38" spans="2:11" x14ac:dyDescent="0.2">
      <c r="B38" s="344" t="s">
        <v>186</v>
      </c>
      <c r="C38" s="354">
        <f>F37+H37</f>
        <v>165486</v>
      </c>
      <c r="D38" s="176"/>
      <c r="E38" s="105" t="s">
        <v>28</v>
      </c>
      <c r="I38" s="183"/>
      <c r="J38" s="176"/>
      <c r="K38" s="338"/>
    </row>
    <row r="39" spans="2:11" x14ac:dyDescent="0.2">
      <c r="B39" s="344"/>
      <c r="C39" s="357">
        <f>C38/C11</f>
        <v>41.361159710072485</v>
      </c>
      <c r="D39" s="176" t="s">
        <v>182</v>
      </c>
      <c r="E39" s="202" t="s">
        <v>183</v>
      </c>
      <c r="F39" s="105">
        <f>F37/C11</f>
        <v>36.361159710072485</v>
      </c>
      <c r="G39" s="203" t="s">
        <v>184</v>
      </c>
      <c r="H39" s="105">
        <f>H37/C11</f>
        <v>5</v>
      </c>
      <c r="I39" s="183" t="s">
        <v>45</v>
      </c>
      <c r="J39" s="370">
        <f>H39/I27</f>
        <v>0.1</v>
      </c>
      <c r="K39" s="338"/>
    </row>
    <row r="40" spans="2:11" x14ac:dyDescent="0.2">
      <c r="B40" s="344"/>
      <c r="C40" s="354"/>
      <c r="D40" s="176"/>
      <c r="E40" s="104"/>
      <c r="F40" s="176"/>
      <c r="G40" s="204">
        <f>SUM(G28:G37)</f>
        <v>1241.6828613898178</v>
      </c>
      <c r="H40" s="105" t="s">
        <v>187</v>
      </c>
      <c r="I40" s="176"/>
      <c r="J40" s="176"/>
      <c r="K40" s="338"/>
    </row>
    <row r="41" spans="2:11" ht="15" x14ac:dyDescent="0.2">
      <c r="B41" s="359" t="s">
        <v>188</v>
      </c>
      <c r="C41" s="360">
        <f>C35+C39</f>
        <v>64.467235925058134</v>
      </c>
      <c r="D41" s="176" t="s">
        <v>182</v>
      </c>
      <c r="E41" s="176"/>
      <c r="F41" s="176"/>
      <c r="I41" s="176"/>
      <c r="J41" s="176"/>
      <c r="K41" s="338"/>
    </row>
    <row r="42" spans="2:11" x14ac:dyDescent="0.2">
      <c r="B42" s="350"/>
      <c r="C42" s="205"/>
      <c r="D42" s="183"/>
      <c r="E42" s="176" t="s">
        <v>183</v>
      </c>
      <c r="F42" s="176"/>
      <c r="I42" s="176"/>
      <c r="J42" s="176"/>
      <c r="K42" s="338"/>
    </row>
    <row r="43" spans="2:11" x14ac:dyDescent="0.2">
      <c r="B43" s="344"/>
      <c r="C43" s="176"/>
      <c r="D43" s="176"/>
      <c r="E43" s="191">
        <f>F37+F34</f>
        <v>195849.26786666666</v>
      </c>
      <c r="H43" s="70" t="s">
        <v>189</v>
      </c>
      <c r="I43" s="176"/>
      <c r="J43" s="176"/>
      <c r="K43" s="338"/>
    </row>
    <row r="44" spans="2:11" ht="15" x14ac:dyDescent="0.25">
      <c r="B44" s="344"/>
      <c r="C44" s="361">
        <f>E44/E49</f>
        <v>0.7593016629983711</v>
      </c>
      <c r="D44" s="206"/>
      <c r="E44" s="207">
        <f>F39+F35</f>
        <v>48.950079446804963</v>
      </c>
      <c r="F44" s="183" t="s">
        <v>45</v>
      </c>
      <c r="H44" s="208">
        <f>E44</f>
        <v>48.950079446804963</v>
      </c>
      <c r="I44" s="176" t="s">
        <v>45</v>
      </c>
      <c r="J44" s="176"/>
      <c r="K44" s="338"/>
    </row>
    <row r="45" spans="2:11" x14ac:dyDescent="0.2">
      <c r="B45" s="344"/>
      <c r="C45" s="176"/>
      <c r="D45" s="176"/>
      <c r="E45" s="176" t="s">
        <v>190</v>
      </c>
      <c r="F45" s="176"/>
      <c r="I45" s="176"/>
      <c r="J45" s="176"/>
      <c r="K45" s="338"/>
    </row>
    <row r="46" spans="2:11" x14ac:dyDescent="0.2">
      <c r="B46" s="344"/>
      <c r="C46" s="176"/>
      <c r="D46" s="176"/>
      <c r="E46" s="57">
        <f>H37+H34</f>
        <v>62084.143069490892</v>
      </c>
      <c r="H46" s="70" t="s">
        <v>191</v>
      </c>
      <c r="I46" s="176"/>
      <c r="J46" s="176"/>
      <c r="K46" s="338"/>
    </row>
    <row r="47" spans="2:11" ht="15" x14ac:dyDescent="0.25">
      <c r="B47" s="362"/>
      <c r="C47" s="361">
        <f>E47/E49</f>
        <v>0.24069833700162896</v>
      </c>
      <c r="E47" s="106">
        <f>H39+H35</f>
        <v>15.51715647825316</v>
      </c>
      <c r="F47" s="209" t="s">
        <v>45</v>
      </c>
      <c r="H47" s="210">
        <v>6.5</v>
      </c>
      <c r="K47" s="338"/>
    </row>
    <row r="48" spans="2:11" x14ac:dyDescent="0.2">
      <c r="B48" s="362"/>
      <c r="D48" s="70" t="s">
        <v>192</v>
      </c>
      <c r="K48" s="338"/>
    </row>
    <row r="49" spans="2:11" ht="13.5" thickBot="1" x14ac:dyDescent="0.25">
      <c r="B49" s="362"/>
      <c r="E49" s="211">
        <f>E44+E47</f>
        <v>64.46723592505812</v>
      </c>
      <c r="K49" s="338"/>
    </row>
    <row r="50" spans="2:11" ht="13.5" thickTop="1" x14ac:dyDescent="0.2">
      <c r="B50" s="362"/>
      <c r="C50" s="70"/>
      <c r="D50" s="212" t="s">
        <v>193</v>
      </c>
      <c r="H50" s="210">
        <f>H44+H47</f>
        <v>55.450079446804963</v>
      </c>
      <c r="K50" s="338"/>
    </row>
    <row r="51" spans="2:11" x14ac:dyDescent="0.2">
      <c r="B51" s="362"/>
      <c r="H51" s="210">
        <f>E50-H50</f>
        <v>-55.450079446804963</v>
      </c>
      <c r="I51" t="s">
        <v>194</v>
      </c>
      <c r="K51" s="338"/>
    </row>
    <row r="52" spans="2:11" ht="15" x14ac:dyDescent="0.25">
      <c r="B52" s="362"/>
      <c r="D52" t="s">
        <v>421</v>
      </c>
      <c r="E52" s="210">
        <f>E49*0.04</f>
        <v>2.5786894370023248</v>
      </c>
      <c r="H52" s="213">
        <f>H51*C11</f>
        <v>-221855.76786666666</v>
      </c>
      <c r="I52" s="209" t="s">
        <v>195</v>
      </c>
      <c r="J52" s="214"/>
      <c r="K52" s="338"/>
    </row>
    <row r="53" spans="2:11" x14ac:dyDescent="0.2">
      <c r="B53" s="363"/>
      <c r="D53" t="s">
        <v>422</v>
      </c>
      <c r="E53" s="210">
        <f>E49*0.02</f>
        <v>1.2893447185011624</v>
      </c>
      <c r="K53" s="338"/>
    </row>
    <row r="54" spans="2:11" x14ac:dyDescent="0.2">
      <c r="B54" s="362"/>
      <c r="D54" t="s">
        <v>11</v>
      </c>
      <c r="E54" s="210">
        <f>E49*0.1</f>
        <v>6.446723592505812</v>
      </c>
      <c r="K54" s="338"/>
    </row>
    <row r="55" spans="2:11" ht="15" x14ac:dyDescent="0.25">
      <c r="B55" s="364"/>
      <c r="C55" s="365"/>
      <c r="D55" s="365"/>
      <c r="E55" s="366">
        <f>SUM(E49:E54)</f>
        <v>74.781993673067404</v>
      </c>
      <c r="F55" s="365"/>
      <c r="G55" s="365"/>
      <c r="H55" s="365"/>
      <c r="I55" s="365"/>
      <c r="J55" s="365"/>
      <c r="K55" s="367"/>
    </row>
    <row r="63" spans="2:11" ht="18" x14ac:dyDescent="0.25">
      <c r="B63" s="333"/>
      <c r="C63" s="334"/>
      <c r="D63" s="334"/>
      <c r="E63" s="334" t="s">
        <v>427</v>
      </c>
      <c r="F63" s="334"/>
      <c r="G63" s="335"/>
      <c r="H63" s="335"/>
      <c r="I63" s="334"/>
      <c r="J63" s="334"/>
      <c r="K63" s="336"/>
    </row>
    <row r="64" spans="2:11" ht="18" x14ac:dyDescent="0.25">
      <c r="B64" s="337" t="s">
        <v>410</v>
      </c>
      <c r="C64" s="176"/>
      <c r="D64" s="176"/>
      <c r="E64" s="176"/>
      <c r="F64" s="176"/>
      <c r="G64" s="176"/>
      <c r="H64" s="176"/>
      <c r="I64" s="176"/>
      <c r="J64" s="176"/>
      <c r="K64" s="338"/>
    </row>
    <row r="65" spans="2:11" ht="18" x14ac:dyDescent="0.25">
      <c r="B65" s="339"/>
      <c r="C65" s="177"/>
      <c r="D65" s="177"/>
      <c r="E65" s="178"/>
      <c r="F65" s="178"/>
      <c r="G65" s="178"/>
      <c r="H65" s="178"/>
      <c r="I65" s="178"/>
      <c r="J65" s="176"/>
      <c r="K65" s="338"/>
    </row>
    <row r="66" spans="2:11" ht="18.75" thickBot="1" x14ac:dyDescent="0.3">
      <c r="B66" s="340" t="s">
        <v>154</v>
      </c>
      <c r="C66" s="179"/>
      <c r="D66" s="177"/>
      <c r="E66" s="180"/>
      <c r="F66" s="180"/>
      <c r="G66" s="180"/>
      <c r="H66" s="180"/>
      <c r="I66" s="180"/>
      <c r="J66" s="176"/>
      <c r="K66" s="338"/>
    </row>
    <row r="67" spans="2:11" x14ac:dyDescent="0.2">
      <c r="B67" s="341" t="s">
        <v>155</v>
      </c>
      <c r="C67" s="181">
        <v>665</v>
      </c>
      <c r="D67" s="182" t="s">
        <v>45</v>
      </c>
      <c r="E67" s="176"/>
      <c r="F67" s="183" t="s">
        <v>156</v>
      </c>
      <c r="G67" s="176"/>
      <c r="H67" s="218" t="s">
        <v>198</v>
      </c>
      <c r="I67" s="176"/>
      <c r="J67" s="176"/>
      <c r="K67" s="338"/>
    </row>
    <row r="68" spans="2:11" x14ac:dyDescent="0.2">
      <c r="B68" s="342" t="s">
        <v>157</v>
      </c>
      <c r="C68" s="185"/>
      <c r="D68" s="186"/>
      <c r="E68" s="176"/>
      <c r="F68" s="183" t="s">
        <v>158</v>
      </c>
      <c r="G68" s="183"/>
      <c r="H68" s="183" t="s">
        <v>159</v>
      </c>
      <c r="I68" s="176"/>
      <c r="J68" s="176"/>
      <c r="K68" s="338"/>
    </row>
    <row r="69" spans="2:11" x14ac:dyDescent="0.2">
      <c r="B69" s="342" t="s">
        <v>160</v>
      </c>
      <c r="C69" s="187"/>
      <c r="D69" s="186"/>
      <c r="E69" s="176"/>
      <c r="F69" s="176" t="s">
        <v>161</v>
      </c>
      <c r="G69" s="215">
        <v>2.2000000000000002</v>
      </c>
      <c r="H69" s="215">
        <f>G69*1.15</f>
        <v>2.5299999999999998</v>
      </c>
      <c r="I69" s="176"/>
      <c r="J69" s="176"/>
      <c r="K69" s="338"/>
    </row>
    <row r="70" spans="2:11" x14ac:dyDescent="0.2">
      <c r="B70" s="342" t="s">
        <v>162</v>
      </c>
      <c r="C70" s="188">
        <v>50</v>
      </c>
      <c r="D70" s="186"/>
      <c r="E70" s="176"/>
      <c r="F70" s="176" t="s">
        <v>163</v>
      </c>
      <c r="G70" s="368">
        <v>3</v>
      </c>
      <c r="H70" s="215">
        <f>G70*1.15</f>
        <v>3.4499999999999997</v>
      </c>
      <c r="I70" s="176"/>
      <c r="J70" s="176"/>
      <c r="K70" s="338"/>
    </row>
    <row r="71" spans="2:11" x14ac:dyDescent="0.2">
      <c r="B71" s="342" t="s">
        <v>164</v>
      </c>
      <c r="C71" s="189">
        <v>338</v>
      </c>
      <c r="D71" s="186" t="s">
        <v>46</v>
      </c>
      <c r="E71" s="176"/>
      <c r="F71" s="176" t="s">
        <v>411</v>
      </c>
      <c r="G71" s="368">
        <v>3.36</v>
      </c>
      <c r="H71" s="215">
        <f>G71*1.15</f>
        <v>3.8639999999999994</v>
      </c>
      <c r="I71" s="176"/>
      <c r="J71" s="176"/>
      <c r="K71" s="338"/>
    </row>
    <row r="72" spans="2:11" x14ac:dyDescent="0.2">
      <c r="B72" s="342" t="s">
        <v>165</v>
      </c>
      <c r="C72" s="190" t="s">
        <v>412</v>
      </c>
      <c r="D72" s="186"/>
      <c r="E72" s="176"/>
      <c r="F72" s="176"/>
      <c r="G72" s="215"/>
      <c r="H72" s="215"/>
      <c r="I72" s="176"/>
      <c r="J72" s="176"/>
      <c r="K72" s="338"/>
    </row>
    <row r="73" spans="2:11" x14ac:dyDescent="0.2">
      <c r="B73" s="342" t="s">
        <v>166</v>
      </c>
      <c r="C73" s="193">
        <f>K80</f>
        <v>32.729999999999997</v>
      </c>
      <c r="D73" s="186" t="s">
        <v>167</v>
      </c>
      <c r="E73" s="176"/>
      <c r="F73" s="176" t="s">
        <v>413</v>
      </c>
      <c r="G73" s="368">
        <v>1.97</v>
      </c>
      <c r="H73" s="215">
        <f>G73*1.15</f>
        <v>2.2654999999999998</v>
      </c>
      <c r="I73" s="176"/>
      <c r="J73" s="176"/>
      <c r="K73" s="369"/>
    </row>
    <row r="74" spans="2:11" ht="13.5" thickBot="1" x14ac:dyDescent="0.25">
      <c r="B74" s="343" t="s">
        <v>168</v>
      </c>
      <c r="C74" s="194" t="s">
        <v>414</v>
      </c>
      <c r="D74" s="195"/>
      <c r="E74" s="176"/>
      <c r="F74" s="176"/>
      <c r="G74" s="176"/>
      <c r="H74" s="176"/>
      <c r="I74" s="176"/>
      <c r="J74" s="176"/>
      <c r="K74" s="369"/>
    </row>
    <row r="75" spans="2:11" x14ac:dyDescent="0.2">
      <c r="B75" s="344"/>
      <c r="C75" s="176"/>
      <c r="D75" s="176"/>
      <c r="E75" s="176"/>
      <c r="F75" s="176"/>
      <c r="G75" s="176"/>
      <c r="H75" s="176"/>
      <c r="I75" s="176" t="s">
        <v>432</v>
      </c>
      <c r="J75" s="176"/>
    </row>
    <row r="76" spans="2:11" ht="18.75" thickBot="1" x14ac:dyDescent="0.3">
      <c r="B76" s="340"/>
      <c r="C76" s="176"/>
      <c r="D76" s="176"/>
      <c r="E76" s="176"/>
      <c r="F76" s="178"/>
      <c r="G76" s="176"/>
      <c r="H76" s="176"/>
      <c r="I76" s="176" t="s">
        <v>431</v>
      </c>
      <c r="J76" s="176"/>
      <c r="K76" s="70"/>
    </row>
    <row r="77" spans="2:11" x14ac:dyDescent="0.2">
      <c r="B77" s="345" t="s">
        <v>169</v>
      </c>
      <c r="C77" s="196">
        <f>C67*C97</f>
        <v>45508.841708658489</v>
      </c>
      <c r="D77" s="176"/>
      <c r="E77" s="346"/>
      <c r="F77" s="178"/>
      <c r="G77" s="176"/>
      <c r="H77" s="176"/>
      <c r="I77" s="240">
        <v>4891</v>
      </c>
      <c r="J77" s="176" t="s">
        <v>486</v>
      </c>
    </row>
    <row r="78" spans="2:11" x14ac:dyDescent="0.2">
      <c r="B78" s="347" t="s">
        <v>170</v>
      </c>
      <c r="C78" s="197">
        <f>C77*(1+C68)</f>
        <v>45508.841708658489</v>
      </c>
      <c r="D78" s="178" t="s">
        <v>171</v>
      </c>
      <c r="E78" s="346"/>
      <c r="F78" s="178"/>
      <c r="G78" s="176"/>
      <c r="H78" s="176"/>
      <c r="I78" s="176" t="s">
        <v>487</v>
      </c>
      <c r="J78" s="176"/>
      <c r="K78" s="222">
        <v>145481</v>
      </c>
    </row>
    <row r="79" spans="2:11" ht="13.5" thickBot="1" x14ac:dyDescent="0.25">
      <c r="B79" s="348" t="s">
        <v>172</v>
      </c>
      <c r="C79" s="198">
        <f>C78-C77</f>
        <v>0</v>
      </c>
      <c r="D79" s="176"/>
      <c r="E79" s="346"/>
      <c r="F79" s="178"/>
      <c r="G79" s="176"/>
      <c r="H79" s="176"/>
      <c r="I79" s="176"/>
      <c r="J79" s="176"/>
      <c r="K79" s="222">
        <f>K78/C93</f>
        <v>196.8915789473684</v>
      </c>
    </row>
    <row r="80" spans="2:11" ht="18" x14ac:dyDescent="0.25">
      <c r="B80" s="340"/>
      <c r="C80" s="199"/>
      <c r="D80" s="176"/>
      <c r="E80" s="346"/>
      <c r="F80" s="178"/>
      <c r="G80" s="176"/>
      <c r="H80" s="176"/>
      <c r="I80" s="176"/>
      <c r="J80" s="176"/>
      <c r="K80" s="464">
        <v>32.729999999999997</v>
      </c>
    </row>
    <row r="81" spans="2:11" ht="18" x14ac:dyDescent="0.25">
      <c r="B81" s="340" t="s">
        <v>156</v>
      </c>
      <c r="C81" s="176"/>
      <c r="D81" s="176"/>
      <c r="E81" s="349"/>
      <c r="F81" s="104"/>
      <c r="G81" s="104"/>
      <c r="H81" s="178"/>
      <c r="I81" s="176"/>
      <c r="J81" s="176"/>
      <c r="K81" s="369"/>
    </row>
    <row r="82" spans="2:11" x14ac:dyDescent="0.2">
      <c r="B82" s="350" t="s">
        <v>415</v>
      </c>
      <c r="C82" s="176"/>
      <c r="D82" s="176"/>
      <c r="E82" s="346" t="s">
        <v>173</v>
      </c>
      <c r="F82" s="176"/>
      <c r="G82" s="200"/>
      <c r="H82" s="176"/>
      <c r="I82" s="176"/>
      <c r="J82" s="176"/>
      <c r="K82" s="369"/>
    </row>
    <row r="83" spans="2:11" x14ac:dyDescent="0.2">
      <c r="B83" s="344" t="s">
        <v>174</v>
      </c>
      <c r="C83" s="176"/>
      <c r="D83" s="176"/>
      <c r="E83" s="176" t="s">
        <v>175</v>
      </c>
      <c r="F83" s="351">
        <f>SUM(C69)</f>
        <v>0</v>
      </c>
      <c r="G83" s="178" t="s">
        <v>176</v>
      </c>
      <c r="H83" s="176" t="s">
        <v>177</v>
      </c>
      <c r="I83" s="191">
        <v>60</v>
      </c>
      <c r="J83" s="176"/>
      <c r="K83" s="338"/>
    </row>
    <row r="84" spans="2:11" x14ac:dyDescent="0.2">
      <c r="B84" s="344" t="s">
        <v>416</v>
      </c>
      <c r="C84" s="352">
        <f>C71</f>
        <v>338</v>
      </c>
      <c r="D84" s="176" t="s">
        <v>46</v>
      </c>
      <c r="E84" s="353">
        <f>H69</f>
        <v>2.5299999999999998</v>
      </c>
      <c r="F84" s="354">
        <f t="shared" ref="F84:F89" si="1">C84*E84</f>
        <v>855.14</v>
      </c>
      <c r="G84" s="355">
        <f>C84/10</f>
        <v>33.799999999999997</v>
      </c>
      <c r="H84" s="353">
        <f>G84*$I$83</f>
        <v>2027.9999999999998</v>
      </c>
      <c r="I84" s="176">
        <f>H84/I83</f>
        <v>33.799999999999997</v>
      </c>
      <c r="J84" s="104">
        <f>I84/C71</f>
        <v>9.9999999999999992E-2</v>
      </c>
      <c r="K84" s="440">
        <f>F84/C84</f>
        <v>2.5299999999999998</v>
      </c>
    </row>
    <row r="85" spans="2:11" x14ac:dyDescent="0.2">
      <c r="B85" s="344" t="s">
        <v>417</v>
      </c>
      <c r="C85" s="199">
        <f>(C67/1.5)*1.07</f>
        <v>474.36666666666667</v>
      </c>
      <c r="D85" s="176" t="s">
        <v>46</v>
      </c>
      <c r="E85" s="353">
        <f>H70</f>
        <v>3.4499999999999997</v>
      </c>
      <c r="F85" s="354">
        <f t="shared" si="1"/>
        <v>1636.5649999999998</v>
      </c>
      <c r="G85" s="355">
        <f>C85/23</f>
        <v>20.62463768115942</v>
      </c>
      <c r="H85" s="353">
        <f>G85*$I$83</f>
        <v>1237.4782608695652</v>
      </c>
      <c r="I85" s="176"/>
      <c r="J85" s="176"/>
      <c r="K85" s="338"/>
    </row>
    <row r="86" spans="2:11" x14ac:dyDescent="0.2">
      <c r="B86" s="344" t="s">
        <v>418</v>
      </c>
      <c r="C86" s="356">
        <f>C67*180%</f>
        <v>1197</v>
      </c>
      <c r="D86" s="176" t="s">
        <v>46</v>
      </c>
      <c r="E86" s="353">
        <f>H71</f>
        <v>3.8639999999999994</v>
      </c>
      <c r="F86" s="354">
        <f t="shared" si="1"/>
        <v>4625.2079999999996</v>
      </c>
      <c r="G86" s="355">
        <f>C86/23</f>
        <v>52.043478260869563</v>
      </c>
      <c r="H86" s="353">
        <f>G86*$I$83</f>
        <v>3122.608695652174</v>
      </c>
      <c r="I86" s="176"/>
      <c r="J86" s="176"/>
      <c r="K86" s="338"/>
    </row>
    <row r="87" spans="2:11" x14ac:dyDescent="0.2">
      <c r="B87" s="344" t="s">
        <v>419</v>
      </c>
      <c r="C87" s="201">
        <f>SUM(C71/2)/0.9</f>
        <v>187.77777777777777</v>
      </c>
      <c r="D87" s="176" t="s">
        <v>420</v>
      </c>
      <c r="E87" s="353">
        <f>H73</f>
        <v>2.2654999999999998</v>
      </c>
      <c r="F87" s="354">
        <f t="shared" si="1"/>
        <v>425.4105555555555</v>
      </c>
      <c r="G87" s="355">
        <f>C87/30</f>
        <v>6.2592592592592586</v>
      </c>
      <c r="H87" s="353">
        <f>G87*$I$83</f>
        <v>375.55555555555554</v>
      </c>
      <c r="I87" s="176"/>
      <c r="J87" s="176"/>
      <c r="K87" s="338"/>
    </row>
    <row r="88" spans="2:11" x14ac:dyDescent="0.2">
      <c r="B88" s="344" t="s">
        <v>178</v>
      </c>
      <c r="C88" s="176">
        <f>ROUND(C67/200, 0)</f>
        <v>3</v>
      </c>
      <c r="D88" s="176" t="s">
        <v>179</v>
      </c>
      <c r="E88" s="353">
        <v>115</v>
      </c>
      <c r="F88" s="354">
        <f t="shared" si="1"/>
        <v>345</v>
      </c>
      <c r="G88" s="176"/>
      <c r="H88" s="353"/>
      <c r="I88" s="353">
        <f>H88*$I$21</f>
        <v>0</v>
      </c>
      <c r="J88" s="176"/>
      <c r="K88" s="338"/>
    </row>
    <row r="89" spans="2:11" x14ac:dyDescent="0.2">
      <c r="B89" s="344" t="s">
        <v>180</v>
      </c>
      <c r="C89" s="200">
        <f>C67*66%</f>
        <v>438.90000000000003</v>
      </c>
      <c r="D89" s="176" t="s">
        <v>179</v>
      </c>
      <c r="E89" s="353">
        <v>1.5</v>
      </c>
      <c r="F89" s="354">
        <f t="shared" si="1"/>
        <v>658.35</v>
      </c>
      <c r="G89" s="200">
        <f>C89/13</f>
        <v>33.761538461538464</v>
      </c>
      <c r="H89" s="353">
        <f>G89*$I$83</f>
        <v>2025.6923076923078</v>
      </c>
      <c r="I89" s="176"/>
      <c r="J89" s="176"/>
      <c r="K89" s="338"/>
    </row>
    <row r="90" spans="2:11" x14ac:dyDescent="0.2">
      <c r="B90" s="344" t="s">
        <v>181</v>
      </c>
      <c r="C90" s="354">
        <f>F90+H90</f>
        <v>17335.00837532516</v>
      </c>
      <c r="D90" s="176"/>
      <c r="E90" s="104"/>
      <c r="F90" s="354">
        <f>SUM(F83:F89)</f>
        <v>8545.6735555555551</v>
      </c>
      <c r="G90" s="176"/>
      <c r="H90" s="353">
        <f>SUM(H84:H89)</f>
        <v>8789.3348197696032</v>
      </c>
      <c r="I90" s="176"/>
      <c r="J90" s="176"/>
      <c r="K90" s="338"/>
    </row>
    <row r="91" spans="2:11" x14ac:dyDescent="0.2">
      <c r="B91" s="344"/>
      <c r="C91" s="357">
        <f>C90/C67</f>
        <v>26.067681767406256</v>
      </c>
      <c r="D91" s="183" t="s">
        <v>182</v>
      </c>
      <c r="E91" s="202" t="s">
        <v>183</v>
      </c>
      <c r="F91" s="105">
        <f>F90/C67</f>
        <v>12.850636925647452</v>
      </c>
      <c r="G91" s="203" t="s">
        <v>184</v>
      </c>
      <c r="H91" s="357">
        <f>H90/C67</f>
        <v>13.217044841758803</v>
      </c>
      <c r="I91" s="105">
        <f>H91/I83</f>
        <v>0.22028408069598004</v>
      </c>
      <c r="J91" s="104">
        <f>I91-J84</f>
        <v>0.12028408069598005</v>
      </c>
      <c r="K91" s="338"/>
    </row>
    <row r="92" spans="2:11" x14ac:dyDescent="0.2">
      <c r="B92" s="344"/>
      <c r="C92" s="176"/>
      <c r="D92" s="176"/>
      <c r="E92" s="183"/>
      <c r="F92" s="105"/>
      <c r="G92" s="176"/>
      <c r="H92" s="353"/>
      <c r="I92" s="176"/>
      <c r="J92" s="176"/>
      <c r="K92" s="338"/>
    </row>
    <row r="93" spans="2:11" x14ac:dyDescent="0.2">
      <c r="B93" s="344" t="s">
        <v>185</v>
      </c>
      <c r="C93" s="200">
        <f>C67/0.9</f>
        <v>738.88888888888891</v>
      </c>
      <c r="D93" s="176" t="s">
        <v>179</v>
      </c>
      <c r="E93" s="353">
        <f>C73</f>
        <v>32.729999999999997</v>
      </c>
      <c r="F93" s="358">
        <f>C93*E93</f>
        <v>24183.833333333332</v>
      </c>
      <c r="G93" s="201">
        <f>C67/10</f>
        <v>66.5</v>
      </c>
      <c r="H93" s="353">
        <f>G93*$I$83</f>
        <v>3990</v>
      </c>
      <c r="I93" s="176"/>
      <c r="J93" s="176"/>
      <c r="K93" s="338"/>
    </row>
    <row r="94" spans="2:11" x14ac:dyDescent="0.2">
      <c r="B94" s="344" t="s">
        <v>186</v>
      </c>
      <c r="C94" s="354">
        <f>F93+H93</f>
        <v>28173.833333333332</v>
      </c>
      <c r="D94" s="176"/>
      <c r="E94" s="105" t="s">
        <v>28</v>
      </c>
      <c r="I94" s="183"/>
      <c r="J94" s="176"/>
      <c r="K94" s="338"/>
    </row>
    <row r="95" spans="2:11" x14ac:dyDescent="0.2">
      <c r="B95" s="344"/>
      <c r="C95" s="357">
        <f>C94/C67</f>
        <v>42.366666666666667</v>
      </c>
      <c r="D95" s="176" t="s">
        <v>182</v>
      </c>
      <c r="E95" s="202" t="s">
        <v>183</v>
      </c>
      <c r="F95" s="105">
        <f>F93/C67</f>
        <v>36.366666666666667</v>
      </c>
      <c r="G95" s="203" t="s">
        <v>184</v>
      </c>
      <c r="H95" s="105">
        <f>H93/C67</f>
        <v>6</v>
      </c>
      <c r="I95" s="183" t="s">
        <v>45</v>
      </c>
      <c r="J95" s="370">
        <f>H95/I83</f>
        <v>0.1</v>
      </c>
      <c r="K95" s="338"/>
    </row>
    <row r="96" spans="2:11" x14ac:dyDescent="0.2">
      <c r="B96" s="344"/>
      <c r="C96" s="354"/>
      <c r="D96" s="176"/>
      <c r="E96" s="104"/>
      <c r="F96" s="176"/>
      <c r="G96" s="204">
        <f>SUM(G84:G93)</f>
        <v>212.98891366282669</v>
      </c>
      <c r="H96" s="105" t="s">
        <v>187</v>
      </c>
      <c r="I96" s="176"/>
      <c r="J96" s="176"/>
      <c r="K96" s="338"/>
    </row>
    <row r="97" spans="2:11" ht="15" x14ac:dyDescent="0.2">
      <c r="B97" s="359" t="s">
        <v>188</v>
      </c>
      <c r="C97" s="360">
        <f>C91+C95</f>
        <v>68.434348434072916</v>
      </c>
      <c r="D97" s="176" t="s">
        <v>182</v>
      </c>
      <c r="E97" s="176"/>
      <c r="F97" s="176"/>
      <c r="I97" s="176"/>
      <c r="J97" s="176"/>
      <c r="K97" s="338"/>
    </row>
    <row r="98" spans="2:11" x14ac:dyDescent="0.2">
      <c r="B98" s="350"/>
      <c r="C98" s="205"/>
      <c r="D98" s="183"/>
      <c r="E98" s="176" t="s">
        <v>183</v>
      </c>
      <c r="F98" s="176"/>
      <c r="I98" s="176"/>
      <c r="J98" s="176"/>
      <c r="K98" s="338"/>
    </row>
    <row r="99" spans="2:11" x14ac:dyDescent="0.2">
      <c r="B99" s="344"/>
      <c r="C99" s="176"/>
      <c r="D99" s="176"/>
      <c r="E99" s="191">
        <f>F93+F90</f>
        <v>32729.506888888885</v>
      </c>
      <c r="H99" s="70" t="s">
        <v>189</v>
      </c>
      <c r="I99" s="176"/>
      <c r="J99" s="176"/>
      <c r="K99" s="338"/>
    </row>
    <row r="100" spans="2:11" ht="15" x14ac:dyDescent="0.25">
      <c r="B100" s="344"/>
      <c r="C100" s="361">
        <f>E100/E105</f>
        <v>0.71919006637037275</v>
      </c>
      <c r="D100" s="206"/>
      <c r="E100" s="207">
        <f>F95+F91</f>
        <v>49.217303592314117</v>
      </c>
      <c r="F100" s="183" t="s">
        <v>45</v>
      </c>
      <c r="H100" s="208">
        <f>E100</f>
        <v>49.217303592314117</v>
      </c>
      <c r="I100" s="176" t="s">
        <v>45</v>
      </c>
      <c r="J100" s="176"/>
      <c r="K100" s="338"/>
    </row>
    <row r="101" spans="2:11" x14ac:dyDescent="0.2">
      <c r="B101" s="344"/>
      <c r="C101" s="176"/>
      <c r="D101" s="176"/>
      <c r="E101" s="176" t="s">
        <v>190</v>
      </c>
      <c r="F101" s="176"/>
      <c r="I101" s="176"/>
      <c r="J101" s="176"/>
      <c r="K101" s="338"/>
    </row>
    <row r="102" spans="2:11" x14ac:dyDescent="0.2">
      <c r="B102" s="344"/>
      <c r="C102" s="176"/>
      <c r="D102" s="176"/>
      <c r="E102" s="57">
        <f>H93+H90</f>
        <v>12779.334819769603</v>
      </c>
      <c r="H102" s="70" t="s">
        <v>191</v>
      </c>
      <c r="I102" s="176"/>
      <c r="J102" s="176"/>
      <c r="K102" s="338"/>
    </row>
    <row r="103" spans="2:11" ht="15" x14ac:dyDescent="0.25">
      <c r="B103" s="362"/>
      <c r="C103" s="361">
        <f>E103/E105</f>
        <v>0.28080993362962725</v>
      </c>
      <c r="E103" s="106">
        <f>H95+H91</f>
        <v>19.217044841758803</v>
      </c>
      <c r="F103" s="209" t="s">
        <v>45</v>
      </c>
      <c r="H103" s="210">
        <v>6.5</v>
      </c>
      <c r="K103" s="338"/>
    </row>
    <row r="104" spans="2:11" x14ac:dyDescent="0.2">
      <c r="B104" s="362"/>
      <c r="D104" s="70" t="s">
        <v>192</v>
      </c>
      <c r="K104" s="338"/>
    </row>
    <row r="105" spans="2:11" ht="13.5" thickBot="1" x14ac:dyDescent="0.25">
      <c r="B105" s="362"/>
      <c r="E105" s="211">
        <f>E100+E103</f>
        <v>68.434348434072916</v>
      </c>
      <c r="K105" s="338"/>
    </row>
    <row r="106" spans="2:11" ht="13.5" thickTop="1" x14ac:dyDescent="0.2">
      <c r="B106" s="362"/>
      <c r="C106" s="70"/>
      <c r="D106" s="212" t="s">
        <v>193</v>
      </c>
      <c r="H106" s="210">
        <f>H100+H103</f>
        <v>55.717303592314117</v>
      </c>
      <c r="K106" s="338"/>
    </row>
    <row r="107" spans="2:11" x14ac:dyDescent="0.2">
      <c r="B107" s="362"/>
      <c r="H107" s="210">
        <f>E106-H106</f>
        <v>-55.717303592314117</v>
      </c>
      <c r="I107" t="s">
        <v>194</v>
      </c>
      <c r="K107" s="338"/>
    </row>
    <row r="108" spans="2:11" ht="15" x14ac:dyDescent="0.25">
      <c r="B108" s="362"/>
      <c r="D108" t="s">
        <v>421</v>
      </c>
      <c r="E108" s="210">
        <f>E105*0.04</f>
        <v>2.7373739373629169</v>
      </c>
      <c r="H108" s="213">
        <f>H107*C67</f>
        <v>-37052.006888888885</v>
      </c>
      <c r="I108" s="209" t="s">
        <v>195</v>
      </c>
      <c r="J108" s="214"/>
      <c r="K108" s="338"/>
    </row>
    <row r="109" spans="2:11" x14ac:dyDescent="0.2">
      <c r="B109" s="363"/>
      <c r="D109" t="s">
        <v>422</v>
      </c>
      <c r="E109" s="210">
        <f>E105*0.02</f>
        <v>1.3686869686814584</v>
      </c>
      <c r="K109" s="338"/>
    </row>
    <row r="110" spans="2:11" x14ac:dyDescent="0.2">
      <c r="B110" s="362"/>
      <c r="D110" t="s">
        <v>11</v>
      </c>
      <c r="E110" s="210">
        <f>E105*0.1</f>
        <v>6.8434348434072918</v>
      </c>
      <c r="K110" s="338"/>
    </row>
    <row r="111" spans="2:11" ht="15" x14ac:dyDescent="0.25">
      <c r="B111" s="364"/>
      <c r="C111" s="365"/>
      <c r="D111" s="365"/>
      <c r="E111" s="366">
        <f>SUM(E105:E110)</f>
        <v>79.383844183524587</v>
      </c>
      <c r="F111" s="365"/>
      <c r="G111" s="365"/>
      <c r="H111" s="365"/>
      <c r="I111" s="365"/>
      <c r="J111" s="365"/>
      <c r="K111" s="367"/>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941AD1-B915-43EB-ACA4-2C2C2E848A3E}">
  <sheetPr>
    <pageSetUpPr fitToPage="1"/>
  </sheetPr>
  <dimension ref="A1:Y153"/>
  <sheetViews>
    <sheetView topLeftCell="A9" zoomScale="85" zoomScaleNormal="85" workbookViewId="0">
      <selection activeCell="E106" sqref="E106"/>
    </sheetView>
  </sheetViews>
  <sheetFormatPr defaultRowHeight="12.75" x14ac:dyDescent="0.2"/>
  <cols>
    <col min="1" max="1" width="4.85546875" style="12" customWidth="1"/>
    <col min="2" max="2" width="42.42578125" style="12" customWidth="1"/>
    <col min="3" max="3" width="22" style="12" customWidth="1"/>
    <col min="4" max="4" width="12.140625" style="12" customWidth="1"/>
    <col min="5" max="5" width="8" style="12" customWidth="1"/>
    <col min="6" max="7" width="11.5703125" style="12" customWidth="1"/>
    <col min="8" max="8" width="15" style="12" customWidth="1"/>
    <col min="9" max="9" width="10.42578125" style="12" customWidth="1"/>
    <col min="10" max="12" width="11.5703125" style="12" customWidth="1"/>
    <col min="13" max="13" width="14.7109375" style="12" customWidth="1"/>
    <col min="14" max="14" width="11" style="84" customWidth="1"/>
    <col min="15" max="19" width="13.140625" style="12" customWidth="1"/>
    <col min="20" max="20" width="12.28515625" style="12" customWidth="1"/>
    <col min="21" max="21" width="9.140625" style="12"/>
    <col min="22" max="22" width="11.5703125" style="12" bestFit="1" customWidth="1"/>
    <col min="23" max="16384" width="9.140625" style="12"/>
  </cols>
  <sheetData>
    <row r="1" spans="1:22" ht="15.75" x14ac:dyDescent="0.2">
      <c r="A1" s="11"/>
      <c r="B1" s="2" t="str">
        <f>Summary!B1</f>
        <v>Ceilings Unlimited</v>
      </c>
      <c r="C1" s="11"/>
      <c r="D1" s="11"/>
      <c r="E1" s="11"/>
      <c r="F1" s="11"/>
      <c r="G1" s="11"/>
      <c r="H1" s="11"/>
      <c r="I1" s="11"/>
      <c r="J1" s="11"/>
      <c r="K1" s="11"/>
      <c r="L1" s="11"/>
      <c r="M1" s="11"/>
    </row>
    <row r="2" spans="1:22" ht="15.75" x14ac:dyDescent="0.2">
      <c r="A2" s="11"/>
      <c r="B2" s="10" t="str">
        <f>Summary!B2</f>
        <v>2 Devonport Road</v>
      </c>
      <c r="C2" s="11"/>
      <c r="D2" s="11"/>
      <c r="E2" s="11"/>
      <c r="F2" s="11"/>
      <c r="G2" s="11"/>
      <c r="H2" s="11"/>
      <c r="I2" s="11"/>
      <c r="J2" s="11"/>
      <c r="K2" s="11"/>
      <c r="L2" s="11"/>
      <c r="M2" s="11"/>
    </row>
    <row r="3" spans="1:22" ht="15.75" x14ac:dyDescent="0.2">
      <c r="A3" s="11"/>
      <c r="B3" s="10" t="str">
        <f>Summary!B3</f>
        <v>Tauranga</v>
      </c>
      <c r="C3" s="11"/>
      <c r="D3" s="11"/>
      <c r="E3" s="11"/>
      <c r="F3" s="11"/>
      <c r="G3" s="11"/>
      <c r="H3" s="11"/>
      <c r="I3" s="11"/>
      <c r="J3" s="11"/>
      <c r="K3" s="11"/>
      <c r="L3" s="11"/>
      <c r="M3" s="11"/>
    </row>
    <row r="4" spans="1:22" ht="15.75" x14ac:dyDescent="0.2">
      <c r="A4" s="11"/>
      <c r="B4" s="5"/>
      <c r="C4" s="11"/>
      <c r="D4" s="11"/>
      <c r="E4" s="11"/>
      <c r="F4" s="11"/>
      <c r="G4" s="11"/>
      <c r="H4" s="11"/>
      <c r="I4" s="11"/>
      <c r="J4" s="11"/>
      <c r="K4" s="11"/>
      <c r="L4" s="11"/>
      <c r="M4" s="11"/>
    </row>
    <row r="5" spans="1:22" ht="15.75" x14ac:dyDescent="0.2">
      <c r="A5" s="11"/>
      <c r="B5" s="5"/>
      <c r="C5" s="11"/>
      <c r="D5" s="11"/>
      <c r="E5" s="11"/>
      <c r="F5" s="11"/>
      <c r="G5" s="11"/>
      <c r="H5" s="11"/>
      <c r="I5" s="11"/>
      <c r="J5" s="11"/>
      <c r="K5" s="11"/>
      <c r="L5" s="11"/>
      <c r="M5" s="11"/>
    </row>
    <row r="6" spans="1:22" ht="15.75" x14ac:dyDescent="0.2">
      <c r="A6" s="11"/>
      <c r="B6" s="5">
        <v>45853</v>
      </c>
      <c r="C6" s="11"/>
      <c r="D6" s="11"/>
      <c r="E6" s="11"/>
      <c r="F6" s="11"/>
      <c r="G6" s="11"/>
      <c r="H6" s="11"/>
      <c r="I6" s="11"/>
      <c r="J6" s="11"/>
      <c r="K6" s="11"/>
      <c r="L6" s="11"/>
      <c r="M6" s="11"/>
    </row>
    <row r="7" spans="1:22" ht="15.75" x14ac:dyDescent="0.2">
      <c r="A7" s="11"/>
      <c r="B7" s="5"/>
      <c r="C7" s="11"/>
      <c r="D7" s="11"/>
      <c r="E7" s="11"/>
      <c r="F7" s="11"/>
      <c r="G7" s="11"/>
      <c r="H7" s="11"/>
      <c r="I7" s="11"/>
      <c r="J7" s="11"/>
      <c r="K7" s="11"/>
      <c r="L7" s="11"/>
      <c r="M7" s="11"/>
    </row>
    <row r="8" spans="1:22" ht="15.75" x14ac:dyDescent="0.2">
      <c r="A8" s="11"/>
      <c r="B8" s="128"/>
      <c r="C8" s="11"/>
      <c r="D8" s="11"/>
      <c r="E8" s="11"/>
      <c r="F8" s="11"/>
      <c r="G8" s="11"/>
      <c r="H8" s="11"/>
      <c r="I8" s="11"/>
      <c r="J8" s="11"/>
      <c r="K8" s="11"/>
      <c r="L8" s="11"/>
      <c r="M8" s="11"/>
    </row>
    <row r="9" spans="1:22" ht="23.25" customHeight="1" x14ac:dyDescent="0.2">
      <c r="A9" s="13"/>
      <c r="B9" s="54" t="s">
        <v>143</v>
      </c>
      <c r="C9" s="14"/>
      <c r="D9" s="13"/>
      <c r="E9" s="13"/>
      <c r="F9" s="13"/>
      <c r="G9" s="13"/>
      <c r="H9" s="13"/>
      <c r="I9" s="13"/>
      <c r="J9" s="13"/>
      <c r="K9" s="13"/>
      <c r="L9" s="13"/>
      <c r="M9" s="15"/>
      <c r="N9" s="85"/>
      <c r="O9" s="52"/>
      <c r="P9" s="52"/>
      <c r="Q9" s="52"/>
      <c r="R9" s="52"/>
      <c r="S9" s="52"/>
      <c r="T9" s="17"/>
    </row>
    <row r="10" spans="1:22" ht="23.25" customHeight="1" x14ac:dyDescent="0.2">
      <c r="A10" s="13"/>
      <c r="B10" s="54"/>
      <c r="C10" s="14"/>
      <c r="D10" s="13"/>
      <c r="E10" s="13"/>
      <c r="F10" s="13"/>
      <c r="G10" s="13"/>
      <c r="H10" s="13"/>
      <c r="I10" s="13"/>
      <c r="J10" s="13"/>
      <c r="K10" s="13"/>
      <c r="L10" s="13"/>
      <c r="M10" s="15"/>
      <c r="N10" s="85"/>
      <c r="O10" s="52"/>
      <c r="P10" s="52"/>
      <c r="Q10" s="52"/>
      <c r="R10" s="52"/>
      <c r="S10" s="52"/>
      <c r="T10" s="17"/>
    </row>
    <row r="11" spans="1:22" x14ac:dyDescent="0.2">
      <c r="A11" s="18"/>
      <c r="B11" s="19"/>
      <c r="C11" s="13"/>
      <c r="D11" s="13"/>
      <c r="F11" s="16"/>
      <c r="G11" s="16"/>
      <c r="H11" s="406">
        <v>50</v>
      </c>
      <c r="I11" s="56"/>
      <c r="M11" s="15"/>
      <c r="N11" s="85"/>
      <c r="O11" s="52"/>
      <c r="P11" s="52"/>
      <c r="Q11" s="52"/>
      <c r="R11" s="52"/>
      <c r="S11" s="52"/>
      <c r="T11" s="17"/>
    </row>
    <row r="12" spans="1:22" ht="99" customHeight="1" x14ac:dyDescent="0.2">
      <c r="A12" s="20" t="s">
        <v>0</v>
      </c>
      <c r="B12" s="21" t="s">
        <v>1</v>
      </c>
      <c r="C12" s="89" t="s">
        <v>2</v>
      </c>
      <c r="D12" s="89" t="s">
        <v>3</v>
      </c>
      <c r="E12" s="73" t="s">
        <v>18</v>
      </c>
      <c r="F12" s="74" t="s">
        <v>25</v>
      </c>
      <c r="G12" s="74" t="s">
        <v>27</v>
      </c>
      <c r="H12" s="74" t="s">
        <v>20</v>
      </c>
      <c r="I12" s="74" t="s">
        <v>26</v>
      </c>
      <c r="J12" s="74" t="s">
        <v>19</v>
      </c>
      <c r="K12" s="73" t="s">
        <v>21</v>
      </c>
      <c r="L12" s="73" t="s">
        <v>22</v>
      </c>
      <c r="M12" s="90" t="s">
        <v>4</v>
      </c>
      <c r="N12" s="91" t="s">
        <v>24</v>
      </c>
      <c r="O12" s="94" t="s">
        <v>23</v>
      </c>
      <c r="P12" s="453"/>
      <c r="Q12" s="453"/>
      <c r="R12" s="453"/>
      <c r="S12" s="453"/>
      <c r="T12" s="62"/>
      <c r="U12" s="62">
        <f>SUM(C16,C22,C29,C35,C42,C47,C55,C60,C68,C73,C81,C86,C94,C99,C107)</f>
        <v>1912</v>
      </c>
      <c r="V12" s="22"/>
    </row>
    <row r="13" spans="1:22" s="70" customFormat="1" ht="14.25" x14ac:dyDescent="0.2">
      <c r="A13" s="60"/>
      <c r="B13" s="114"/>
      <c r="C13" s="61"/>
      <c r="D13" s="72"/>
      <c r="E13" s="115"/>
      <c r="F13" s="116"/>
      <c r="G13" s="116"/>
      <c r="H13" s="116"/>
      <c r="I13" s="117"/>
      <c r="J13" s="115"/>
      <c r="K13" s="115"/>
      <c r="L13" s="115"/>
      <c r="M13" s="137"/>
      <c r="N13" s="138"/>
      <c r="O13" s="139"/>
      <c r="P13" s="454"/>
      <c r="Q13" s="454"/>
      <c r="R13" s="454"/>
      <c r="S13" s="454"/>
      <c r="T13" s="62"/>
    </row>
    <row r="14" spans="1:22" s="70" customFormat="1" ht="17.25" customHeight="1" x14ac:dyDescent="0.2">
      <c r="A14" s="60"/>
      <c r="B14" s="169"/>
      <c r="C14" s="61"/>
      <c r="D14" s="72"/>
      <c r="E14" s="140"/>
      <c r="F14" s="141"/>
      <c r="G14" s="141"/>
      <c r="H14" s="141"/>
      <c r="I14" s="142"/>
      <c r="J14" s="140"/>
      <c r="K14" s="140"/>
      <c r="L14" s="140"/>
      <c r="M14" s="143"/>
      <c r="N14" s="144"/>
      <c r="O14" s="145"/>
      <c r="P14" s="454"/>
      <c r="Q14" s="454"/>
      <c r="R14" s="454"/>
      <c r="S14" s="454"/>
      <c r="T14" s="62"/>
    </row>
    <row r="15" spans="1:22" s="70" customFormat="1" ht="15" x14ac:dyDescent="0.2">
      <c r="A15" s="60"/>
      <c r="B15" s="169" t="s">
        <v>66</v>
      </c>
      <c r="C15" s="61"/>
      <c r="D15" s="72"/>
      <c r="E15" s="140"/>
      <c r="F15" s="141"/>
      <c r="G15" s="141"/>
      <c r="H15" s="141"/>
      <c r="I15" s="388"/>
      <c r="J15" s="140"/>
      <c r="K15" s="140"/>
      <c r="L15" s="140"/>
      <c r="M15" s="143"/>
      <c r="N15" s="144"/>
      <c r="O15" s="145"/>
      <c r="P15" s="454"/>
      <c r="Q15" s="454"/>
      <c r="R15" s="454"/>
      <c r="S15" s="454"/>
      <c r="T15" s="62"/>
    </row>
    <row r="16" spans="1:22" s="70" customFormat="1" ht="14.25" x14ac:dyDescent="0.2">
      <c r="A16" s="60"/>
      <c r="B16" s="146" t="s">
        <v>391</v>
      </c>
      <c r="C16" s="61">
        <v>98</v>
      </c>
      <c r="D16" s="72" t="s">
        <v>45</v>
      </c>
      <c r="E16" s="122">
        <f>$Y$20</f>
        <v>0.4</v>
      </c>
      <c r="F16" s="122">
        <f>C16*E16</f>
        <v>39.200000000000003</v>
      </c>
      <c r="G16" s="122">
        <f>$H$11*E16</f>
        <v>20</v>
      </c>
      <c r="H16" s="123">
        <f>F16*$H$11</f>
        <v>1960.0000000000002</v>
      </c>
      <c r="I16" s="389">
        <v>15.19</v>
      </c>
      <c r="J16" s="123">
        <f>C16*I16</f>
        <v>1488.62</v>
      </c>
      <c r="K16" s="124">
        <f>SUM(H16,J16)</f>
        <v>3448.62</v>
      </c>
      <c r="L16" s="123">
        <f>K16/C16</f>
        <v>35.19</v>
      </c>
      <c r="M16" s="125">
        <f>C16*L16</f>
        <v>3448.62</v>
      </c>
      <c r="N16" s="131">
        <v>0</v>
      </c>
      <c r="O16" s="118">
        <f>M16*N16</f>
        <v>0</v>
      </c>
      <c r="P16" s="455"/>
      <c r="Q16" s="455"/>
      <c r="R16" s="455"/>
      <c r="S16" s="455"/>
      <c r="T16" s="266" t="s">
        <v>274</v>
      </c>
    </row>
    <row r="17" spans="1:25" s="70" customFormat="1" ht="14.25" x14ac:dyDescent="0.2">
      <c r="A17" s="60"/>
      <c r="B17" s="146" t="s">
        <v>271</v>
      </c>
      <c r="C17" s="61">
        <v>133</v>
      </c>
      <c r="D17" s="72" t="s">
        <v>46</v>
      </c>
      <c r="E17" s="122">
        <v>7.0000000000000007E-2</v>
      </c>
      <c r="F17" s="122">
        <f>C17*E17</f>
        <v>9.31</v>
      </c>
      <c r="G17" s="122">
        <f>$H$11*E17</f>
        <v>3.5000000000000004</v>
      </c>
      <c r="H17" s="123">
        <f>F17*$H$11</f>
        <v>465.5</v>
      </c>
      <c r="I17" s="389">
        <v>7</v>
      </c>
      <c r="J17" s="123">
        <f>C17*I17</f>
        <v>931</v>
      </c>
      <c r="K17" s="124">
        <f>SUM(H17,J17)</f>
        <v>1396.5</v>
      </c>
      <c r="L17" s="123">
        <f>K17/C17</f>
        <v>10.5</v>
      </c>
      <c r="M17" s="125">
        <f>C17*L17</f>
        <v>1396.5</v>
      </c>
      <c r="N17" s="131">
        <v>0</v>
      </c>
      <c r="O17" s="118">
        <f>M17*N17</f>
        <v>0</v>
      </c>
      <c r="P17" s="455"/>
      <c r="Q17" s="455"/>
      <c r="R17" s="455"/>
      <c r="S17" s="455"/>
      <c r="T17" s="62"/>
    </row>
    <row r="18" spans="1:25" s="70" customFormat="1" ht="14.25" x14ac:dyDescent="0.2">
      <c r="A18" s="60"/>
      <c r="B18" s="264" t="s">
        <v>359</v>
      </c>
      <c r="C18" s="61">
        <v>29</v>
      </c>
      <c r="D18" s="72" t="s">
        <v>46</v>
      </c>
      <c r="E18" s="122">
        <v>0.25</v>
      </c>
      <c r="F18" s="122">
        <f>C18*E18</f>
        <v>7.25</v>
      </c>
      <c r="G18" s="122">
        <f>$H$11*E18</f>
        <v>12.5</v>
      </c>
      <c r="H18" s="123">
        <f>F18*$H$11</f>
        <v>362.5</v>
      </c>
      <c r="I18" s="389">
        <v>15</v>
      </c>
      <c r="J18" s="123">
        <f>C18*I18</f>
        <v>435</v>
      </c>
      <c r="K18" s="124">
        <f>SUM(H18,J18)</f>
        <v>797.5</v>
      </c>
      <c r="L18" s="123">
        <f>K18/C18</f>
        <v>27.5</v>
      </c>
      <c r="M18" s="125">
        <f>C18*L18</f>
        <v>797.5</v>
      </c>
      <c r="N18" s="131">
        <v>0</v>
      </c>
      <c r="O18" s="118">
        <f>M18*N18</f>
        <v>0</v>
      </c>
      <c r="P18" s="455"/>
      <c r="Q18" s="455"/>
      <c r="R18" s="455"/>
      <c r="S18" s="455"/>
      <c r="T18" s="62"/>
      <c r="V18" s="103">
        <f>SUM(F17,F16)</f>
        <v>48.510000000000005</v>
      </c>
    </row>
    <row r="19" spans="1:25" s="70" customFormat="1" ht="14.25" x14ac:dyDescent="0.2">
      <c r="A19" s="60"/>
      <c r="B19" s="264" t="s">
        <v>360</v>
      </c>
      <c r="C19" s="152">
        <v>29</v>
      </c>
      <c r="D19" s="153" t="s">
        <v>46</v>
      </c>
      <c r="E19" s="122">
        <v>0.15</v>
      </c>
      <c r="F19" s="122">
        <f>C19*E19</f>
        <v>4.3499999999999996</v>
      </c>
      <c r="G19" s="122">
        <f>$H$11*E19</f>
        <v>7.5</v>
      </c>
      <c r="H19" s="123">
        <f>F19*$H$11</f>
        <v>217.49999999999997</v>
      </c>
      <c r="I19" s="389">
        <v>6</v>
      </c>
      <c r="J19" s="123">
        <f>C19*I19</f>
        <v>174</v>
      </c>
      <c r="K19" s="124">
        <f>SUM(H19,J19)</f>
        <v>391.5</v>
      </c>
      <c r="L19" s="123">
        <f>K19/C19</f>
        <v>13.5</v>
      </c>
      <c r="M19" s="125">
        <f>C19*L19</f>
        <v>391.5</v>
      </c>
      <c r="N19" s="131">
        <v>0</v>
      </c>
      <c r="O19" s="118">
        <f>M19*N19</f>
        <v>0</v>
      </c>
      <c r="P19" s="455"/>
      <c r="Q19" s="455"/>
      <c r="R19" s="455"/>
      <c r="S19" s="455"/>
      <c r="T19" s="62"/>
      <c r="V19" s="70">
        <f>V18/C16</f>
        <v>0.49500000000000005</v>
      </c>
    </row>
    <row r="20" spans="1:25" s="70" customFormat="1" ht="14.25" x14ac:dyDescent="0.2">
      <c r="A20" s="60"/>
      <c r="B20" s="146"/>
      <c r="C20" s="61"/>
      <c r="D20" s="72"/>
      <c r="E20" s="122"/>
      <c r="F20" s="122"/>
      <c r="G20" s="122"/>
      <c r="H20" s="123"/>
      <c r="I20" s="389"/>
      <c r="J20" s="123"/>
      <c r="K20" s="124"/>
      <c r="L20" s="123"/>
      <c r="M20" s="125"/>
      <c r="N20" s="131"/>
      <c r="O20" s="118"/>
      <c r="P20" s="452">
        <f>SUM(M16:M19)</f>
        <v>6034.12</v>
      </c>
      <c r="Q20" s="450">
        <f>P20*SUM($L$115:$L$119)</f>
        <v>573.2414</v>
      </c>
      <c r="R20" s="266"/>
      <c r="S20" s="266"/>
      <c r="T20" s="62"/>
      <c r="Y20" s="70">
        <v>0.4</v>
      </c>
    </row>
    <row r="21" spans="1:25" s="70" customFormat="1" ht="15" x14ac:dyDescent="0.2">
      <c r="A21" s="60"/>
      <c r="B21" s="169" t="s">
        <v>64</v>
      </c>
      <c r="C21" s="152"/>
      <c r="D21" s="153"/>
      <c r="E21" s="122"/>
      <c r="F21" s="122"/>
      <c r="G21" s="122"/>
      <c r="H21" s="123"/>
      <c r="I21" s="389"/>
      <c r="J21" s="123"/>
      <c r="K21" s="124"/>
      <c r="L21" s="123"/>
      <c r="M21" s="125"/>
      <c r="N21" s="131"/>
      <c r="O21" s="118"/>
      <c r="P21" s="451">
        <f>P20/$M$112</f>
        <v>6.5341426528524732E-2</v>
      </c>
      <c r="Q21" s="452">
        <f>P21*$M$123</f>
        <v>154.95866319449325</v>
      </c>
      <c r="R21" s="452">
        <f>SUM(P20,Q20,Q21)</f>
        <v>6762.3200631944928</v>
      </c>
      <c r="S21" s="452">
        <f>R21*1.08</f>
        <v>7303.3056682500528</v>
      </c>
      <c r="T21" s="62"/>
      <c r="U21" s="103"/>
      <c r="V21" s="103"/>
    </row>
    <row r="22" spans="1:25" s="70" customFormat="1" ht="14.25" x14ac:dyDescent="0.2">
      <c r="A22" s="60"/>
      <c r="B22" s="146" t="s">
        <v>272</v>
      </c>
      <c r="C22" s="152">
        <v>95</v>
      </c>
      <c r="D22" s="153" t="s">
        <v>45</v>
      </c>
      <c r="E22" s="122">
        <f>$Y$20</f>
        <v>0.4</v>
      </c>
      <c r="F22" s="122">
        <f>C22*E22</f>
        <v>38</v>
      </c>
      <c r="G22" s="122">
        <f>$H$11*E22</f>
        <v>20</v>
      </c>
      <c r="H22" s="123">
        <f>F22*$H$11</f>
        <v>1900</v>
      </c>
      <c r="I22" s="389">
        <v>10.77</v>
      </c>
      <c r="J22" s="123">
        <f>C22*I22</f>
        <v>1023.15</v>
      </c>
      <c r="K22" s="124">
        <f>SUM(H22,J22)</f>
        <v>2923.15</v>
      </c>
      <c r="L22" s="123">
        <f>K22/C22</f>
        <v>30.77</v>
      </c>
      <c r="M22" s="125">
        <f>C22*L22</f>
        <v>2923.15</v>
      </c>
      <c r="N22" s="131">
        <v>0</v>
      </c>
      <c r="O22" s="118">
        <f>M22*N22</f>
        <v>0</v>
      </c>
      <c r="P22" s="455"/>
      <c r="Q22" s="455"/>
      <c r="R22" s="455"/>
      <c r="S22" s="455"/>
      <c r="T22" s="266" t="s">
        <v>275</v>
      </c>
      <c r="U22" s="103"/>
      <c r="V22" s="103">
        <f>SUM(F22:F23)</f>
        <v>41.55</v>
      </c>
    </row>
    <row r="23" spans="1:25" s="70" customFormat="1" ht="14.25" x14ac:dyDescent="0.2">
      <c r="A23" s="60"/>
      <c r="B23" s="146" t="s">
        <v>271</v>
      </c>
      <c r="C23" s="152">
        <v>71</v>
      </c>
      <c r="D23" s="153" t="s">
        <v>46</v>
      </c>
      <c r="E23" s="122">
        <v>0.05</v>
      </c>
      <c r="F23" s="122">
        <f>C23*E23</f>
        <v>3.5500000000000003</v>
      </c>
      <c r="G23" s="122">
        <f>$H$11*E23</f>
        <v>2.5</v>
      </c>
      <c r="H23" s="123">
        <f>F23*$H$11</f>
        <v>177.5</v>
      </c>
      <c r="I23" s="389">
        <v>2.7</v>
      </c>
      <c r="J23" s="123">
        <f>C23*I23</f>
        <v>191.70000000000002</v>
      </c>
      <c r="K23" s="124">
        <f>SUM(H23,J23)</f>
        <v>369.20000000000005</v>
      </c>
      <c r="L23" s="123">
        <f>K23/C23</f>
        <v>5.2000000000000011</v>
      </c>
      <c r="M23" s="125">
        <f>C23*L23</f>
        <v>369.2000000000001</v>
      </c>
      <c r="N23" s="131">
        <v>0</v>
      </c>
      <c r="O23" s="118">
        <f>M23*N23</f>
        <v>0</v>
      </c>
      <c r="P23" s="455"/>
      <c r="Q23" s="455"/>
      <c r="R23" s="455"/>
      <c r="S23" s="455"/>
      <c r="T23" s="62"/>
      <c r="U23" s="103"/>
      <c r="V23" s="103">
        <f>V22/C22</f>
        <v>0.43736842105263157</v>
      </c>
    </row>
    <row r="24" spans="1:25" s="70" customFormat="1" ht="14.25" x14ac:dyDescent="0.2">
      <c r="A24" s="60"/>
      <c r="B24" s="264" t="s">
        <v>359</v>
      </c>
      <c r="C24" s="61">
        <v>23</v>
      </c>
      <c r="D24" s="72" t="s">
        <v>46</v>
      </c>
      <c r="E24" s="122">
        <v>0.25</v>
      </c>
      <c r="F24" s="122">
        <f>C24*E24</f>
        <v>5.75</v>
      </c>
      <c r="G24" s="122">
        <f>$H$11*E24</f>
        <v>12.5</v>
      </c>
      <c r="H24" s="123">
        <f>F24*$H$11</f>
        <v>287.5</v>
      </c>
      <c r="I24" s="389">
        <v>15</v>
      </c>
      <c r="J24" s="123">
        <f>C24*I24</f>
        <v>345</v>
      </c>
      <c r="K24" s="124">
        <f>SUM(H24,J24)</f>
        <v>632.5</v>
      </c>
      <c r="L24" s="123">
        <f>K24/C24</f>
        <v>27.5</v>
      </c>
      <c r="M24" s="125">
        <f>C24*L24</f>
        <v>632.5</v>
      </c>
      <c r="N24" s="131">
        <v>0</v>
      </c>
      <c r="O24" s="118">
        <f>M24*N24</f>
        <v>0</v>
      </c>
      <c r="P24" s="455"/>
      <c r="Q24" s="455"/>
      <c r="R24" s="455"/>
      <c r="S24" s="455"/>
      <c r="T24" s="62"/>
      <c r="U24" s="103"/>
      <c r="V24" s="103"/>
    </row>
    <row r="25" spans="1:25" s="70" customFormat="1" ht="14.25" x14ac:dyDescent="0.2">
      <c r="A25" s="60"/>
      <c r="B25" s="264" t="s">
        <v>360</v>
      </c>
      <c r="C25" s="152">
        <v>23</v>
      </c>
      <c r="D25" s="153" t="s">
        <v>46</v>
      </c>
      <c r="E25" s="122">
        <v>0.15</v>
      </c>
      <c r="F25" s="122">
        <f>C25*E25</f>
        <v>3.4499999999999997</v>
      </c>
      <c r="G25" s="122">
        <f>$H$11*E25</f>
        <v>7.5</v>
      </c>
      <c r="H25" s="123">
        <f>F25*$H$11</f>
        <v>172.5</v>
      </c>
      <c r="I25" s="389">
        <v>6</v>
      </c>
      <c r="J25" s="123">
        <f>C25*I25</f>
        <v>138</v>
      </c>
      <c r="K25" s="124">
        <f>SUM(H25,J25)</f>
        <v>310.5</v>
      </c>
      <c r="L25" s="123">
        <f>K25/C25</f>
        <v>13.5</v>
      </c>
      <c r="M25" s="125">
        <f>C25*L25</f>
        <v>310.5</v>
      </c>
      <c r="N25" s="131">
        <v>0</v>
      </c>
      <c r="O25" s="118">
        <f>M25*N25</f>
        <v>0</v>
      </c>
      <c r="P25" s="455"/>
      <c r="Q25" s="455"/>
      <c r="R25" s="455"/>
      <c r="S25" s="455"/>
      <c r="T25" s="62"/>
      <c r="U25" s="103"/>
      <c r="V25" s="103"/>
    </row>
    <row r="26" spans="1:25" s="70" customFormat="1" ht="14.25" x14ac:dyDescent="0.2">
      <c r="A26" s="60"/>
      <c r="B26" s="146"/>
      <c r="C26" s="152"/>
      <c r="D26" s="153"/>
      <c r="E26" s="122"/>
      <c r="F26" s="122"/>
      <c r="G26" s="122"/>
      <c r="H26" s="123"/>
      <c r="I26" s="389"/>
      <c r="J26" s="123"/>
      <c r="K26" s="124"/>
      <c r="L26" s="123"/>
      <c r="M26" s="125"/>
      <c r="N26" s="131"/>
      <c r="O26" s="118"/>
      <c r="P26" s="452">
        <f>SUM(M22:M25)</f>
        <v>4235.3500000000004</v>
      </c>
      <c r="Q26" s="450">
        <f>P26*SUM($L$115:$L$119)</f>
        <v>402.35825000000006</v>
      </c>
      <c r="R26" s="266"/>
      <c r="S26" s="266"/>
      <c r="T26" s="62"/>
      <c r="U26" s="103"/>
      <c r="V26" s="103"/>
    </row>
    <row r="27" spans="1:25" s="70" customFormat="1" ht="14.25" x14ac:dyDescent="0.2">
      <c r="A27" s="60"/>
      <c r="B27" s="146"/>
      <c r="C27" s="152"/>
      <c r="D27" s="153"/>
      <c r="E27" s="122"/>
      <c r="F27" s="122"/>
      <c r="G27" s="122"/>
      <c r="H27" s="123"/>
      <c r="I27" s="389"/>
      <c r="J27" s="123"/>
      <c r="K27" s="124"/>
      <c r="L27" s="123"/>
      <c r="M27" s="125"/>
      <c r="N27" s="131"/>
      <c r="O27" s="118"/>
      <c r="P27" s="451">
        <f>P26/$M$112</f>
        <v>4.5863159971559611E-2</v>
      </c>
      <c r="Q27" s="452">
        <f>P27*$M$123</f>
        <v>108.76551579365295</v>
      </c>
      <c r="R27" s="452">
        <f>SUM(P26,Q26,Q27)</f>
        <v>4746.4737657936539</v>
      </c>
      <c r="S27" s="452">
        <f>R27*1.08</f>
        <v>5126.1916670571463</v>
      </c>
      <c r="T27" s="62"/>
      <c r="U27" s="103"/>
      <c r="V27" s="103"/>
    </row>
    <row r="28" spans="1:25" s="70" customFormat="1" ht="15" x14ac:dyDescent="0.2">
      <c r="A28" s="60"/>
      <c r="B28" s="169" t="s">
        <v>67</v>
      </c>
      <c r="C28" s="152"/>
      <c r="D28" s="153"/>
      <c r="E28" s="122"/>
      <c r="F28" s="122"/>
      <c r="G28" s="122"/>
      <c r="H28" s="123"/>
      <c r="I28" s="389"/>
      <c r="J28" s="123"/>
      <c r="K28" s="124"/>
      <c r="L28" s="123"/>
      <c r="M28" s="125"/>
      <c r="N28" s="131"/>
      <c r="O28" s="118"/>
      <c r="P28" s="455"/>
      <c r="Q28" s="455"/>
      <c r="R28" s="455"/>
      <c r="S28" s="455"/>
      <c r="T28" s="62"/>
      <c r="U28" s="103"/>
      <c r="V28" s="103"/>
    </row>
    <row r="29" spans="1:25" s="70" customFormat="1" ht="14.25" x14ac:dyDescent="0.2">
      <c r="A29" s="60"/>
      <c r="B29" s="146" t="s">
        <v>272</v>
      </c>
      <c r="C29" s="152">
        <v>185</v>
      </c>
      <c r="D29" s="153" t="s">
        <v>45</v>
      </c>
      <c r="E29" s="122">
        <f>$Y$20</f>
        <v>0.4</v>
      </c>
      <c r="F29" s="122">
        <f>C29*E29</f>
        <v>74</v>
      </c>
      <c r="G29" s="122">
        <f>$H$11*E29</f>
        <v>20</v>
      </c>
      <c r="H29" s="123">
        <f>F29*$H$11</f>
        <v>3700</v>
      </c>
      <c r="I29" s="389">
        <v>10.77</v>
      </c>
      <c r="J29" s="123">
        <f>C29*I29</f>
        <v>1992.4499999999998</v>
      </c>
      <c r="K29" s="124">
        <f>SUM(H29,J29)</f>
        <v>5692.45</v>
      </c>
      <c r="L29" s="123">
        <f>K29/C29</f>
        <v>30.77</v>
      </c>
      <c r="M29" s="125">
        <f>C29*L29</f>
        <v>5692.45</v>
      </c>
      <c r="N29" s="131">
        <v>0</v>
      </c>
      <c r="O29" s="118">
        <f>M29*N29</f>
        <v>0</v>
      </c>
      <c r="P29" s="455"/>
      <c r="Q29" s="455"/>
      <c r="R29" s="455"/>
      <c r="S29" s="455"/>
      <c r="T29" s="266" t="s">
        <v>276</v>
      </c>
      <c r="U29" s="103"/>
      <c r="V29" s="103">
        <f>SUM(F29:F30)</f>
        <v>84.1</v>
      </c>
    </row>
    <row r="30" spans="1:25" s="70" customFormat="1" ht="14.25" x14ac:dyDescent="0.2">
      <c r="A30" s="60"/>
      <c r="B30" s="146" t="s">
        <v>271</v>
      </c>
      <c r="C30" s="152">
        <v>202</v>
      </c>
      <c r="D30" s="153" t="s">
        <v>46</v>
      </c>
      <c r="E30" s="122">
        <v>0.05</v>
      </c>
      <c r="F30" s="122">
        <f>C30*E30</f>
        <v>10.100000000000001</v>
      </c>
      <c r="G30" s="122">
        <f>$H$11*E30</f>
        <v>2.5</v>
      </c>
      <c r="H30" s="123">
        <f>F30*$H$11</f>
        <v>505.00000000000006</v>
      </c>
      <c r="I30" s="389">
        <v>2.7</v>
      </c>
      <c r="J30" s="123">
        <f>C30*I30</f>
        <v>545.40000000000009</v>
      </c>
      <c r="K30" s="124">
        <f>SUM(H30,J30)</f>
        <v>1050.4000000000001</v>
      </c>
      <c r="L30" s="123">
        <f>K30/C30</f>
        <v>5.2</v>
      </c>
      <c r="M30" s="125">
        <f>C30*L30</f>
        <v>1050.4000000000001</v>
      </c>
      <c r="N30" s="131">
        <v>0</v>
      </c>
      <c r="O30" s="118">
        <f>M30*N30</f>
        <v>0</v>
      </c>
      <c r="P30" s="455"/>
      <c r="Q30" s="455"/>
      <c r="R30" s="455"/>
      <c r="S30" s="455"/>
      <c r="T30" s="62"/>
      <c r="U30" s="103"/>
      <c r="V30" s="103">
        <f>V29/C29</f>
        <v>0.45459459459459456</v>
      </c>
    </row>
    <row r="31" spans="1:25" s="70" customFormat="1" ht="14.25" x14ac:dyDescent="0.2">
      <c r="A31" s="60"/>
      <c r="B31" s="264" t="s">
        <v>359</v>
      </c>
      <c r="C31" s="61">
        <v>44</v>
      </c>
      <c r="D31" s="72" t="s">
        <v>46</v>
      </c>
      <c r="E31" s="122">
        <v>0.25</v>
      </c>
      <c r="F31" s="122">
        <f>C31*E31</f>
        <v>11</v>
      </c>
      <c r="G31" s="122">
        <f>$H$11*E31</f>
        <v>12.5</v>
      </c>
      <c r="H31" s="123">
        <f>F31*$H$11</f>
        <v>550</v>
      </c>
      <c r="I31" s="389">
        <v>15</v>
      </c>
      <c r="J31" s="123">
        <f>C31*I31</f>
        <v>660</v>
      </c>
      <c r="K31" s="124">
        <f>SUM(H31,J31)</f>
        <v>1210</v>
      </c>
      <c r="L31" s="123">
        <f>K31/C31</f>
        <v>27.5</v>
      </c>
      <c r="M31" s="125">
        <f>C31*L31</f>
        <v>1210</v>
      </c>
      <c r="N31" s="131">
        <v>0</v>
      </c>
      <c r="O31" s="118">
        <f>M31*N31</f>
        <v>0</v>
      </c>
      <c r="P31" s="455"/>
      <c r="Q31" s="455"/>
      <c r="R31" s="455"/>
      <c r="S31" s="455"/>
      <c r="T31" s="62"/>
      <c r="U31" s="103"/>
      <c r="V31" s="103"/>
    </row>
    <row r="32" spans="1:25" s="70" customFormat="1" ht="14.25" x14ac:dyDescent="0.2">
      <c r="A32" s="60"/>
      <c r="B32" s="264" t="s">
        <v>360</v>
      </c>
      <c r="C32" s="152">
        <v>44</v>
      </c>
      <c r="D32" s="153" t="s">
        <v>46</v>
      </c>
      <c r="E32" s="122">
        <v>0.15</v>
      </c>
      <c r="F32" s="122">
        <f>C32*E32</f>
        <v>6.6</v>
      </c>
      <c r="G32" s="122">
        <f>$H$11*E32</f>
        <v>7.5</v>
      </c>
      <c r="H32" s="123">
        <f>F32*$H$11</f>
        <v>330</v>
      </c>
      <c r="I32" s="389">
        <v>6</v>
      </c>
      <c r="J32" s="123">
        <f>C32*I32</f>
        <v>264</v>
      </c>
      <c r="K32" s="124">
        <f>SUM(H32,J32)</f>
        <v>594</v>
      </c>
      <c r="L32" s="123">
        <f>K32/C32</f>
        <v>13.5</v>
      </c>
      <c r="M32" s="125">
        <f>C32*L32</f>
        <v>594</v>
      </c>
      <c r="N32" s="131">
        <v>0</v>
      </c>
      <c r="O32" s="118">
        <f>M32*N32</f>
        <v>0</v>
      </c>
      <c r="P32" s="455"/>
      <c r="Q32" s="455"/>
      <c r="R32" s="455"/>
      <c r="S32" s="455"/>
      <c r="T32" s="62"/>
      <c r="U32" s="103"/>
      <c r="V32" s="103"/>
    </row>
    <row r="33" spans="1:22" s="70" customFormat="1" ht="14.25" x14ac:dyDescent="0.2">
      <c r="A33" s="60"/>
      <c r="B33" s="146"/>
      <c r="C33" s="152"/>
      <c r="D33" s="153"/>
      <c r="E33" s="122"/>
      <c r="F33" s="122"/>
      <c r="G33" s="122"/>
      <c r="H33" s="123"/>
      <c r="I33" s="389"/>
      <c r="J33" s="123"/>
      <c r="K33" s="124"/>
      <c r="L33" s="123"/>
      <c r="M33" s="125"/>
      <c r="N33" s="131"/>
      <c r="O33" s="118"/>
      <c r="P33" s="455"/>
      <c r="Q33" s="455"/>
      <c r="R33" s="455"/>
      <c r="S33" s="455"/>
      <c r="T33" s="62"/>
      <c r="U33" s="103"/>
      <c r="V33" s="103"/>
    </row>
    <row r="34" spans="1:22" s="70" customFormat="1" ht="14.25" x14ac:dyDescent="0.2">
      <c r="A34" s="60"/>
      <c r="B34" s="168"/>
      <c r="C34" s="152"/>
      <c r="D34" s="153"/>
      <c r="E34" s="122"/>
      <c r="F34" s="122"/>
      <c r="G34" s="122"/>
      <c r="H34" s="123"/>
      <c r="I34" s="389"/>
      <c r="J34" s="123"/>
      <c r="K34" s="124"/>
      <c r="L34" s="123"/>
      <c r="M34" s="125"/>
      <c r="N34" s="131"/>
      <c r="O34" s="118"/>
      <c r="P34" s="455"/>
      <c r="Q34" s="455"/>
      <c r="R34" s="455"/>
      <c r="S34" s="455"/>
      <c r="T34" s="62"/>
      <c r="U34" s="103"/>
      <c r="V34" s="103"/>
    </row>
    <row r="35" spans="1:22" s="70" customFormat="1" ht="14.25" x14ac:dyDescent="0.2">
      <c r="A35" s="60"/>
      <c r="B35" s="146" t="s">
        <v>392</v>
      </c>
      <c r="C35" s="61">
        <v>64</v>
      </c>
      <c r="D35" s="72" t="s">
        <v>45</v>
      </c>
      <c r="E35" s="122">
        <f>$Y$20</f>
        <v>0.4</v>
      </c>
      <c r="F35" s="122">
        <f>C35*E35</f>
        <v>25.6</v>
      </c>
      <c r="G35" s="122">
        <f>$H$11*E35</f>
        <v>20</v>
      </c>
      <c r="H35" s="123">
        <f>F35*$H$11</f>
        <v>1280</v>
      </c>
      <c r="I35" s="389">
        <v>14.55</v>
      </c>
      <c r="J35" s="123">
        <f>C35*I35</f>
        <v>931.2</v>
      </c>
      <c r="K35" s="124">
        <f>SUM(H35,J35)</f>
        <v>2211.1999999999998</v>
      </c>
      <c r="L35" s="123">
        <f>K35/C35</f>
        <v>34.549999999999997</v>
      </c>
      <c r="M35" s="125">
        <f>C35*L35</f>
        <v>2211.1999999999998</v>
      </c>
      <c r="N35" s="131">
        <v>0</v>
      </c>
      <c r="O35" s="118">
        <f>M35*N35</f>
        <v>0</v>
      </c>
      <c r="P35" s="455"/>
      <c r="Q35" s="455"/>
      <c r="R35" s="455"/>
      <c r="S35" s="455"/>
      <c r="T35" s="266" t="s">
        <v>277</v>
      </c>
      <c r="U35" s="103"/>
      <c r="V35" s="103">
        <f>SUM(F35:F36)</f>
        <v>30.01</v>
      </c>
    </row>
    <row r="36" spans="1:22" s="70" customFormat="1" ht="14.25" x14ac:dyDescent="0.2">
      <c r="A36" s="60"/>
      <c r="B36" s="146" t="s">
        <v>271</v>
      </c>
      <c r="C36" s="61">
        <v>63</v>
      </c>
      <c r="D36" s="72" t="s">
        <v>46</v>
      </c>
      <c r="E36" s="122">
        <v>7.0000000000000007E-2</v>
      </c>
      <c r="F36" s="122">
        <f>C36*E36</f>
        <v>4.41</v>
      </c>
      <c r="G36" s="122">
        <f>$H$11*E36</f>
        <v>3.5000000000000004</v>
      </c>
      <c r="H36" s="123">
        <f>F36*$H$11</f>
        <v>220.5</v>
      </c>
      <c r="I36" s="389">
        <v>7</v>
      </c>
      <c r="J36" s="123">
        <f>C36*I36</f>
        <v>441</v>
      </c>
      <c r="K36" s="124">
        <f>SUM(H36,J36)</f>
        <v>661.5</v>
      </c>
      <c r="L36" s="123">
        <f>K36/C36</f>
        <v>10.5</v>
      </c>
      <c r="M36" s="125">
        <f>C36*L36</f>
        <v>661.5</v>
      </c>
      <c r="N36" s="131">
        <v>0</v>
      </c>
      <c r="O36" s="118">
        <f>M36*N36</f>
        <v>0</v>
      </c>
      <c r="P36" s="455"/>
      <c r="Q36" s="455"/>
      <c r="R36" s="455"/>
      <c r="S36" s="455"/>
      <c r="T36" s="62"/>
      <c r="U36" s="103"/>
      <c r="V36" s="103">
        <f>V35/C35</f>
        <v>0.46890625000000002</v>
      </c>
    </row>
    <row r="37" spans="1:22" s="70" customFormat="1" ht="14.25" x14ac:dyDescent="0.2">
      <c r="A37" s="60"/>
      <c r="B37" s="264" t="s">
        <v>359</v>
      </c>
      <c r="C37" s="61">
        <v>15</v>
      </c>
      <c r="D37" s="72" t="s">
        <v>46</v>
      </c>
      <c r="E37" s="122">
        <v>0.25</v>
      </c>
      <c r="F37" s="122">
        <f>C37*E37</f>
        <v>3.75</v>
      </c>
      <c r="G37" s="122">
        <f>$H$11*E37</f>
        <v>12.5</v>
      </c>
      <c r="H37" s="123">
        <f>F37*$H$11</f>
        <v>187.5</v>
      </c>
      <c r="I37" s="389">
        <v>15</v>
      </c>
      <c r="J37" s="123">
        <f>C37*I37</f>
        <v>225</v>
      </c>
      <c r="K37" s="124">
        <f>SUM(H37,J37)</f>
        <v>412.5</v>
      </c>
      <c r="L37" s="123">
        <f>K37/C37</f>
        <v>27.5</v>
      </c>
      <c r="M37" s="125">
        <f>C37*L37</f>
        <v>412.5</v>
      </c>
      <c r="N37" s="131">
        <v>0</v>
      </c>
      <c r="O37" s="118">
        <f>M37*N37</f>
        <v>0</v>
      </c>
      <c r="P37" s="455"/>
      <c r="Q37" s="455"/>
      <c r="R37" s="455"/>
      <c r="S37" s="455"/>
      <c r="T37" s="62"/>
      <c r="U37" s="103"/>
      <c r="V37" s="103"/>
    </row>
    <row r="38" spans="1:22" s="70" customFormat="1" ht="14.25" x14ac:dyDescent="0.2">
      <c r="A38" s="60"/>
      <c r="B38" s="264" t="s">
        <v>360</v>
      </c>
      <c r="C38" s="152">
        <v>15</v>
      </c>
      <c r="D38" s="153" t="s">
        <v>46</v>
      </c>
      <c r="E38" s="122">
        <v>0.15</v>
      </c>
      <c r="F38" s="122">
        <f>C38*E38</f>
        <v>2.25</v>
      </c>
      <c r="G38" s="122">
        <f>$H$11*E38</f>
        <v>7.5</v>
      </c>
      <c r="H38" s="123">
        <f>F38*$H$11</f>
        <v>112.5</v>
      </c>
      <c r="I38" s="389">
        <v>6</v>
      </c>
      <c r="J38" s="123">
        <f>C38*I38</f>
        <v>90</v>
      </c>
      <c r="K38" s="124">
        <f>SUM(H38,J38)</f>
        <v>202.5</v>
      </c>
      <c r="L38" s="123">
        <f>K38/C38</f>
        <v>13.5</v>
      </c>
      <c r="M38" s="125">
        <f>C38*L38</f>
        <v>202.5</v>
      </c>
      <c r="N38" s="131">
        <v>0</v>
      </c>
      <c r="O38" s="118">
        <f>M38*N38</f>
        <v>0</v>
      </c>
      <c r="P38" s="455"/>
      <c r="Q38" s="455"/>
      <c r="R38" s="455"/>
      <c r="S38" s="455"/>
      <c r="T38" s="62"/>
      <c r="U38" s="103"/>
      <c r="V38" s="103"/>
    </row>
    <row r="39" spans="1:22" s="70" customFormat="1" ht="14.25" x14ac:dyDescent="0.2">
      <c r="A39" s="60"/>
      <c r="B39" s="168"/>
      <c r="C39" s="152"/>
      <c r="D39" s="153"/>
      <c r="E39" s="122"/>
      <c r="F39" s="122"/>
      <c r="G39" s="122"/>
      <c r="H39" s="123"/>
      <c r="I39" s="389"/>
      <c r="J39" s="123"/>
      <c r="K39" s="124"/>
      <c r="L39" s="123"/>
      <c r="M39" s="125"/>
      <c r="N39" s="131"/>
      <c r="O39" s="118"/>
      <c r="P39" s="452">
        <f>SUM(M29:M38)</f>
        <v>12034.55</v>
      </c>
      <c r="Q39" s="450">
        <f>P39*SUM($L$115:$L$119)</f>
        <v>1143.28225</v>
      </c>
      <c r="R39" s="266"/>
      <c r="S39" s="266"/>
      <c r="T39" s="62"/>
      <c r="U39" s="103"/>
      <c r="V39" s="103"/>
    </row>
    <row r="40" spans="1:22" s="70" customFormat="1" ht="14.25" x14ac:dyDescent="0.2">
      <c r="A40" s="60"/>
      <c r="B40" s="168"/>
      <c r="C40" s="152"/>
      <c r="D40" s="153"/>
      <c r="E40" s="122"/>
      <c r="F40" s="122"/>
      <c r="G40" s="122"/>
      <c r="H40" s="123"/>
      <c r="I40" s="135"/>
      <c r="J40" s="123"/>
      <c r="K40" s="124"/>
      <c r="L40" s="123"/>
      <c r="M40" s="125"/>
      <c r="N40" s="131"/>
      <c r="O40" s="118"/>
      <c r="P40" s="451">
        <f>P39/$M$112</f>
        <v>0.13031803554269011</v>
      </c>
      <c r="Q40" s="452">
        <f>P40*$M$123</f>
        <v>309.05215344528926</v>
      </c>
      <c r="R40" s="452">
        <f>SUM(P39,Q39,Q40)</f>
        <v>13486.884403445289</v>
      </c>
      <c r="S40" s="452">
        <f>R40*1.08</f>
        <v>14565.835155720913</v>
      </c>
      <c r="T40" s="62"/>
      <c r="U40" s="103"/>
      <c r="V40" s="103"/>
    </row>
    <row r="41" spans="1:22" s="70" customFormat="1" ht="15" x14ac:dyDescent="0.2">
      <c r="A41" s="60"/>
      <c r="B41" s="169" t="s">
        <v>68</v>
      </c>
      <c r="C41" s="152"/>
      <c r="D41" s="153"/>
      <c r="E41" s="122"/>
      <c r="F41" s="122"/>
      <c r="G41" s="122"/>
      <c r="H41" s="123"/>
      <c r="I41" s="135"/>
      <c r="J41" s="123"/>
      <c r="K41" s="124"/>
      <c r="L41" s="123"/>
      <c r="M41" s="125"/>
      <c r="N41" s="131"/>
      <c r="O41" s="118"/>
      <c r="P41" s="455"/>
      <c r="Q41" s="455"/>
      <c r="R41" s="455"/>
      <c r="S41" s="455"/>
      <c r="T41" s="62"/>
      <c r="U41" s="103"/>
      <c r="V41" s="103"/>
    </row>
    <row r="42" spans="1:22" s="70" customFormat="1" ht="14.25" x14ac:dyDescent="0.2">
      <c r="A42" s="60"/>
      <c r="B42" s="146" t="s">
        <v>272</v>
      </c>
      <c r="C42" s="152">
        <v>232</v>
      </c>
      <c r="D42" s="153" t="s">
        <v>45</v>
      </c>
      <c r="E42" s="122">
        <f>$Y$20</f>
        <v>0.4</v>
      </c>
      <c r="F42" s="122">
        <f>C42*E42</f>
        <v>92.800000000000011</v>
      </c>
      <c r="G42" s="122">
        <f>$H$11*E42</f>
        <v>20</v>
      </c>
      <c r="H42" s="123">
        <f>F42*$H$11</f>
        <v>4640.0000000000009</v>
      </c>
      <c r="I42" s="135">
        <v>10.77</v>
      </c>
      <c r="J42" s="123">
        <f>C42*I42</f>
        <v>2498.64</v>
      </c>
      <c r="K42" s="124">
        <f>SUM(H42,J42)</f>
        <v>7138.6400000000012</v>
      </c>
      <c r="L42" s="123">
        <f>K42/C42</f>
        <v>30.770000000000007</v>
      </c>
      <c r="M42" s="125">
        <f>C42*L42</f>
        <v>7138.6400000000012</v>
      </c>
      <c r="N42" s="131">
        <v>0</v>
      </c>
      <c r="O42" s="118">
        <f>M42*N42</f>
        <v>0</v>
      </c>
      <c r="P42" s="455"/>
      <c r="Q42" s="455"/>
      <c r="R42" s="455"/>
      <c r="S42" s="455"/>
      <c r="T42" s="266" t="s">
        <v>279</v>
      </c>
      <c r="U42" s="103"/>
      <c r="V42" s="103">
        <f>SUM(F42:F43)</f>
        <v>104.75000000000001</v>
      </c>
    </row>
    <row r="43" spans="1:22" s="70" customFormat="1" ht="14.25" x14ac:dyDescent="0.2">
      <c r="A43" s="60"/>
      <c r="B43" s="146" t="s">
        <v>271</v>
      </c>
      <c r="C43" s="152">
        <v>239</v>
      </c>
      <c r="D43" s="153" t="s">
        <v>46</v>
      </c>
      <c r="E43" s="122">
        <v>0.05</v>
      </c>
      <c r="F43" s="122">
        <f>C43*E43</f>
        <v>11.950000000000001</v>
      </c>
      <c r="G43" s="122">
        <f>$H$11*E43</f>
        <v>2.5</v>
      </c>
      <c r="H43" s="123">
        <f>F43*$H$11</f>
        <v>597.5</v>
      </c>
      <c r="I43" s="135">
        <v>2.7</v>
      </c>
      <c r="J43" s="123">
        <f>C43*I43</f>
        <v>645.30000000000007</v>
      </c>
      <c r="K43" s="124">
        <f>SUM(H43,J43)</f>
        <v>1242.8000000000002</v>
      </c>
      <c r="L43" s="123">
        <f>K43/C43</f>
        <v>5.2000000000000011</v>
      </c>
      <c r="M43" s="125">
        <f>C43*L43</f>
        <v>1242.8000000000002</v>
      </c>
      <c r="N43" s="131">
        <v>0</v>
      </c>
      <c r="O43" s="118">
        <f>M43*N43</f>
        <v>0</v>
      </c>
      <c r="P43" s="455"/>
      <c r="Q43" s="455"/>
      <c r="R43" s="455"/>
      <c r="S43" s="455"/>
      <c r="T43" s="62"/>
      <c r="U43" s="103"/>
      <c r="V43" s="103">
        <f>V42/C42</f>
        <v>0.45150862068965525</v>
      </c>
    </row>
    <row r="44" spans="1:22" s="70" customFormat="1" ht="14.25" x14ac:dyDescent="0.2">
      <c r="A44" s="60"/>
      <c r="B44" s="264" t="s">
        <v>359</v>
      </c>
      <c r="C44" s="61">
        <v>55</v>
      </c>
      <c r="D44" s="72" t="s">
        <v>46</v>
      </c>
      <c r="E44" s="122">
        <v>0.25</v>
      </c>
      <c r="F44" s="122">
        <f>C44*E44</f>
        <v>13.75</v>
      </c>
      <c r="G44" s="122">
        <f>$H$11*E44</f>
        <v>12.5</v>
      </c>
      <c r="H44" s="123">
        <f>F44*$H$11</f>
        <v>687.5</v>
      </c>
      <c r="I44" s="135">
        <v>15</v>
      </c>
      <c r="J44" s="123">
        <f>C44*I44</f>
        <v>825</v>
      </c>
      <c r="K44" s="124">
        <f>SUM(H44,J44)</f>
        <v>1512.5</v>
      </c>
      <c r="L44" s="123">
        <f>K44/C44</f>
        <v>27.5</v>
      </c>
      <c r="M44" s="125">
        <f>C44*L44</f>
        <v>1512.5</v>
      </c>
      <c r="N44" s="131">
        <v>0</v>
      </c>
      <c r="O44" s="118">
        <f>M44*N44</f>
        <v>0</v>
      </c>
      <c r="P44" s="455"/>
      <c r="Q44" s="455"/>
      <c r="R44" s="455"/>
      <c r="S44" s="455"/>
      <c r="T44" s="62"/>
      <c r="U44" s="103"/>
      <c r="V44" s="103"/>
    </row>
    <row r="45" spans="1:22" s="70" customFormat="1" ht="14.25" x14ac:dyDescent="0.2">
      <c r="A45" s="60"/>
      <c r="B45" s="264" t="s">
        <v>360</v>
      </c>
      <c r="C45" s="152">
        <v>55</v>
      </c>
      <c r="D45" s="153" t="s">
        <v>46</v>
      </c>
      <c r="E45" s="122">
        <v>0.15</v>
      </c>
      <c r="F45" s="122">
        <f>C45*E45</f>
        <v>8.25</v>
      </c>
      <c r="G45" s="122">
        <f>$H$11*E45</f>
        <v>7.5</v>
      </c>
      <c r="H45" s="123">
        <f>F45*$H$11</f>
        <v>412.5</v>
      </c>
      <c r="I45" s="135">
        <v>6</v>
      </c>
      <c r="J45" s="123">
        <f>C45*I45</f>
        <v>330</v>
      </c>
      <c r="K45" s="124">
        <f>SUM(H45,J45)</f>
        <v>742.5</v>
      </c>
      <c r="L45" s="123">
        <f>K45/C45</f>
        <v>13.5</v>
      </c>
      <c r="M45" s="125">
        <f>C45*L45</f>
        <v>742.5</v>
      </c>
      <c r="N45" s="131">
        <v>0</v>
      </c>
      <c r="O45" s="118">
        <f>M45*N45</f>
        <v>0</v>
      </c>
      <c r="P45" s="455"/>
      <c r="Q45" s="455"/>
      <c r="R45" s="455"/>
      <c r="S45" s="455"/>
      <c r="T45" s="62"/>
      <c r="U45" s="103"/>
      <c r="V45" s="103"/>
    </row>
    <row r="46" spans="1:22" s="70" customFormat="1" ht="14.25" x14ac:dyDescent="0.2">
      <c r="A46" s="60"/>
      <c r="B46" s="168"/>
      <c r="C46" s="152"/>
      <c r="D46" s="153"/>
      <c r="E46" s="122"/>
      <c r="F46" s="122"/>
      <c r="G46" s="122"/>
      <c r="H46" s="123"/>
      <c r="I46" s="135"/>
      <c r="J46" s="123"/>
      <c r="K46" s="124"/>
      <c r="L46" s="123"/>
      <c r="M46" s="125"/>
      <c r="N46" s="131"/>
      <c r="O46" s="118"/>
      <c r="P46" s="455"/>
      <c r="Q46" s="455"/>
      <c r="R46" s="455"/>
      <c r="S46" s="455"/>
      <c r="T46" s="62"/>
      <c r="U46" s="103"/>
      <c r="V46" s="103"/>
    </row>
    <row r="47" spans="1:22" s="70" customFormat="1" ht="14.25" x14ac:dyDescent="0.2">
      <c r="A47" s="60"/>
      <c r="B47" s="146" t="s">
        <v>392</v>
      </c>
      <c r="C47" s="61">
        <v>51</v>
      </c>
      <c r="D47" s="72" t="s">
        <v>45</v>
      </c>
      <c r="E47" s="122">
        <f>$Y$20</f>
        <v>0.4</v>
      </c>
      <c r="F47" s="122">
        <f>C47*E47</f>
        <v>20.400000000000002</v>
      </c>
      <c r="G47" s="122">
        <f>$H$11*E47</f>
        <v>20</v>
      </c>
      <c r="H47" s="123">
        <f>F47*$H$11</f>
        <v>1020.0000000000001</v>
      </c>
      <c r="I47" s="135">
        <v>14.67</v>
      </c>
      <c r="J47" s="123">
        <f>C47*I47</f>
        <v>748.17</v>
      </c>
      <c r="K47" s="124">
        <f>SUM(H47,J47)</f>
        <v>1768.17</v>
      </c>
      <c r="L47" s="123">
        <f>K47/C47</f>
        <v>34.67</v>
      </c>
      <c r="M47" s="125">
        <f>C47*L47</f>
        <v>1768.17</v>
      </c>
      <c r="N47" s="131">
        <v>0.75</v>
      </c>
      <c r="O47" s="118">
        <f>M47*N47</f>
        <v>1326.1275000000001</v>
      </c>
      <c r="P47" s="455"/>
      <c r="Q47" s="455"/>
      <c r="R47" s="455"/>
      <c r="S47" s="455"/>
      <c r="T47" s="266" t="s">
        <v>278</v>
      </c>
      <c r="U47" s="103"/>
      <c r="V47" s="103">
        <f>SUM(F47:F48)</f>
        <v>25.370000000000005</v>
      </c>
    </row>
    <row r="48" spans="1:22" s="70" customFormat="1" ht="14.25" x14ac:dyDescent="0.2">
      <c r="A48" s="60"/>
      <c r="B48" s="146" t="s">
        <v>271</v>
      </c>
      <c r="C48" s="61">
        <v>71</v>
      </c>
      <c r="D48" s="72" t="s">
        <v>46</v>
      </c>
      <c r="E48" s="122">
        <v>7.0000000000000007E-2</v>
      </c>
      <c r="F48" s="122">
        <f>C48*E48</f>
        <v>4.9700000000000006</v>
      </c>
      <c r="G48" s="122">
        <f>$H$11*E48</f>
        <v>3.5000000000000004</v>
      </c>
      <c r="H48" s="123">
        <f>F48*$H$11</f>
        <v>248.50000000000003</v>
      </c>
      <c r="I48" s="135">
        <v>7</v>
      </c>
      <c r="J48" s="123">
        <f>C48*I48</f>
        <v>497</v>
      </c>
      <c r="K48" s="124">
        <f>SUM(H48,J48)</f>
        <v>745.5</v>
      </c>
      <c r="L48" s="123">
        <f>K48/C48</f>
        <v>10.5</v>
      </c>
      <c r="M48" s="125">
        <f>C48*L48</f>
        <v>745.5</v>
      </c>
      <c r="N48" s="131">
        <v>0.75</v>
      </c>
      <c r="O48" s="118">
        <f>M48*N48</f>
        <v>559.125</v>
      </c>
      <c r="P48" s="455"/>
      <c r="Q48" s="455"/>
      <c r="R48" s="455"/>
      <c r="S48" s="455"/>
      <c r="T48" s="62"/>
      <c r="U48" s="103"/>
      <c r="V48" s="103">
        <f>V47/C47</f>
        <v>0.49745098039215696</v>
      </c>
    </row>
    <row r="49" spans="1:22" s="70" customFormat="1" ht="14.25" x14ac:dyDescent="0.2">
      <c r="A49" s="60"/>
      <c r="B49" s="264" t="s">
        <v>359</v>
      </c>
      <c r="C49" s="61">
        <v>12</v>
      </c>
      <c r="D49" s="72" t="s">
        <v>46</v>
      </c>
      <c r="E49" s="122">
        <v>0.25</v>
      </c>
      <c r="F49" s="122">
        <f>C49*E49</f>
        <v>3</v>
      </c>
      <c r="G49" s="122">
        <f>$H$11*E49</f>
        <v>12.5</v>
      </c>
      <c r="H49" s="123">
        <f>F49*$H$11</f>
        <v>150</v>
      </c>
      <c r="I49" s="135">
        <v>15</v>
      </c>
      <c r="J49" s="123">
        <f>C49*I49</f>
        <v>180</v>
      </c>
      <c r="K49" s="124">
        <f>SUM(H49,J49)</f>
        <v>330</v>
      </c>
      <c r="L49" s="123">
        <f>K49/C49</f>
        <v>27.5</v>
      </c>
      <c r="M49" s="125">
        <f>C49*L49</f>
        <v>330</v>
      </c>
      <c r="N49" s="131">
        <v>0</v>
      </c>
      <c r="O49" s="118">
        <f>M49*N49</f>
        <v>0</v>
      </c>
      <c r="P49" s="455"/>
      <c r="Q49" s="455"/>
      <c r="R49" s="455"/>
      <c r="S49" s="455"/>
      <c r="T49" s="62"/>
      <c r="U49" s="103"/>
      <c r="V49" s="103"/>
    </row>
    <row r="50" spans="1:22" s="70" customFormat="1" ht="14.25" x14ac:dyDescent="0.2">
      <c r="A50" s="60"/>
      <c r="B50" s="264" t="s">
        <v>360</v>
      </c>
      <c r="C50" s="152">
        <v>12</v>
      </c>
      <c r="D50" s="153" t="s">
        <v>46</v>
      </c>
      <c r="E50" s="122">
        <v>0.15</v>
      </c>
      <c r="F50" s="122">
        <f>C50*E50</f>
        <v>1.7999999999999998</v>
      </c>
      <c r="G50" s="122">
        <f>$H$11*E50</f>
        <v>7.5</v>
      </c>
      <c r="H50" s="123">
        <f>F50*$H$11</f>
        <v>89.999999999999986</v>
      </c>
      <c r="I50" s="135">
        <v>6</v>
      </c>
      <c r="J50" s="123">
        <f>C50*I50</f>
        <v>72</v>
      </c>
      <c r="K50" s="124">
        <f>SUM(H50,J50)</f>
        <v>162</v>
      </c>
      <c r="L50" s="123">
        <f>K50/C50</f>
        <v>13.5</v>
      </c>
      <c r="M50" s="125">
        <f>C50*L50</f>
        <v>162</v>
      </c>
      <c r="N50" s="131">
        <v>0</v>
      </c>
      <c r="O50" s="118">
        <f>M50*N50</f>
        <v>0</v>
      </c>
      <c r="P50" s="455">
        <f>SUM(O42:O50)</f>
        <v>1885.2525000000001</v>
      </c>
      <c r="Q50" s="467">
        <f>P50/P51</f>
        <v>0.13819361521055026</v>
      </c>
      <c r="R50" s="455"/>
      <c r="S50" s="455"/>
      <c r="T50" s="62"/>
      <c r="U50" s="103"/>
      <c r="V50" s="103"/>
    </row>
    <row r="51" spans="1:22" s="70" customFormat="1" ht="14.25" x14ac:dyDescent="0.2">
      <c r="A51" s="60"/>
      <c r="B51" s="168"/>
      <c r="C51" s="152"/>
      <c r="D51" s="153"/>
      <c r="E51" s="122"/>
      <c r="F51" s="122"/>
      <c r="G51" s="122"/>
      <c r="H51" s="123"/>
      <c r="I51" s="135"/>
      <c r="J51" s="123"/>
      <c r="K51" s="124"/>
      <c r="L51" s="123"/>
      <c r="M51" s="125"/>
      <c r="N51" s="131"/>
      <c r="O51" s="118"/>
      <c r="P51" s="452">
        <f>SUM(M42:M50)</f>
        <v>13642.110000000002</v>
      </c>
      <c r="Q51" s="450">
        <f>P51*SUM($L$115:$L$119)</f>
        <v>1296.0004500000002</v>
      </c>
      <c r="R51" s="266"/>
      <c r="S51" s="266"/>
      <c r="T51" s="62"/>
      <c r="U51" s="103"/>
      <c r="V51" s="103"/>
    </row>
    <row r="52" spans="1:22" s="70" customFormat="1" ht="14.25" x14ac:dyDescent="0.2">
      <c r="A52" s="60"/>
      <c r="B52" s="168"/>
      <c r="C52" s="152"/>
      <c r="D52" s="153"/>
      <c r="E52" s="122"/>
      <c r="F52" s="122"/>
      <c r="G52" s="122"/>
      <c r="H52" s="123"/>
      <c r="I52" s="135"/>
      <c r="J52" s="123"/>
      <c r="K52" s="124"/>
      <c r="L52" s="123"/>
      <c r="M52" s="125"/>
      <c r="N52" s="131"/>
      <c r="O52" s="118"/>
      <c r="P52" s="451">
        <f>P51/$M$112</f>
        <v>0.14772575425398446</v>
      </c>
      <c r="Q52" s="452">
        <f>P52*$M$123</f>
        <v>350.33495004279479</v>
      </c>
      <c r="R52" s="452">
        <f>SUM(P51,Q51,Q52)</f>
        <v>15288.445400042796</v>
      </c>
      <c r="S52" s="452">
        <f>R52*1.08</f>
        <v>16511.521032046221</v>
      </c>
      <c r="T52" s="62"/>
      <c r="U52" s="103"/>
      <c r="V52" s="103"/>
    </row>
    <row r="53" spans="1:22" s="70" customFormat="1" ht="14.25" x14ac:dyDescent="0.2">
      <c r="A53" s="60"/>
      <c r="B53" s="168"/>
      <c r="C53" s="152"/>
      <c r="D53" s="153"/>
      <c r="E53" s="122"/>
      <c r="F53" s="122"/>
      <c r="G53" s="122"/>
      <c r="H53" s="123"/>
      <c r="I53" s="135"/>
      <c r="J53" s="123"/>
      <c r="K53" s="124"/>
      <c r="L53" s="123"/>
      <c r="M53" s="125"/>
      <c r="N53" s="131"/>
      <c r="O53" s="118"/>
      <c r="P53" s="455"/>
      <c r="Q53" s="455"/>
      <c r="R53" s="455"/>
      <c r="S53" s="455"/>
      <c r="T53" s="62"/>
      <c r="U53" s="103"/>
      <c r="V53" s="103"/>
    </row>
    <row r="54" spans="1:22" s="70" customFormat="1" ht="15" x14ac:dyDescent="0.2">
      <c r="A54" s="60"/>
      <c r="B54" s="169" t="s">
        <v>69</v>
      </c>
      <c r="C54" s="152"/>
      <c r="D54" s="153"/>
      <c r="E54" s="122"/>
      <c r="F54" s="122"/>
      <c r="G54" s="122"/>
      <c r="H54" s="123"/>
      <c r="I54" s="135"/>
      <c r="J54" s="123"/>
      <c r="K54" s="124"/>
      <c r="L54" s="123"/>
      <c r="M54" s="125"/>
      <c r="N54" s="131"/>
      <c r="O54" s="118"/>
      <c r="P54" s="455"/>
      <c r="Q54" s="455"/>
      <c r="R54" s="455"/>
      <c r="S54" s="455"/>
      <c r="T54" s="62"/>
      <c r="U54" s="103"/>
      <c r="V54" s="103"/>
    </row>
    <row r="55" spans="1:22" s="70" customFormat="1" ht="14.25" x14ac:dyDescent="0.2">
      <c r="A55" s="60"/>
      <c r="B55" s="146" t="s">
        <v>272</v>
      </c>
      <c r="C55" s="152">
        <v>232</v>
      </c>
      <c r="D55" s="153" t="s">
        <v>45</v>
      </c>
      <c r="E55" s="122">
        <f>$Y$20</f>
        <v>0.4</v>
      </c>
      <c r="F55" s="122">
        <f>C55*E55</f>
        <v>92.800000000000011</v>
      </c>
      <c r="G55" s="122">
        <f>$H$11*E55</f>
        <v>20</v>
      </c>
      <c r="H55" s="123">
        <f>F55*$H$11</f>
        <v>4640.0000000000009</v>
      </c>
      <c r="I55" s="135">
        <v>10.77</v>
      </c>
      <c r="J55" s="123">
        <f>C55*I55</f>
        <v>2498.64</v>
      </c>
      <c r="K55" s="124">
        <f>SUM(H55,J55)</f>
        <v>7138.6400000000012</v>
      </c>
      <c r="L55" s="123">
        <f>K55/C55</f>
        <v>30.770000000000007</v>
      </c>
      <c r="M55" s="125">
        <f>C55*L55</f>
        <v>7138.6400000000012</v>
      </c>
      <c r="N55" s="131">
        <v>0</v>
      </c>
      <c r="O55" s="118">
        <f>M55*N55</f>
        <v>0</v>
      </c>
      <c r="P55" s="455"/>
      <c r="Q55" s="455"/>
      <c r="R55" s="455"/>
      <c r="S55" s="455"/>
      <c r="T55" s="266" t="s">
        <v>279</v>
      </c>
      <c r="U55" s="103"/>
      <c r="V55" s="103">
        <f>SUM(F55:F56)</f>
        <v>104.75000000000001</v>
      </c>
    </row>
    <row r="56" spans="1:22" s="70" customFormat="1" ht="14.25" x14ac:dyDescent="0.2">
      <c r="A56" s="60"/>
      <c r="B56" s="146" t="s">
        <v>271</v>
      </c>
      <c r="C56" s="152">
        <v>239</v>
      </c>
      <c r="D56" s="153" t="s">
        <v>46</v>
      </c>
      <c r="E56" s="122">
        <v>0.05</v>
      </c>
      <c r="F56" s="122">
        <f>C56*E56</f>
        <v>11.950000000000001</v>
      </c>
      <c r="G56" s="122">
        <f>$H$11*E56</f>
        <v>2.5</v>
      </c>
      <c r="H56" s="123">
        <f>F56*$H$11</f>
        <v>597.5</v>
      </c>
      <c r="I56" s="135">
        <v>2.7</v>
      </c>
      <c r="J56" s="123">
        <f>C56*I56</f>
        <v>645.30000000000007</v>
      </c>
      <c r="K56" s="124">
        <f>SUM(H56,J56)</f>
        <v>1242.8000000000002</v>
      </c>
      <c r="L56" s="123">
        <f>K56/C56</f>
        <v>5.2000000000000011</v>
      </c>
      <c r="M56" s="125">
        <f>C56*L56</f>
        <v>1242.8000000000002</v>
      </c>
      <c r="N56" s="131">
        <v>0</v>
      </c>
      <c r="O56" s="118">
        <f>M56*N56</f>
        <v>0</v>
      </c>
      <c r="P56" s="455"/>
      <c r="Q56" s="455"/>
      <c r="R56" s="455"/>
      <c r="S56" s="455"/>
      <c r="T56" s="62"/>
      <c r="U56" s="103"/>
      <c r="V56" s="103">
        <f>V55/C55</f>
        <v>0.45150862068965525</v>
      </c>
    </row>
    <row r="57" spans="1:22" s="70" customFormat="1" ht="14.25" x14ac:dyDescent="0.2">
      <c r="A57" s="60"/>
      <c r="B57" s="264" t="s">
        <v>359</v>
      </c>
      <c r="C57" s="61">
        <v>55</v>
      </c>
      <c r="D57" s="72" t="s">
        <v>46</v>
      </c>
      <c r="E57" s="122">
        <v>0.25</v>
      </c>
      <c r="F57" s="122">
        <f>C57*E57</f>
        <v>13.75</v>
      </c>
      <c r="G57" s="122">
        <f>$H$11*E57</f>
        <v>12.5</v>
      </c>
      <c r="H57" s="123">
        <f>F57*$H$11</f>
        <v>687.5</v>
      </c>
      <c r="I57" s="135">
        <v>15</v>
      </c>
      <c r="J57" s="123">
        <f>C57*I57</f>
        <v>825</v>
      </c>
      <c r="K57" s="124">
        <f>SUM(H57,J57)</f>
        <v>1512.5</v>
      </c>
      <c r="L57" s="123">
        <f>K57/C57</f>
        <v>27.5</v>
      </c>
      <c r="M57" s="125">
        <f>C57*L57</f>
        <v>1512.5</v>
      </c>
      <c r="N57" s="131">
        <v>0</v>
      </c>
      <c r="O57" s="118">
        <f>M57*N57</f>
        <v>0</v>
      </c>
      <c r="P57" s="455"/>
      <c r="Q57" s="455"/>
      <c r="R57" s="455"/>
      <c r="S57" s="455"/>
      <c r="T57" s="62"/>
      <c r="U57" s="103"/>
      <c r="V57" s="103"/>
    </row>
    <row r="58" spans="1:22" s="70" customFormat="1" ht="14.25" x14ac:dyDescent="0.2">
      <c r="A58" s="60"/>
      <c r="B58" s="264" t="s">
        <v>360</v>
      </c>
      <c r="C58" s="152">
        <v>55</v>
      </c>
      <c r="D58" s="153" t="s">
        <v>46</v>
      </c>
      <c r="E58" s="122">
        <v>0.15</v>
      </c>
      <c r="F58" s="122">
        <f>C58*E58</f>
        <v>8.25</v>
      </c>
      <c r="G58" s="122">
        <f>$H$11*E58</f>
        <v>7.5</v>
      </c>
      <c r="H58" s="123">
        <f>F58*$H$11</f>
        <v>412.5</v>
      </c>
      <c r="I58" s="135">
        <v>6</v>
      </c>
      <c r="J58" s="123">
        <f>C58*I58</f>
        <v>330</v>
      </c>
      <c r="K58" s="124">
        <f>SUM(H58,J58)</f>
        <v>742.5</v>
      </c>
      <c r="L58" s="123">
        <f>K58/C58</f>
        <v>13.5</v>
      </c>
      <c r="M58" s="125">
        <f>C58*L58</f>
        <v>742.5</v>
      </c>
      <c r="N58" s="131">
        <v>0</v>
      </c>
      <c r="O58" s="118">
        <f>M58*N58</f>
        <v>0</v>
      </c>
      <c r="P58" s="455"/>
      <c r="Q58" s="455"/>
      <c r="R58" s="455"/>
      <c r="S58" s="455"/>
      <c r="T58" s="62"/>
      <c r="U58" s="103"/>
      <c r="V58" s="103"/>
    </row>
    <row r="59" spans="1:22" s="70" customFormat="1" ht="14.25" x14ac:dyDescent="0.2">
      <c r="A59" s="60"/>
      <c r="B59" s="168"/>
      <c r="C59" s="152"/>
      <c r="D59" s="153"/>
      <c r="E59" s="122"/>
      <c r="F59" s="122"/>
      <c r="G59" s="122"/>
      <c r="H59" s="123"/>
      <c r="I59" s="135"/>
      <c r="J59" s="123"/>
      <c r="K59" s="124"/>
      <c r="L59" s="123"/>
      <c r="M59" s="125"/>
      <c r="N59" s="131"/>
      <c r="O59" s="118"/>
      <c r="P59" s="455"/>
      <c r="Q59" s="455"/>
      <c r="R59" s="455"/>
      <c r="S59" s="455"/>
      <c r="T59" s="62"/>
      <c r="U59" s="103"/>
      <c r="V59" s="103"/>
    </row>
    <row r="60" spans="1:22" s="70" customFormat="1" ht="14.25" x14ac:dyDescent="0.2">
      <c r="A60" s="60"/>
      <c r="B60" s="146" t="s">
        <v>392</v>
      </c>
      <c r="C60" s="61">
        <v>51</v>
      </c>
      <c r="D60" s="72" t="s">
        <v>45</v>
      </c>
      <c r="E60" s="122">
        <f>$Y$20</f>
        <v>0.4</v>
      </c>
      <c r="F60" s="122">
        <f>C60*E60</f>
        <v>20.400000000000002</v>
      </c>
      <c r="G60" s="122">
        <f>$H$11*E60</f>
        <v>20</v>
      </c>
      <c r="H60" s="123">
        <f>F60*$H$11</f>
        <v>1020.0000000000001</v>
      </c>
      <c r="I60" s="135">
        <v>14.67</v>
      </c>
      <c r="J60" s="123">
        <f>C60*I60</f>
        <v>748.17</v>
      </c>
      <c r="K60" s="124">
        <f>SUM(H60,J60)</f>
        <v>1768.17</v>
      </c>
      <c r="L60" s="123">
        <f>K60/C60</f>
        <v>34.67</v>
      </c>
      <c r="M60" s="125">
        <f>C60*L60</f>
        <v>1768.17</v>
      </c>
      <c r="N60" s="131">
        <v>0.75</v>
      </c>
      <c r="O60" s="118">
        <f>M60*N60</f>
        <v>1326.1275000000001</v>
      </c>
      <c r="P60" s="455"/>
      <c r="Q60" s="455"/>
      <c r="R60" s="455"/>
      <c r="S60" s="455"/>
      <c r="T60" s="266" t="s">
        <v>278</v>
      </c>
      <c r="U60" s="103"/>
      <c r="V60" s="103">
        <f>SUM(F60:F61)</f>
        <v>25.370000000000005</v>
      </c>
    </row>
    <row r="61" spans="1:22" s="70" customFormat="1" ht="14.25" x14ac:dyDescent="0.2">
      <c r="A61" s="60"/>
      <c r="B61" s="146" t="s">
        <v>271</v>
      </c>
      <c r="C61" s="61">
        <v>71</v>
      </c>
      <c r="D61" s="72" t="s">
        <v>46</v>
      </c>
      <c r="E61" s="122">
        <v>7.0000000000000007E-2</v>
      </c>
      <c r="F61" s="122">
        <f>C61*E61</f>
        <v>4.9700000000000006</v>
      </c>
      <c r="G61" s="122">
        <f>$H$11*E61</f>
        <v>3.5000000000000004</v>
      </c>
      <c r="H61" s="123">
        <f>F61*$H$11</f>
        <v>248.50000000000003</v>
      </c>
      <c r="I61" s="135">
        <v>7</v>
      </c>
      <c r="J61" s="123">
        <f>C61*I61</f>
        <v>497</v>
      </c>
      <c r="K61" s="124">
        <f>SUM(H61,J61)</f>
        <v>745.5</v>
      </c>
      <c r="L61" s="123">
        <f>K61/C61</f>
        <v>10.5</v>
      </c>
      <c r="M61" s="125">
        <f>C61*L61</f>
        <v>745.5</v>
      </c>
      <c r="N61" s="131">
        <v>0.75</v>
      </c>
      <c r="O61" s="118">
        <f>M61*N61</f>
        <v>559.125</v>
      </c>
      <c r="P61" s="455"/>
      <c r="Q61" s="455"/>
      <c r="R61" s="455"/>
      <c r="S61" s="455"/>
      <c r="T61" s="62"/>
      <c r="U61" s="103"/>
      <c r="V61" s="103">
        <f>V60/C60</f>
        <v>0.49745098039215696</v>
      </c>
    </row>
    <row r="62" spans="1:22" s="70" customFormat="1" ht="14.25" x14ac:dyDescent="0.2">
      <c r="A62" s="60"/>
      <c r="B62" s="264" t="s">
        <v>359</v>
      </c>
      <c r="C62" s="61">
        <v>12</v>
      </c>
      <c r="D62" s="72" t="s">
        <v>46</v>
      </c>
      <c r="E62" s="122">
        <v>0.25</v>
      </c>
      <c r="F62" s="122">
        <f>C62*E62</f>
        <v>3</v>
      </c>
      <c r="G62" s="122">
        <f>$H$11*E62</f>
        <v>12.5</v>
      </c>
      <c r="H62" s="123">
        <f>F62*$H$11</f>
        <v>150</v>
      </c>
      <c r="I62" s="135">
        <v>15</v>
      </c>
      <c r="J62" s="123">
        <f>C62*I62</f>
        <v>180</v>
      </c>
      <c r="K62" s="124">
        <f>SUM(H62,J62)</f>
        <v>330</v>
      </c>
      <c r="L62" s="123">
        <f>K62/C62</f>
        <v>27.5</v>
      </c>
      <c r="M62" s="125">
        <f>C62*L62</f>
        <v>330</v>
      </c>
      <c r="N62" s="131">
        <v>0</v>
      </c>
      <c r="O62" s="118">
        <f>M62*N62</f>
        <v>0</v>
      </c>
      <c r="P62" s="455"/>
      <c r="Q62" s="455"/>
      <c r="R62" s="455"/>
      <c r="S62" s="455"/>
      <c r="T62" s="62"/>
      <c r="U62" s="103"/>
      <c r="V62" s="103"/>
    </row>
    <row r="63" spans="1:22" s="70" customFormat="1" ht="14.25" x14ac:dyDescent="0.2">
      <c r="A63" s="60"/>
      <c r="B63" s="264" t="s">
        <v>360</v>
      </c>
      <c r="C63" s="152">
        <v>12</v>
      </c>
      <c r="D63" s="153" t="s">
        <v>46</v>
      </c>
      <c r="E63" s="122">
        <v>0.15</v>
      </c>
      <c r="F63" s="122">
        <f>C63*E63</f>
        <v>1.7999999999999998</v>
      </c>
      <c r="G63" s="122">
        <f>$H$11*E63</f>
        <v>7.5</v>
      </c>
      <c r="H63" s="123">
        <f>F63*$H$11</f>
        <v>89.999999999999986</v>
      </c>
      <c r="I63" s="135">
        <v>6</v>
      </c>
      <c r="J63" s="123">
        <f>C63*I63</f>
        <v>72</v>
      </c>
      <c r="K63" s="124">
        <f>SUM(H63,J63)</f>
        <v>162</v>
      </c>
      <c r="L63" s="123">
        <f>K63/C63</f>
        <v>13.5</v>
      </c>
      <c r="M63" s="125">
        <f>C63*L63</f>
        <v>162</v>
      </c>
      <c r="N63" s="131">
        <v>0</v>
      </c>
      <c r="O63" s="118">
        <f>M63*N63</f>
        <v>0</v>
      </c>
      <c r="P63" s="455">
        <f>SUM(O55:O63)</f>
        <v>1885.2525000000001</v>
      </c>
      <c r="Q63" s="467">
        <f>P63/P64</f>
        <v>0.13819361521055026</v>
      </c>
      <c r="R63" s="455"/>
      <c r="S63" s="455"/>
      <c r="T63" s="62"/>
      <c r="U63" s="103"/>
      <c r="V63" s="103"/>
    </row>
    <row r="64" spans="1:22" s="70" customFormat="1" ht="14.25" x14ac:dyDescent="0.2">
      <c r="A64" s="60"/>
      <c r="B64" s="151"/>
      <c r="C64" s="152"/>
      <c r="D64" s="153"/>
      <c r="E64" s="122"/>
      <c r="F64" s="122"/>
      <c r="G64" s="122"/>
      <c r="H64" s="123"/>
      <c r="I64" s="135"/>
      <c r="J64" s="123"/>
      <c r="K64" s="124"/>
      <c r="L64" s="123"/>
      <c r="M64" s="125"/>
      <c r="N64" s="131"/>
      <c r="O64" s="118"/>
      <c r="P64" s="452">
        <f>SUM(M55:M63)</f>
        <v>13642.110000000002</v>
      </c>
      <c r="Q64" s="450">
        <f>P64*SUM($L$115:$L$119)</f>
        <v>1296.0004500000002</v>
      </c>
      <c r="R64" s="266"/>
      <c r="S64" s="266"/>
      <c r="T64" s="62"/>
      <c r="U64" s="103"/>
      <c r="V64" s="103"/>
    </row>
    <row r="65" spans="1:22" s="70" customFormat="1" ht="14.25" x14ac:dyDescent="0.2">
      <c r="A65" s="60"/>
      <c r="B65" s="151"/>
      <c r="C65" s="152"/>
      <c r="D65" s="153"/>
      <c r="E65" s="122"/>
      <c r="F65" s="122"/>
      <c r="G65" s="122"/>
      <c r="H65" s="123"/>
      <c r="I65" s="135"/>
      <c r="J65" s="123"/>
      <c r="K65" s="124"/>
      <c r="L65" s="123"/>
      <c r="M65" s="125"/>
      <c r="N65" s="131"/>
      <c r="O65" s="118"/>
      <c r="P65" s="451">
        <f>P64/$M$112</f>
        <v>0.14772575425398446</v>
      </c>
      <c r="Q65" s="452">
        <f>P65*$M$123</f>
        <v>350.33495004279479</v>
      </c>
      <c r="R65" s="452">
        <f>SUM(P64,Q64,Q65)</f>
        <v>15288.445400042796</v>
      </c>
      <c r="S65" s="452">
        <f>R65*1.08</f>
        <v>16511.521032046221</v>
      </c>
      <c r="T65" s="62"/>
      <c r="U65" s="103"/>
      <c r="V65" s="103"/>
    </row>
    <row r="66" spans="1:22" s="70" customFormat="1" ht="14.25" x14ac:dyDescent="0.2">
      <c r="A66" s="60"/>
      <c r="B66" s="168"/>
      <c r="C66" s="152"/>
      <c r="D66" s="153"/>
      <c r="E66" s="122"/>
      <c r="F66" s="122"/>
      <c r="G66" s="122"/>
      <c r="H66" s="123"/>
      <c r="I66" s="135"/>
      <c r="J66" s="123"/>
      <c r="K66" s="124"/>
      <c r="L66" s="123"/>
      <c r="M66" s="125"/>
      <c r="N66" s="131"/>
      <c r="O66" s="118"/>
      <c r="P66" s="455"/>
      <c r="Q66" s="455"/>
      <c r="R66" s="455"/>
      <c r="S66" s="455"/>
      <c r="T66" s="62"/>
      <c r="U66" s="103"/>
      <c r="V66" s="103"/>
    </row>
    <row r="67" spans="1:22" s="70" customFormat="1" ht="15" x14ac:dyDescent="0.2">
      <c r="A67" s="60"/>
      <c r="B67" s="169" t="s">
        <v>70</v>
      </c>
      <c r="C67" s="152"/>
      <c r="D67" s="153"/>
      <c r="E67" s="122"/>
      <c r="F67" s="122"/>
      <c r="G67" s="122"/>
      <c r="H67" s="123"/>
      <c r="I67" s="135"/>
      <c r="J67" s="123"/>
      <c r="K67" s="124"/>
      <c r="L67" s="123"/>
      <c r="M67" s="125"/>
      <c r="N67" s="131"/>
      <c r="O67" s="118"/>
      <c r="P67" s="455"/>
      <c r="Q67" s="455"/>
      <c r="R67" s="455"/>
      <c r="S67" s="455"/>
      <c r="T67" s="62"/>
      <c r="U67" s="103"/>
      <c r="V67" s="103"/>
    </row>
    <row r="68" spans="1:22" s="70" customFormat="1" ht="14.25" x14ac:dyDescent="0.2">
      <c r="A68" s="60"/>
      <c r="B68" s="146" t="s">
        <v>272</v>
      </c>
      <c r="C68" s="152">
        <v>232</v>
      </c>
      <c r="D68" s="153" t="s">
        <v>45</v>
      </c>
      <c r="E68" s="122">
        <f>$Y$20</f>
        <v>0.4</v>
      </c>
      <c r="F68" s="122">
        <f>C68*E68</f>
        <v>92.800000000000011</v>
      </c>
      <c r="G68" s="122">
        <f>$H$11*E68</f>
        <v>20</v>
      </c>
      <c r="H68" s="123">
        <f>F68*$H$11</f>
        <v>4640.0000000000009</v>
      </c>
      <c r="I68" s="135">
        <v>10.77</v>
      </c>
      <c r="J68" s="123">
        <f>C68*I68</f>
        <v>2498.64</v>
      </c>
      <c r="K68" s="124">
        <f>SUM(H68,J68)</f>
        <v>7138.6400000000012</v>
      </c>
      <c r="L68" s="123">
        <f>K68/C68</f>
        <v>30.770000000000007</v>
      </c>
      <c r="M68" s="125">
        <f>C68*L68</f>
        <v>7138.6400000000012</v>
      </c>
      <c r="N68" s="131">
        <v>0</v>
      </c>
      <c r="O68" s="118">
        <f>M68*N68</f>
        <v>0</v>
      </c>
      <c r="P68" s="455"/>
      <c r="Q68" s="455"/>
      <c r="R68" s="455"/>
      <c r="S68" s="455"/>
      <c r="T68" s="266" t="s">
        <v>279</v>
      </c>
      <c r="U68" s="103"/>
      <c r="V68" s="103">
        <f>SUM(F68:F69)</f>
        <v>104.75000000000001</v>
      </c>
    </row>
    <row r="69" spans="1:22" s="70" customFormat="1" ht="14.25" x14ac:dyDescent="0.2">
      <c r="A69" s="60"/>
      <c r="B69" s="146" t="s">
        <v>271</v>
      </c>
      <c r="C69" s="152">
        <v>239</v>
      </c>
      <c r="D69" s="153" t="s">
        <v>46</v>
      </c>
      <c r="E69" s="122">
        <v>0.05</v>
      </c>
      <c r="F69" s="122">
        <f>C69*E69</f>
        <v>11.950000000000001</v>
      </c>
      <c r="G69" s="122">
        <f>$H$11*E69</f>
        <v>2.5</v>
      </c>
      <c r="H69" s="123">
        <f>F69*$H$11</f>
        <v>597.5</v>
      </c>
      <c r="I69" s="135">
        <v>2.7</v>
      </c>
      <c r="J69" s="123">
        <f>C69*I69</f>
        <v>645.30000000000007</v>
      </c>
      <c r="K69" s="124">
        <f>SUM(H69,J69)</f>
        <v>1242.8000000000002</v>
      </c>
      <c r="L69" s="123">
        <f>K69/C69</f>
        <v>5.2000000000000011</v>
      </c>
      <c r="M69" s="125">
        <f>C69*L69</f>
        <v>1242.8000000000002</v>
      </c>
      <c r="N69" s="131">
        <v>0</v>
      </c>
      <c r="O69" s="118">
        <f>M69*N69</f>
        <v>0</v>
      </c>
      <c r="P69" s="455"/>
      <c r="Q69" s="455"/>
      <c r="R69" s="455"/>
      <c r="S69" s="455"/>
      <c r="T69" s="62"/>
      <c r="U69" s="103"/>
      <c r="V69" s="103">
        <f>V68/C68</f>
        <v>0.45150862068965525</v>
      </c>
    </row>
    <row r="70" spans="1:22" s="70" customFormat="1" ht="14.25" x14ac:dyDescent="0.2">
      <c r="A70" s="60"/>
      <c r="B70" s="264" t="s">
        <v>359</v>
      </c>
      <c r="C70" s="61">
        <v>55</v>
      </c>
      <c r="D70" s="72" t="s">
        <v>46</v>
      </c>
      <c r="E70" s="122">
        <v>0.25</v>
      </c>
      <c r="F70" s="122">
        <f>C70*E70</f>
        <v>13.75</v>
      </c>
      <c r="G70" s="122">
        <f>$H$11*E70</f>
        <v>12.5</v>
      </c>
      <c r="H70" s="123">
        <f>F70*$H$11</f>
        <v>687.5</v>
      </c>
      <c r="I70" s="135">
        <v>15</v>
      </c>
      <c r="J70" s="123">
        <f>C70*I70</f>
        <v>825</v>
      </c>
      <c r="K70" s="124">
        <f>SUM(H70,J70)</f>
        <v>1512.5</v>
      </c>
      <c r="L70" s="123">
        <f>K70/C70</f>
        <v>27.5</v>
      </c>
      <c r="M70" s="125">
        <f>C70*L70</f>
        <v>1512.5</v>
      </c>
      <c r="N70" s="131">
        <v>0</v>
      </c>
      <c r="O70" s="118">
        <f>M70*N70</f>
        <v>0</v>
      </c>
      <c r="P70" s="455"/>
      <c r="Q70" s="455"/>
      <c r="R70" s="455"/>
      <c r="S70" s="455"/>
      <c r="T70" s="62"/>
      <c r="U70" s="103"/>
      <c r="V70" s="103"/>
    </row>
    <row r="71" spans="1:22" s="70" customFormat="1" ht="14.25" x14ac:dyDescent="0.2">
      <c r="A71" s="60"/>
      <c r="B71" s="264" t="s">
        <v>360</v>
      </c>
      <c r="C71" s="152">
        <v>55</v>
      </c>
      <c r="D71" s="153" t="s">
        <v>46</v>
      </c>
      <c r="E71" s="122">
        <v>0.15</v>
      </c>
      <c r="F71" s="122">
        <f>C71*E71</f>
        <v>8.25</v>
      </c>
      <c r="G71" s="122">
        <f>$H$11*E71</f>
        <v>7.5</v>
      </c>
      <c r="H71" s="123">
        <f>F71*$H$11</f>
        <v>412.5</v>
      </c>
      <c r="I71" s="135">
        <v>6</v>
      </c>
      <c r="J71" s="123">
        <f>C71*I71</f>
        <v>330</v>
      </c>
      <c r="K71" s="124">
        <f>SUM(H71,J71)</f>
        <v>742.5</v>
      </c>
      <c r="L71" s="123">
        <f>K71/C71</f>
        <v>13.5</v>
      </c>
      <c r="M71" s="125">
        <f>C71*L71</f>
        <v>742.5</v>
      </c>
      <c r="N71" s="131">
        <v>0</v>
      </c>
      <c r="O71" s="118">
        <f>M71*N71</f>
        <v>0</v>
      </c>
      <c r="P71" s="455"/>
      <c r="Q71" s="455"/>
      <c r="R71" s="455"/>
      <c r="S71" s="455"/>
      <c r="T71" s="62"/>
      <c r="U71" s="103"/>
      <c r="V71" s="103"/>
    </row>
    <row r="72" spans="1:22" s="70" customFormat="1" ht="14.25" x14ac:dyDescent="0.2">
      <c r="A72" s="60"/>
      <c r="B72" s="168"/>
      <c r="C72" s="152"/>
      <c r="D72" s="153"/>
      <c r="E72" s="122"/>
      <c r="F72" s="122"/>
      <c r="G72" s="122"/>
      <c r="H72" s="123"/>
      <c r="I72" s="135"/>
      <c r="J72" s="123"/>
      <c r="K72" s="124"/>
      <c r="L72" s="123"/>
      <c r="M72" s="125"/>
      <c r="N72" s="131"/>
      <c r="O72" s="118"/>
      <c r="P72" s="455"/>
      <c r="Q72" s="455"/>
      <c r="R72" s="455"/>
      <c r="S72" s="455"/>
      <c r="T72" s="62"/>
      <c r="U72" s="103"/>
      <c r="V72" s="103"/>
    </row>
    <row r="73" spans="1:22" s="70" customFormat="1" ht="14.25" x14ac:dyDescent="0.2">
      <c r="A73" s="60"/>
      <c r="B73" s="146" t="s">
        <v>392</v>
      </c>
      <c r="C73" s="61">
        <v>51</v>
      </c>
      <c r="D73" s="72" t="s">
        <v>45</v>
      </c>
      <c r="E73" s="122">
        <f>$Y$20</f>
        <v>0.4</v>
      </c>
      <c r="F73" s="122">
        <f>C73*E73</f>
        <v>20.400000000000002</v>
      </c>
      <c r="G73" s="122">
        <f>$H$11*E73</f>
        <v>20</v>
      </c>
      <c r="H73" s="123">
        <f>F73*$H$11</f>
        <v>1020.0000000000001</v>
      </c>
      <c r="I73" s="135">
        <v>14.67</v>
      </c>
      <c r="J73" s="123">
        <f>C73*I73</f>
        <v>748.17</v>
      </c>
      <c r="K73" s="124">
        <f>SUM(H73,J73)</f>
        <v>1768.17</v>
      </c>
      <c r="L73" s="123">
        <f>K73/C73</f>
        <v>34.67</v>
      </c>
      <c r="M73" s="125">
        <f>C73*L73</f>
        <v>1768.17</v>
      </c>
      <c r="N73" s="131">
        <v>0</v>
      </c>
      <c r="O73" s="118">
        <f>M73*N73</f>
        <v>0</v>
      </c>
      <c r="P73" s="455"/>
      <c r="Q73" s="455"/>
      <c r="R73" s="455"/>
      <c r="S73" s="455"/>
      <c r="T73" s="266" t="s">
        <v>278</v>
      </c>
      <c r="U73" s="103"/>
      <c r="V73" s="103">
        <f>SUM(F73:F74)</f>
        <v>25.370000000000005</v>
      </c>
    </row>
    <row r="74" spans="1:22" s="70" customFormat="1" ht="14.25" x14ac:dyDescent="0.2">
      <c r="A74" s="60"/>
      <c r="B74" s="146" t="s">
        <v>271</v>
      </c>
      <c r="C74" s="61">
        <v>71</v>
      </c>
      <c r="D74" s="72" t="s">
        <v>46</v>
      </c>
      <c r="E74" s="122">
        <v>7.0000000000000007E-2</v>
      </c>
      <c r="F74" s="122">
        <f>C74*E74</f>
        <v>4.9700000000000006</v>
      </c>
      <c r="G74" s="122">
        <f>$H$11*E74</f>
        <v>3.5000000000000004</v>
      </c>
      <c r="H74" s="123">
        <f>F74*$H$11</f>
        <v>248.50000000000003</v>
      </c>
      <c r="I74" s="135">
        <v>7</v>
      </c>
      <c r="J74" s="123">
        <f>C74*I74</f>
        <v>497</v>
      </c>
      <c r="K74" s="124">
        <f>SUM(H74,J74)</f>
        <v>745.5</v>
      </c>
      <c r="L74" s="123">
        <f>K74/C74</f>
        <v>10.5</v>
      </c>
      <c r="M74" s="125">
        <f>C74*L74</f>
        <v>745.5</v>
      </c>
      <c r="N74" s="131">
        <v>0</v>
      </c>
      <c r="O74" s="118">
        <f>M74*N74</f>
        <v>0</v>
      </c>
      <c r="P74" s="455"/>
      <c r="Q74" s="455"/>
      <c r="R74" s="455"/>
      <c r="S74" s="455"/>
      <c r="T74" s="62"/>
      <c r="U74" s="103"/>
      <c r="V74" s="103">
        <f>V73/C73</f>
        <v>0.49745098039215696</v>
      </c>
    </row>
    <row r="75" spans="1:22" s="70" customFormat="1" ht="14.25" x14ac:dyDescent="0.2">
      <c r="A75" s="60"/>
      <c r="B75" s="264" t="s">
        <v>359</v>
      </c>
      <c r="C75" s="61">
        <v>12</v>
      </c>
      <c r="D75" s="72" t="s">
        <v>46</v>
      </c>
      <c r="E75" s="122">
        <v>0.25</v>
      </c>
      <c r="F75" s="122">
        <f>C75*E75</f>
        <v>3</v>
      </c>
      <c r="G75" s="122">
        <f>$H$11*E75</f>
        <v>12.5</v>
      </c>
      <c r="H75" s="123">
        <f>F75*$H$11</f>
        <v>150</v>
      </c>
      <c r="I75" s="135">
        <v>15</v>
      </c>
      <c r="J75" s="123">
        <f>C75*I75</f>
        <v>180</v>
      </c>
      <c r="K75" s="124">
        <f>SUM(H75,J75)</f>
        <v>330</v>
      </c>
      <c r="L75" s="123">
        <f>K75/C75</f>
        <v>27.5</v>
      </c>
      <c r="M75" s="125">
        <f>C75*L75</f>
        <v>330</v>
      </c>
      <c r="N75" s="131">
        <v>0</v>
      </c>
      <c r="O75" s="118">
        <f>M75*N75</f>
        <v>0</v>
      </c>
      <c r="P75" s="455"/>
      <c r="Q75" s="455"/>
      <c r="R75" s="455"/>
      <c r="S75" s="455"/>
      <c r="T75" s="62"/>
      <c r="U75" s="103"/>
      <c r="V75" s="103"/>
    </row>
    <row r="76" spans="1:22" s="70" customFormat="1" ht="14.25" x14ac:dyDescent="0.2">
      <c r="A76" s="60"/>
      <c r="B76" s="264" t="s">
        <v>360</v>
      </c>
      <c r="C76" s="152">
        <v>12</v>
      </c>
      <c r="D76" s="153" t="s">
        <v>46</v>
      </c>
      <c r="E76" s="122">
        <v>0.15</v>
      </c>
      <c r="F76" s="122">
        <f>C76*E76</f>
        <v>1.7999999999999998</v>
      </c>
      <c r="G76" s="122">
        <f>$H$11*E76</f>
        <v>7.5</v>
      </c>
      <c r="H76" s="123">
        <f>F76*$H$11</f>
        <v>89.999999999999986</v>
      </c>
      <c r="I76" s="135">
        <v>6</v>
      </c>
      <c r="J76" s="123">
        <f>C76*I76</f>
        <v>72</v>
      </c>
      <c r="K76" s="124">
        <f>SUM(H76,J76)</f>
        <v>162</v>
      </c>
      <c r="L76" s="123">
        <f>K76/C76</f>
        <v>13.5</v>
      </c>
      <c r="M76" s="125">
        <f>C76*L76</f>
        <v>162</v>
      </c>
      <c r="N76" s="131">
        <v>0</v>
      </c>
      <c r="O76" s="118">
        <f>M76*N76</f>
        <v>0</v>
      </c>
      <c r="P76" s="455"/>
      <c r="Q76" s="455"/>
      <c r="R76" s="455"/>
      <c r="S76" s="455"/>
      <c r="T76" s="62"/>
      <c r="U76" s="103"/>
      <c r="V76" s="103"/>
    </row>
    <row r="77" spans="1:22" s="70" customFormat="1" ht="14.25" x14ac:dyDescent="0.2">
      <c r="A77" s="60"/>
      <c r="B77" s="151"/>
      <c r="C77" s="152"/>
      <c r="D77" s="153"/>
      <c r="E77" s="122"/>
      <c r="F77" s="122"/>
      <c r="G77" s="122"/>
      <c r="H77" s="123"/>
      <c r="I77" s="135"/>
      <c r="J77" s="123"/>
      <c r="K77" s="124"/>
      <c r="L77" s="123"/>
      <c r="M77" s="125"/>
      <c r="N77" s="131"/>
      <c r="O77" s="118"/>
      <c r="P77" s="452">
        <f>SUM(M68:M76)</f>
        <v>13642.110000000002</v>
      </c>
      <c r="Q77" s="450">
        <f>P77*SUM($L$115:$L$119)</f>
        <v>1296.0004500000002</v>
      </c>
      <c r="R77" s="266"/>
      <c r="S77" s="266"/>
      <c r="T77" s="62"/>
      <c r="U77" s="103"/>
      <c r="V77" s="103"/>
    </row>
    <row r="78" spans="1:22" s="70" customFormat="1" ht="14.25" x14ac:dyDescent="0.2">
      <c r="A78" s="60"/>
      <c r="B78" s="151"/>
      <c r="C78" s="152"/>
      <c r="D78" s="153"/>
      <c r="E78" s="122"/>
      <c r="F78" s="122"/>
      <c r="G78" s="122"/>
      <c r="H78" s="123"/>
      <c r="I78" s="135"/>
      <c r="J78" s="123"/>
      <c r="K78" s="124"/>
      <c r="L78" s="123"/>
      <c r="M78" s="125"/>
      <c r="N78" s="131"/>
      <c r="O78" s="118"/>
      <c r="P78" s="451">
        <f>P77/$M$112</f>
        <v>0.14772575425398446</v>
      </c>
      <c r="Q78" s="452">
        <f>P78*$M$123</f>
        <v>350.33495004279479</v>
      </c>
      <c r="R78" s="452">
        <f>SUM(P77,Q77,Q78)</f>
        <v>15288.445400042796</v>
      </c>
      <c r="S78" s="452">
        <f>R78*1.08</f>
        <v>16511.521032046221</v>
      </c>
      <c r="T78" s="62"/>
      <c r="U78" s="103"/>
      <c r="V78" s="103"/>
    </row>
    <row r="79" spans="1:22" s="70" customFormat="1" ht="14.25" x14ac:dyDescent="0.2">
      <c r="A79" s="60"/>
      <c r="B79" s="168"/>
      <c r="C79" s="152"/>
      <c r="D79" s="153"/>
      <c r="E79" s="122"/>
      <c r="F79" s="122"/>
      <c r="G79" s="122"/>
      <c r="H79" s="123"/>
      <c r="I79" s="135"/>
      <c r="J79" s="123"/>
      <c r="K79" s="124"/>
      <c r="L79" s="123"/>
      <c r="M79" s="125"/>
      <c r="N79" s="131"/>
      <c r="O79" s="118"/>
      <c r="P79" s="455"/>
      <c r="Q79" s="455"/>
      <c r="R79" s="455"/>
      <c r="S79" s="455"/>
      <c r="T79" s="62"/>
      <c r="U79" s="103"/>
      <c r="V79" s="103"/>
    </row>
    <row r="80" spans="1:22" s="70" customFormat="1" ht="15" x14ac:dyDescent="0.2">
      <c r="A80" s="60"/>
      <c r="B80" s="169" t="s">
        <v>71</v>
      </c>
      <c r="C80" s="152"/>
      <c r="D80" s="153"/>
      <c r="E80" s="122"/>
      <c r="F80" s="122"/>
      <c r="G80" s="122"/>
      <c r="H80" s="123"/>
      <c r="I80" s="135"/>
      <c r="J80" s="123"/>
      <c r="K80" s="124"/>
      <c r="L80" s="123"/>
      <c r="M80" s="125"/>
      <c r="N80" s="131"/>
      <c r="O80" s="118"/>
      <c r="P80" s="455"/>
      <c r="Q80" s="455"/>
      <c r="R80" s="455"/>
      <c r="S80" s="455"/>
      <c r="T80" s="62"/>
      <c r="U80" s="103"/>
      <c r="V80" s="103"/>
    </row>
    <row r="81" spans="1:22" s="70" customFormat="1" ht="14.25" x14ac:dyDescent="0.2">
      <c r="A81" s="60"/>
      <c r="B81" s="146" t="s">
        <v>272</v>
      </c>
      <c r="C81" s="152">
        <v>232</v>
      </c>
      <c r="D81" s="153" t="s">
        <v>45</v>
      </c>
      <c r="E81" s="122">
        <f>$Y$20</f>
        <v>0.4</v>
      </c>
      <c r="F81" s="122">
        <f>C81*E81</f>
        <v>92.800000000000011</v>
      </c>
      <c r="G81" s="122">
        <f>$H$11*E81</f>
        <v>20</v>
      </c>
      <c r="H81" s="123">
        <f>F81*$H$11</f>
        <v>4640.0000000000009</v>
      </c>
      <c r="I81" s="135">
        <v>10.77</v>
      </c>
      <c r="J81" s="123">
        <f>C81*I81</f>
        <v>2498.64</v>
      </c>
      <c r="K81" s="124">
        <f>SUM(H81,J81)</f>
        <v>7138.6400000000012</v>
      </c>
      <c r="L81" s="123">
        <f>K81/C81</f>
        <v>30.770000000000007</v>
      </c>
      <c r="M81" s="125">
        <f>C81*L81</f>
        <v>7138.6400000000012</v>
      </c>
      <c r="N81" s="131">
        <v>0</v>
      </c>
      <c r="O81" s="118">
        <f>M81*N81</f>
        <v>0</v>
      </c>
      <c r="P81" s="455"/>
      <c r="Q81" s="455"/>
      <c r="R81" s="455"/>
      <c r="S81" s="455"/>
      <c r="T81" s="266" t="s">
        <v>279</v>
      </c>
      <c r="U81" s="103"/>
      <c r="V81" s="103">
        <f>SUM(F81:F82)</f>
        <v>104.75000000000001</v>
      </c>
    </row>
    <row r="82" spans="1:22" s="70" customFormat="1" ht="14.25" x14ac:dyDescent="0.2">
      <c r="A82" s="60"/>
      <c r="B82" s="146" t="s">
        <v>271</v>
      </c>
      <c r="C82" s="152">
        <v>239</v>
      </c>
      <c r="D82" s="153" t="s">
        <v>46</v>
      </c>
      <c r="E82" s="122">
        <v>0.05</v>
      </c>
      <c r="F82" s="122">
        <f>C82*E82</f>
        <v>11.950000000000001</v>
      </c>
      <c r="G82" s="122">
        <f>$H$11*E82</f>
        <v>2.5</v>
      </c>
      <c r="H82" s="123">
        <f>F82*$H$11</f>
        <v>597.5</v>
      </c>
      <c r="I82" s="135">
        <v>2.7</v>
      </c>
      <c r="J82" s="123">
        <f>C82*I82</f>
        <v>645.30000000000007</v>
      </c>
      <c r="K82" s="124">
        <f>SUM(H82,J82)</f>
        <v>1242.8000000000002</v>
      </c>
      <c r="L82" s="123">
        <f>K82/C82</f>
        <v>5.2000000000000011</v>
      </c>
      <c r="M82" s="125">
        <f>C82*L82</f>
        <v>1242.8000000000002</v>
      </c>
      <c r="N82" s="131">
        <v>0</v>
      </c>
      <c r="O82" s="118">
        <f>M82*N82</f>
        <v>0</v>
      </c>
      <c r="P82" s="455"/>
      <c r="Q82" s="455"/>
      <c r="R82" s="455"/>
      <c r="S82" s="455"/>
      <c r="T82" s="62"/>
      <c r="U82" s="103"/>
      <c r="V82" s="103">
        <f>V81/C81</f>
        <v>0.45150862068965525</v>
      </c>
    </row>
    <row r="83" spans="1:22" s="70" customFormat="1" ht="14.25" x14ac:dyDescent="0.2">
      <c r="A83" s="60"/>
      <c r="B83" s="264" t="s">
        <v>359</v>
      </c>
      <c r="C83" s="61">
        <v>55</v>
      </c>
      <c r="D83" s="72" t="s">
        <v>46</v>
      </c>
      <c r="E83" s="122">
        <v>0.25</v>
      </c>
      <c r="F83" s="122">
        <f>C83*E83</f>
        <v>13.75</v>
      </c>
      <c r="G83" s="122">
        <f>$H$11*E83</f>
        <v>12.5</v>
      </c>
      <c r="H83" s="123">
        <f>F83*$H$11</f>
        <v>687.5</v>
      </c>
      <c r="I83" s="135">
        <v>15</v>
      </c>
      <c r="J83" s="123">
        <f>C83*I83</f>
        <v>825</v>
      </c>
      <c r="K83" s="124">
        <f>SUM(H83,J83)</f>
        <v>1512.5</v>
      </c>
      <c r="L83" s="123">
        <f>K83/C83</f>
        <v>27.5</v>
      </c>
      <c r="M83" s="125">
        <f>C83*L83</f>
        <v>1512.5</v>
      </c>
      <c r="N83" s="131">
        <v>0</v>
      </c>
      <c r="O83" s="118">
        <f>M83*N83</f>
        <v>0</v>
      </c>
      <c r="P83" s="455"/>
      <c r="Q83" s="455"/>
      <c r="R83" s="455"/>
      <c r="S83" s="455"/>
      <c r="T83" s="62"/>
      <c r="U83" s="103"/>
      <c r="V83" s="103"/>
    </row>
    <row r="84" spans="1:22" s="70" customFormat="1" ht="14.25" x14ac:dyDescent="0.2">
      <c r="A84" s="60"/>
      <c r="B84" s="264" t="s">
        <v>360</v>
      </c>
      <c r="C84" s="152">
        <v>55</v>
      </c>
      <c r="D84" s="153" t="s">
        <v>46</v>
      </c>
      <c r="E84" s="122">
        <v>0.15</v>
      </c>
      <c r="F84" s="122">
        <f>C84*E84</f>
        <v>8.25</v>
      </c>
      <c r="G84" s="122">
        <f>$H$11*E84</f>
        <v>7.5</v>
      </c>
      <c r="H84" s="123">
        <f>F84*$H$11</f>
        <v>412.5</v>
      </c>
      <c r="I84" s="135">
        <v>6</v>
      </c>
      <c r="J84" s="123">
        <f>C84*I84</f>
        <v>330</v>
      </c>
      <c r="K84" s="124">
        <f>SUM(H84,J84)</f>
        <v>742.5</v>
      </c>
      <c r="L84" s="123">
        <f>K84/C84</f>
        <v>13.5</v>
      </c>
      <c r="M84" s="125">
        <f>C84*L84</f>
        <v>742.5</v>
      </c>
      <c r="N84" s="131">
        <v>0</v>
      </c>
      <c r="O84" s="118">
        <f>M84*N84</f>
        <v>0</v>
      </c>
      <c r="P84" s="455"/>
      <c r="Q84" s="455"/>
      <c r="R84" s="455"/>
      <c r="S84" s="455"/>
      <c r="T84" s="62"/>
      <c r="U84" s="103"/>
      <c r="V84" s="103"/>
    </row>
    <row r="85" spans="1:22" s="70" customFormat="1" ht="14.25" x14ac:dyDescent="0.2">
      <c r="A85" s="60"/>
      <c r="B85" s="168"/>
      <c r="C85" s="152"/>
      <c r="D85" s="153"/>
      <c r="E85" s="122"/>
      <c r="F85" s="122"/>
      <c r="G85" s="122"/>
      <c r="H85" s="123"/>
      <c r="I85" s="135"/>
      <c r="J85" s="123"/>
      <c r="K85" s="124"/>
      <c r="L85" s="123"/>
      <c r="M85" s="125"/>
      <c r="N85" s="131"/>
      <c r="O85" s="118"/>
      <c r="P85" s="455"/>
      <c r="Q85" s="455"/>
      <c r="R85" s="455"/>
      <c r="S85" s="455"/>
      <c r="T85" s="62"/>
      <c r="U85" s="103"/>
      <c r="V85" s="103"/>
    </row>
    <row r="86" spans="1:22" s="70" customFormat="1" ht="14.25" x14ac:dyDescent="0.2">
      <c r="A86" s="60"/>
      <c r="B86" s="146" t="s">
        <v>392</v>
      </c>
      <c r="C86" s="61">
        <v>52</v>
      </c>
      <c r="D86" s="72" t="s">
        <v>45</v>
      </c>
      <c r="E86" s="122">
        <f>$Y$20</f>
        <v>0.4</v>
      </c>
      <c r="F86" s="122">
        <f>C86*E86</f>
        <v>20.8</v>
      </c>
      <c r="G86" s="122">
        <f>$H$11*E86</f>
        <v>20</v>
      </c>
      <c r="H86" s="123">
        <f>F86*$H$11</f>
        <v>1040</v>
      </c>
      <c r="I86" s="135">
        <v>14.67</v>
      </c>
      <c r="J86" s="123">
        <f>C86*I86</f>
        <v>762.84</v>
      </c>
      <c r="K86" s="124">
        <f>SUM(H86,J86)</f>
        <v>1802.8400000000001</v>
      </c>
      <c r="L86" s="123">
        <f>K86/C86</f>
        <v>34.67</v>
      </c>
      <c r="M86" s="125">
        <f>C86*L86</f>
        <v>1802.8400000000001</v>
      </c>
      <c r="N86" s="131">
        <v>0</v>
      </c>
      <c r="O86" s="118">
        <f>M86*N86</f>
        <v>0</v>
      </c>
      <c r="P86" s="455"/>
      <c r="Q86" s="455"/>
      <c r="R86" s="455"/>
      <c r="S86" s="455"/>
      <c r="T86" s="266" t="s">
        <v>278</v>
      </c>
      <c r="U86" s="103"/>
      <c r="V86" s="103">
        <f>SUM(F86:F87)</f>
        <v>25.770000000000003</v>
      </c>
    </row>
    <row r="87" spans="1:22" s="70" customFormat="1" ht="14.25" x14ac:dyDescent="0.2">
      <c r="A87" s="60"/>
      <c r="B87" s="146" t="s">
        <v>271</v>
      </c>
      <c r="C87" s="61">
        <v>71</v>
      </c>
      <c r="D87" s="72" t="s">
        <v>46</v>
      </c>
      <c r="E87" s="122">
        <v>7.0000000000000007E-2</v>
      </c>
      <c r="F87" s="122">
        <f>C87*E87</f>
        <v>4.9700000000000006</v>
      </c>
      <c r="G87" s="122">
        <f>$H$11*E87</f>
        <v>3.5000000000000004</v>
      </c>
      <c r="H87" s="123">
        <f>F87*$H$11</f>
        <v>248.50000000000003</v>
      </c>
      <c r="I87" s="135">
        <v>7</v>
      </c>
      <c r="J87" s="123">
        <f>C87*I87</f>
        <v>497</v>
      </c>
      <c r="K87" s="124">
        <f>SUM(H87,J87)</f>
        <v>745.5</v>
      </c>
      <c r="L87" s="123">
        <f>K87/C87</f>
        <v>10.5</v>
      </c>
      <c r="M87" s="125">
        <f>C87*L87</f>
        <v>745.5</v>
      </c>
      <c r="N87" s="131">
        <v>0</v>
      </c>
      <c r="O87" s="118">
        <f>M87*N87</f>
        <v>0</v>
      </c>
      <c r="P87" s="455"/>
      <c r="Q87" s="455"/>
      <c r="R87" s="455"/>
      <c r="S87" s="455"/>
      <c r="T87" s="62"/>
      <c r="U87" s="103"/>
      <c r="V87" s="103">
        <f>V86/C86</f>
        <v>0.49557692307692314</v>
      </c>
    </row>
    <row r="88" spans="1:22" s="70" customFormat="1" ht="14.25" x14ac:dyDescent="0.2">
      <c r="A88" s="60"/>
      <c r="B88" s="264" t="s">
        <v>359</v>
      </c>
      <c r="C88" s="61">
        <v>12</v>
      </c>
      <c r="D88" s="72" t="s">
        <v>46</v>
      </c>
      <c r="E88" s="122">
        <v>0.25</v>
      </c>
      <c r="F88" s="122">
        <f>C88*E88</f>
        <v>3</v>
      </c>
      <c r="G88" s="122">
        <f>$H$11*E88</f>
        <v>12.5</v>
      </c>
      <c r="H88" s="123">
        <f>F88*$H$11</f>
        <v>150</v>
      </c>
      <c r="I88" s="135">
        <v>15</v>
      </c>
      <c r="J88" s="123">
        <f>C88*I88</f>
        <v>180</v>
      </c>
      <c r="K88" s="124">
        <f>SUM(H88,J88)</f>
        <v>330</v>
      </c>
      <c r="L88" s="123">
        <f>K88/C88</f>
        <v>27.5</v>
      </c>
      <c r="M88" s="125">
        <f>C88*L88</f>
        <v>330</v>
      </c>
      <c r="N88" s="131">
        <v>0</v>
      </c>
      <c r="O88" s="118">
        <f>M88*N88</f>
        <v>0</v>
      </c>
      <c r="P88" s="455"/>
      <c r="Q88" s="455"/>
      <c r="R88" s="455"/>
      <c r="S88" s="455"/>
      <c r="T88" s="62"/>
      <c r="U88" s="103"/>
      <c r="V88" s="103"/>
    </row>
    <row r="89" spans="1:22" s="70" customFormat="1" ht="14.25" x14ac:dyDescent="0.2">
      <c r="A89" s="60"/>
      <c r="B89" s="264" t="s">
        <v>360</v>
      </c>
      <c r="C89" s="152">
        <v>12</v>
      </c>
      <c r="D89" s="153" t="s">
        <v>46</v>
      </c>
      <c r="E89" s="122">
        <v>0.15</v>
      </c>
      <c r="F89" s="122">
        <f>C89*E89</f>
        <v>1.7999999999999998</v>
      </c>
      <c r="G89" s="122">
        <f>$H$11*E89</f>
        <v>7.5</v>
      </c>
      <c r="H89" s="123">
        <f>F89*$H$11</f>
        <v>89.999999999999986</v>
      </c>
      <c r="I89" s="135">
        <v>6</v>
      </c>
      <c r="J89" s="123">
        <f>C89*I89</f>
        <v>72</v>
      </c>
      <c r="K89" s="124">
        <f>SUM(H89,J89)</f>
        <v>162</v>
      </c>
      <c r="L89" s="123">
        <f>K89/C89</f>
        <v>13.5</v>
      </c>
      <c r="M89" s="125">
        <f>C89*L89</f>
        <v>162</v>
      </c>
      <c r="N89" s="131">
        <v>0</v>
      </c>
      <c r="O89" s="118">
        <f>M89*N89</f>
        <v>0</v>
      </c>
      <c r="P89" s="455"/>
      <c r="Q89" s="455"/>
      <c r="R89" s="455"/>
      <c r="S89" s="455"/>
      <c r="T89" s="62"/>
      <c r="U89" s="103"/>
      <c r="V89" s="103"/>
    </row>
    <row r="90" spans="1:22" s="70" customFormat="1" ht="14.25" x14ac:dyDescent="0.2">
      <c r="A90" s="60"/>
      <c r="B90" s="151"/>
      <c r="C90" s="152"/>
      <c r="D90" s="153"/>
      <c r="E90" s="122"/>
      <c r="F90" s="122"/>
      <c r="G90" s="122"/>
      <c r="H90" s="123"/>
      <c r="I90" s="135"/>
      <c r="J90" s="123"/>
      <c r="K90" s="124"/>
      <c r="L90" s="123"/>
      <c r="M90" s="125"/>
      <c r="N90" s="131"/>
      <c r="O90" s="118"/>
      <c r="P90" s="452">
        <f>SUM(M81:M89)</f>
        <v>13676.780000000002</v>
      </c>
      <c r="Q90" s="450">
        <f>P90*SUM($L$115:$L$119)</f>
        <v>1299.2941000000003</v>
      </c>
      <c r="R90" s="266"/>
      <c r="S90" s="266"/>
      <c r="T90" s="62"/>
      <c r="U90" s="103"/>
      <c r="V90" s="103"/>
    </row>
    <row r="91" spans="1:22" s="70" customFormat="1" ht="14.25" x14ac:dyDescent="0.2">
      <c r="A91" s="60"/>
      <c r="B91" s="151"/>
      <c r="C91" s="152"/>
      <c r="D91" s="153"/>
      <c r="E91" s="122"/>
      <c r="F91" s="122"/>
      <c r="G91" s="122"/>
      <c r="H91" s="123"/>
      <c r="I91" s="135"/>
      <c r="J91" s="123"/>
      <c r="K91" s="124"/>
      <c r="L91" s="123"/>
      <c r="M91" s="125"/>
      <c r="N91" s="131"/>
      <c r="O91" s="118"/>
      <c r="P91" s="451">
        <f>P90/$M$112</f>
        <v>0.14810118385394999</v>
      </c>
      <c r="Q91" s="452">
        <f>P91*$M$123</f>
        <v>351.22528978627906</v>
      </c>
      <c r="R91" s="452">
        <f>SUM(P90,Q90,Q91)</f>
        <v>15327.299389786283</v>
      </c>
      <c r="S91" s="452">
        <f>R91*1.08</f>
        <v>16553.483340969186</v>
      </c>
      <c r="T91" s="62"/>
      <c r="U91" s="103"/>
      <c r="V91" s="103"/>
    </row>
    <row r="92" spans="1:22" s="70" customFormat="1" ht="14.25" x14ac:dyDescent="0.2">
      <c r="A92" s="60"/>
      <c r="B92" s="168"/>
      <c r="C92" s="152"/>
      <c r="D92" s="153"/>
      <c r="E92" s="122"/>
      <c r="F92" s="122"/>
      <c r="G92" s="122"/>
      <c r="H92" s="123"/>
      <c r="I92" s="135"/>
      <c r="J92" s="123"/>
      <c r="K92" s="124"/>
      <c r="L92" s="123"/>
      <c r="M92" s="125"/>
      <c r="N92" s="131"/>
      <c r="O92" s="118"/>
      <c r="P92" s="455"/>
      <c r="Q92" s="455"/>
      <c r="R92" s="455"/>
      <c r="S92" s="455"/>
      <c r="T92" s="62"/>
      <c r="U92" s="103"/>
      <c r="V92" s="103"/>
    </row>
    <row r="93" spans="1:22" s="70" customFormat="1" ht="15" x14ac:dyDescent="0.2">
      <c r="A93" s="60"/>
      <c r="B93" s="169" t="s">
        <v>62</v>
      </c>
      <c r="C93" s="152"/>
      <c r="D93" s="153"/>
      <c r="E93" s="122"/>
      <c r="F93" s="122"/>
      <c r="G93" s="122"/>
      <c r="H93" s="123"/>
      <c r="I93" s="135"/>
      <c r="J93" s="123"/>
      <c r="K93" s="124"/>
      <c r="L93" s="123"/>
      <c r="M93" s="125"/>
      <c r="N93" s="131"/>
      <c r="O93" s="118"/>
      <c r="P93" s="455"/>
      <c r="Q93" s="455"/>
      <c r="R93" s="455"/>
      <c r="S93" s="455"/>
      <c r="T93" s="62"/>
      <c r="U93" s="103"/>
      <c r="V93" s="103"/>
    </row>
    <row r="94" spans="1:22" s="70" customFormat="1" ht="14.25" x14ac:dyDescent="0.2">
      <c r="A94" s="60"/>
      <c r="B94" s="146" t="s">
        <v>272</v>
      </c>
      <c r="C94" s="152">
        <v>217</v>
      </c>
      <c r="D94" s="153" t="s">
        <v>45</v>
      </c>
      <c r="E94" s="122">
        <f>$Y$20</f>
        <v>0.4</v>
      </c>
      <c r="F94" s="122">
        <f>C94*E94</f>
        <v>86.800000000000011</v>
      </c>
      <c r="G94" s="122">
        <f>$H$11*E94</f>
        <v>20</v>
      </c>
      <c r="H94" s="123">
        <f>F94*$H$11</f>
        <v>4340.0000000000009</v>
      </c>
      <c r="I94" s="135">
        <v>10.77</v>
      </c>
      <c r="J94" s="123">
        <f>C94*I94</f>
        <v>2337.0899999999997</v>
      </c>
      <c r="K94" s="124">
        <f>SUM(H94,J94)</f>
        <v>6677.09</v>
      </c>
      <c r="L94" s="123">
        <f>K94/C94</f>
        <v>30.77</v>
      </c>
      <c r="M94" s="125">
        <f>C94*L94</f>
        <v>6677.09</v>
      </c>
      <c r="N94" s="131">
        <v>0</v>
      </c>
      <c r="O94" s="118">
        <f>M94*N94</f>
        <v>0</v>
      </c>
      <c r="P94" s="455"/>
      <c r="Q94" s="455"/>
      <c r="R94" s="455"/>
      <c r="S94" s="455"/>
      <c r="T94" s="266" t="s">
        <v>280</v>
      </c>
      <c r="U94" s="103"/>
      <c r="V94" s="103">
        <f>SUM(F94:F95)</f>
        <v>97.500000000000014</v>
      </c>
    </row>
    <row r="95" spans="1:22" s="70" customFormat="1" ht="14.25" x14ac:dyDescent="0.2">
      <c r="A95" s="60"/>
      <c r="B95" s="146" t="s">
        <v>271</v>
      </c>
      <c r="C95" s="152">
        <v>214</v>
      </c>
      <c r="D95" s="153" t="s">
        <v>46</v>
      </c>
      <c r="E95" s="122">
        <v>0.05</v>
      </c>
      <c r="F95" s="122">
        <f>C95*E95</f>
        <v>10.700000000000001</v>
      </c>
      <c r="G95" s="122">
        <f>$H$11*E95</f>
        <v>2.5</v>
      </c>
      <c r="H95" s="123">
        <f>F95*$H$11</f>
        <v>535</v>
      </c>
      <c r="I95" s="135">
        <v>2.7</v>
      </c>
      <c r="J95" s="123">
        <f>C95*I95</f>
        <v>577.80000000000007</v>
      </c>
      <c r="K95" s="124">
        <f>SUM(H95,J95)</f>
        <v>1112.8000000000002</v>
      </c>
      <c r="L95" s="123">
        <f>K95/C95</f>
        <v>5.2000000000000011</v>
      </c>
      <c r="M95" s="125">
        <f>C95*L95</f>
        <v>1112.8000000000002</v>
      </c>
      <c r="N95" s="131">
        <v>0</v>
      </c>
      <c r="O95" s="118">
        <f>M95*N95</f>
        <v>0</v>
      </c>
      <c r="P95" s="455"/>
      <c r="Q95" s="455"/>
      <c r="R95" s="455"/>
      <c r="S95" s="455"/>
      <c r="T95" s="62"/>
      <c r="U95" s="103"/>
      <c r="V95" s="103">
        <f>V94/C94</f>
        <v>0.44930875576036872</v>
      </c>
    </row>
    <row r="96" spans="1:22" s="70" customFormat="1" ht="14.25" x14ac:dyDescent="0.2">
      <c r="A96" s="60"/>
      <c r="B96" s="264" t="s">
        <v>359</v>
      </c>
      <c r="C96" s="61">
        <v>52</v>
      </c>
      <c r="D96" s="72" t="s">
        <v>46</v>
      </c>
      <c r="E96" s="122">
        <v>0.25</v>
      </c>
      <c r="F96" s="122">
        <f>C96*E96</f>
        <v>13</v>
      </c>
      <c r="G96" s="122">
        <f>$H$11*E96</f>
        <v>12.5</v>
      </c>
      <c r="H96" s="123">
        <f>F96*$H$11</f>
        <v>650</v>
      </c>
      <c r="I96" s="135">
        <v>15</v>
      </c>
      <c r="J96" s="123">
        <f>C96*I96</f>
        <v>780</v>
      </c>
      <c r="K96" s="124">
        <f>SUM(H96,J96)</f>
        <v>1430</v>
      </c>
      <c r="L96" s="123">
        <f>K96/C96</f>
        <v>27.5</v>
      </c>
      <c r="M96" s="125">
        <f>C96*L96</f>
        <v>1430</v>
      </c>
      <c r="N96" s="131">
        <v>0</v>
      </c>
      <c r="O96" s="118">
        <f>M96*N96</f>
        <v>0</v>
      </c>
      <c r="P96" s="455"/>
      <c r="Q96" s="455"/>
      <c r="R96" s="455"/>
      <c r="S96" s="455"/>
      <c r="T96" s="62"/>
      <c r="U96" s="103"/>
      <c r="V96" s="103"/>
    </row>
    <row r="97" spans="1:24" s="70" customFormat="1" ht="14.25" x14ac:dyDescent="0.2">
      <c r="A97" s="60"/>
      <c r="B97" s="264" t="s">
        <v>360</v>
      </c>
      <c r="C97" s="152">
        <v>52</v>
      </c>
      <c r="D97" s="153" t="s">
        <v>46</v>
      </c>
      <c r="E97" s="122">
        <v>0.15</v>
      </c>
      <c r="F97" s="122">
        <f>C97*E97</f>
        <v>7.8</v>
      </c>
      <c r="G97" s="122">
        <f>$H$11*E97</f>
        <v>7.5</v>
      </c>
      <c r="H97" s="123">
        <f>F97*$H$11</f>
        <v>390</v>
      </c>
      <c r="I97" s="135">
        <v>6</v>
      </c>
      <c r="J97" s="123">
        <f>C97*I97</f>
        <v>312</v>
      </c>
      <c r="K97" s="124">
        <f>SUM(H97,J97)</f>
        <v>702</v>
      </c>
      <c r="L97" s="123">
        <f>K97/C97</f>
        <v>13.5</v>
      </c>
      <c r="M97" s="125">
        <f>C97*L97</f>
        <v>702</v>
      </c>
      <c r="N97" s="131">
        <v>0</v>
      </c>
      <c r="O97" s="118">
        <f>M97*N97</f>
        <v>0</v>
      </c>
      <c r="P97" s="455"/>
      <c r="Q97" s="455"/>
      <c r="R97" s="455"/>
      <c r="S97" s="455"/>
      <c r="T97" s="62"/>
      <c r="U97" s="103"/>
      <c r="V97" s="103"/>
    </row>
    <row r="98" spans="1:24" s="70" customFormat="1" ht="14.25" x14ac:dyDescent="0.2">
      <c r="A98" s="60"/>
      <c r="B98" s="168"/>
      <c r="C98" s="152"/>
      <c r="D98" s="153"/>
      <c r="E98" s="122"/>
      <c r="F98" s="122"/>
      <c r="G98" s="122"/>
      <c r="H98" s="123"/>
      <c r="I98" s="135"/>
      <c r="J98" s="123"/>
      <c r="K98" s="124"/>
      <c r="L98" s="123"/>
      <c r="M98" s="125"/>
      <c r="N98" s="131"/>
      <c r="O98" s="118"/>
      <c r="P98" s="455"/>
      <c r="Q98" s="455"/>
      <c r="R98" s="455"/>
      <c r="S98" s="455"/>
      <c r="T98" s="62"/>
      <c r="U98" s="103"/>
      <c r="V98" s="103"/>
    </row>
    <row r="99" spans="1:24" s="70" customFormat="1" ht="14.25" x14ac:dyDescent="0.2">
      <c r="A99" s="60"/>
      <c r="B99" s="146" t="s">
        <v>392</v>
      </c>
      <c r="C99" s="61">
        <v>51</v>
      </c>
      <c r="D99" s="72" t="s">
        <v>45</v>
      </c>
      <c r="E99" s="122">
        <f>$Y$20</f>
        <v>0.4</v>
      </c>
      <c r="F99" s="122">
        <f>C99*E99</f>
        <v>20.400000000000002</v>
      </c>
      <c r="G99" s="122">
        <f>$H$11*E99</f>
        <v>20</v>
      </c>
      <c r="H99" s="123">
        <f>F99*$H$11</f>
        <v>1020.0000000000001</v>
      </c>
      <c r="I99" s="135">
        <v>14.67</v>
      </c>
      <c r="J99" s="123">
        <f>C99*I99</f>
        <v>748.17</v>
      </c>
      <c r="K99" s="124">
        <f>SUM(H99,J99)</f>
        <v>1768.17</v>
      </c>
      <c r="L99" s="123">
        <f>K99/C99</f>
        <v>34.67</v>
      </c>
      <c r="M99" s="125">
        <f>C99*L99</f>
        <v>1768.17</v>
      </c>
      <c r="N99" s="131">
        <v>0</v>
      </c>
      <c r="O99" s="118">
        <f>M99*N99</f>
        <v>0</v>
      </c>
      <c r="P99" s="455"/>
      <c r="Q99" s="455"/>
      <c r="R99" s="455"/>
      <c r="S99" s="455"/>
      <c r="T99" s="266" t="s">
        <v>278</v>
      </c>
      <c r="U99" s="103"/>
      <c r="V99" s="103">
        <f>SUM(F99:F100)</f>
        <v>24.810000000000002</v>
      </c>
    </row>
    <row r="100" spans="1:24" s="70" customFormat="1" ht="14.25" x14ac:dyDescent="0.2">
      <c r="A100" s="60"/>
      <c r="B100" s="264" t="s">
        <v>271</v>
      </c>
      <c r="C100" s="61">
        <v>63</v>
      </c>
      <c r="D100" s="72" t="s">
        <v>46</v>
      </c>
      <c r="E100" s="122">
        <v>7.0000000000000007E-2</v>
      </c>
      <c r="F100" s="122">
        <f>C100*E100</f>
        <v>4.41</v>
      </c>
      <c r="G100" s="122">
        <f>$H$11*E100</f>
        <v>3.5000000000000004</v>
      </c>
      <c r="H100" s="123">
        <f>F100*$H$11</f>
        <v>220.5</v>
      </c>
      <c r="I100" s="135">
        <v>7</v>
      </c>
      <c r="J100" s="123">
        <f>C100*I100</f>
        <v>441</v>
      </c>
      <c r="K100" s="124">
        <f>SUM(H100,J100)</f>
        <v>661.5</v>
      </c>
      <c r="L100" s="123">
        <f>K100/C100</f>
        <v>10.5</v>
      </c>
      <c r="M100" s="125">
        <f>C100*L100</f>
        <v>661.5</v>
      </c>
      <c r="N100" s="131">
        <v>0</v>
      </c>
      <c r="O100" s="118">
        <f>M100*N100</f>
        <v>0</v>
      </c>
      <c r="P100" s="455"/>
      <c r="Q100" s="455"/>
      <c r="R100" s="455"/>
      <c r="S100" s="455"/>
      <c r="T100" s="62"/>
      <c r="U100" s="103"/>
      <c r="V100" s="103">
        <f>V99/C99</f>
        <v>0.48647058823529415</v>
      </c>
    </row>
    <row r="101" spans="1:24" s="70" customFormat="1" ht="14.25" x14ac:dyDescent="0.2">
      <c r="A101" s="60"/>
      <c r="B101" s="264" t="s">
        <v>359</v>
      </c>
      <c r="C101" s="61">
        <v>12</v>
      </c>
      <c r="D101" s="72" t="s">
        <v>46</v>
      </c>
      <c r="E101" s="122">
        <v>0.25</v>
      </c>
      <c r="F101" s="122">
        <f>C101*E101</f>
        <v>3</v>
      </c>
      <c r="G101" s="122">
        <f>$H$11*E101</f>
        <v>12.5</v>
      </c>
      <c r="H101" s="123">
        <f>F101*$H$11</f>
        <v>150</v>
      </c>
      <c r="I101" s="135">
        <v>15</v>
      </c>
      <c r="J101" s="123">
        <f>C101*I101</f>
        <v>180</v>
      </c>
      <c r="K101" s="124">
        <f>SUM(H101,J101)</f>
        <v>330</v>
      </c>
      <c r="L101" s="123">
        <f>K101/C101</f>
        <v>27.5</v>
      </c>
      <c r="M101" s="125">
        <f>C101*L101</f>
        <v>330</v>
      </c>
      <c r="N101" s="131">
        <v>0</v>
      </c>
      <c r="O101" s="118">
        <f>M101*N101</f>
        <v>0</v>
      </c>
      <c r="P101" s="455"/>
      <c r="Q101" s="455"/>
      <c r="R101" s="455"/>
      <c r="S101" s="455"/>
      <c r="T101" s="62"/>
      <c r="U101" s="103"/>
      <c r="V101" s="103"/>
    </row>
    <row r="102" spans="1:24" s="70" customFormat="1" ht="14.25" x14ac:dyDescent="0.2">
      <c r="A102" s="60"/>
      <c r="B102" s="264" t="s">
        <v>360</v>
      </c>
      <c r="C102" s="152">
        <v>12</v>
      </c>
      <c r="D102" s="153" t="s">
        <v>46</v>
      </c>
      <c r="E102" s="122">
        <v>0.15</v>
      </c>
      <c r="F102" s="122">
        <f>C102*E102</f>
        <v>1.7999999999999998</v>
      </c>
      <c r="G102" s="122">
        <f>$H$11*E102</f>
        <v>7.5</v>
      </c>
      <c r="H102" s="123">
        <f>F102*$H$11</f>
        <v>89.999999999999986</v>
      </c>
      <c r="I102" s="135">
        <v>6</v>
      </c>
      <c r="J102" s="123">
        <f>C102*I102</f>
        <v>72</v>
      </c>
      <c r="K102" s="124">
        <f>SUM(H102,J102)</f>
        <v>162</v>
      </c>
      <c r="L102" s="123">
        <f>K102/C102</f>
        <v>13.5</v>
      </c>
      <c r="M102" s="125">
        <f>C102*L102</f>
        <v>162</v>
      </c>
      <c r="N102" s="131">
        <v>0</v>
      </c>
      <c r="O102" s="118">
        <f>M102*N102</f>
        <v>0</v>
      </c>
      <c r="P102" s="455"/>
      <c r="Q102" s="455"/>
      <c r="R102" s="455"/>
      <c r="S102" s="455"/>
      <c r="T102" s="62"/>
      <c r="U102" s="103"/>
      <c r="V102" s="103"/>
    </row>
    <row r="103" spans="1:24" s="70" customFormat="1" ht="14.25" x14ac:dyDescent="0.2">
      <c r="A103" s="60"/>
      <c r="B103" s="151"/>
      <c r="C103" s="152"/>
      <c r="D103" s="153"/>
      <c r="E103" s="122"/>
      <c r="F103" s="122"/>
      <c r="G103" s="122"/>
      <c r="H103" s="123"/>
      <c r="I103" s="135"/>
      <c r="J103" s="123"/>
      <c r="K103" s="124"/>
      <c r="L103" s="123"/>
      <c r="M103" s="125"/>
      <c r="N103" s="131"/>
      <c r="O103" s="118"/>
      <c r="P103" s="452">
        <f>SUM(M94:M102)</f>
        <v>12843.56</v>
      </c>
      <c r="Q103" s="450">
        <f>P103*SUM($L$115:$L$119)</f>
        <v>1220.1381999999999</v>
      </c>
      <c r="R103" s="266"/>
      <c r="S103" s="266"/>
      <c r="T103" s="62"/>
      <c r="U103" s="103"/>
      <c r="V103" s="103"/>
    </row>
    <row r="104" spans="1:24" s="70" customFormat="1" ht="14.25" x14ac:dyDescent="0.2">
      <c r="A104" s="60"/>
      <c r="B104" s="151"/>
      <c r="C104" s="152"/>
      <c r="D104" s="153"/>
      <c r="E104" s="122"/>
      <c r="F104" s="122"/>
      <c r="G104" s="122"/>
      <c r="H104" s="123"/>
      <c r="I104" s="135"/>
      <c r="J104" s="123"/>
      <c r="K104" s="124"/>
      <c r="L104" s="123"/>
      <c r="M104" s="125"/>
      <c r="N104" s="131"/>
      <c r="O104" s="118"/>
      <c r="P104" s="451">
        <f>P103/$M$112</f>
        <v>0.13907852878376617</v>
      </c>
      <c r="Q104" s="452">
        <f>P104*$M$123</f>
        <v>329.82786027759903</v>
      </c>
      <c r="R104" s="452">
        <f>SUM(P103,Q103,Q104)</f>
        <v>14393.526060277598</v>
      </c>
      <c r="S104" s="452">
        <f>R104*1.08</f>
        <v>15545.008145099806</v>
      </c>
      <c r="T104" s="62"/>
      <c r="U104" s="103"/>
      <c r="V104" s="103"/>
    </row>
    <row r="105" spans="1:24" s="70" customFormat="1" ht="14.25" x14ac:dyDescent="0.2">
      <c r="A105" s="60"/>
      <c r="B105" s="151"/>
      <c r="C105" s="152"/>
      <c r="D105" s="153"/>
      <c r="E105" s="122"/>
      <c r="F105" s="122"/>
      <c r="G105" s="122"/>
      <c r="H105" s="123"/>
      <c r="I105" s="135"/>
      <c r="J105" s="123"/>
      <c r="K105" s="124"/>
      <c r="L105" s="123"/>
      <c r="M105" s="125"/>
      <c r="N105" s="131"/>
      <c r="O105" s="118"/>
      <c r="P105" s="455"/>
      <c r="Q105" s="455"/>
      <c r="R105" s="455"/>
      <c r="S105" s="455"/>
      <c r="T105" s="62"/>
      <c r="U105" s="103"/>
      <c r="V105" s="103"/>
    </row>
    <row r="106" spans="1:24" s="70" customFormat="1" ht="15" x14ac:dyDescent="0.2">
      <c r="A106" s="60"/>
      <c r="B106" s="169" t="s">
        <v>97</v>
      </c>
      <c r="C106" s="152"/>
      <c r="D106" s="153"/>
      <c r="E106" s="122"/>
      <c r="F106" s="122"/>
      <c r="G106" s="122"/>
      <c r="H106" s="123"/>
      <c r="I106" s="135"/>
      <c r="J106" s="123"/>
      <c r="K106" s="124"/>
      <c r="L106" s="123"/>
      <c r="M106" s="125"/>
      <c r="N106" s="131"/>
      <c r="O106" s="118"/>
      <c r="P106" s="455"/>
      <c r="Q106" s="455"/>
      <c r="R106" s="455"/>
      <c r="S106" s="455"/>
      <c r="T106" s="62"/>
      <c r="U106" s="103"/>
      <c r="V106" s="103"/>
    </row>
    <row r="107" spans="1:24" s="70" customFormat="1" ht="14.25" x14ac:dyDescent="0.2">
      <c r="A107" s="60"/>
      <c r="B107" s="146" t="s">
        <v>273</v>
      </c>
      <c r="C107" s="152">
        <v>69</v>
      </c>
      <c r="D107" s="153" t="s">
        <v>45</v>
      </c>
      <c r="E107" s="122">
        <f>$Y$20</f>
        <v>0.4</v>
      </c>
      <c r="F107" s="122">
        <f>C107*E107</f>
        <v>27.6</v>
      </c>
      <c r="G107" s="122">
        <f>$H$11*E107</f>
        <v>20</v>
      </c>
      <c r="H107" s="123">
        <f>F107*$H$11</f>
        <v>1380</v>
      </c>
      <c r="I107" s="135">
        <v>14.52</v>
      </c>
      <c r="J107" s="123">
        <f>C107*I107</f>
        <v>1001.88</v>
      </c>
      <c r="K107" s="124">
        <f>SUM(H107,J107)</f>
        <v>2381.88</v>
      </c>
      <c r="L107" s="123">
        <f>K107/C107</f>
        <v>34.520000000000003</v>
      </c>
      <c r="M107" s="125">
        <f>C107*L107</f>
        <v>2381.88</v>
      </c>
      <c r="N107" s="131">
        <v>0</v>
      </c>
      <c r="O107" s="118">
        <f>M107*N107</f>
        <v>0</v>
      </c>
      <c r="P107" s="455"/>
      <c r="Q107" s="455"/>
      <c r="R107" s="455"/>
      <c r="S107" s="455"/>
      <c r="T107" s="62"/>
      <c r="U107" s="103"/>
      <c r="V107" s="103">
        <f>SUM(F107:F108)</f>
        <v>29.450000000000003</v>
      </c>
    </row>
    <row r="108" spans="1:24" s="70" customFormat="1" ht="14.25" x14ac:dyDescent="0.2">
      <c r="A108" s="60"/>
      <c r="B108" s="146" t="s">
        <v>271</v>
      </c>
      <c r="C108" s="152">
        <v>37</v>
      </c>
      <c r="D108" s="153" t="s">
        <v>46</v>
      </c>
      <c r="E108" s="122">
        <v>0.05</v>
      </c>
      <c r="F108" s="122">
        <f>C108*E108</f>
        <v>1.85</v>
      </c>
      <c r="G108" s="122">
        <f>$H$11*E108</f>
        <v>2.5</v>
      </c>
      <c r="H108" s="123">
        <f>F108*$H$11</f>
        <v>92.5</v>
      </c>
      <c r="I108" s="135">
        <v>3.31</v>
      </c>
      <c r="J108" s="123">
        <f>C108*I108</f>
        <v>122.47</v>
      </c>
      <c r="K108" s="124">
        <f>SUM(H108,J108)</f>
        <v>214.97</v>
      </c>
      <c r="L108" s="123">
        <f>K108/C108</f>
        <v>5.81</v>
      </c>
      <c r="M108" s="125">
        <f>C108*L108</f>
        <v>214.97</v>
      </c>
      <c r="N108" s="131">
        <v>0</v>
      </c>
      <c r="O108" s="118">
        <f>M108*N108</f>
        <v>0</v>
      </c>
      <c r="P108" s="455"/>
      <c r="Q108" s="455"/>
      <c r="R108" s="455"/>
      <c r="S108" s="455"/>
      <c r="T108" s="62"/>
      <c r="U108" s="103"/>
      <c r="V108" s="103">
        <f>V107/C107</f>
        <v>0.4268115942028986</v>
      </c>
    </row>
    <row r="109" spans="1:24" s="70" customFormat="1" ht="14.25" x14ac:dyDescent="0.2">
      <c r="A109" s="60"/>
      <c r="B109" s="151"/>
      <c r="C109" s="152"/>
      <c r="D109" s="153"/>
      <c r="E109" s="122"/>
      <c r="F109" s="122"/>
      <c r="G109" s="122"/>
      <c r="H109" s="123"/>
      <c r="I109" s="135"/>
      <c r="J109" s="123"/>
      <c r="K109" s="124"/>
      <c r="L109" s="123"/>
      <c r="M109" s="125"/>
      <c r="N109" s="131"/>
      <c r="O109" s="118"/>
      <c r="P109" s="452">
        <f>SUM(M106:M108)</f>
        <v>2596.85</v>
      </c>
      <c r="Q109" s="450">
        <f>P109*SUM($L$115:$L$119)</f>
        <v>246.70075</v>
      </c>
      <c r="R109" s="266"/>
      <c r="S109" s="266"/>
      <c r="T109" s="62"/>
      <c r="U109" s="103"/>
      <c r="V109" s="103"/>
    </row>
    <row r="110" spans="1:24" ht="14.25" x14ac:dyDescent="0.2">
      <c r="A110" s="60"/>
      <c r="B110" s="120"/>
      <c r="C110" s="126"/>
      <c r="D110" s="130"/>
      <c r="E110" s="121"/>
      <c r="F110" s="122"/>
      <c r="G110" s="122"/>
      <c r="H110" s="123"/>
      <c r="I110" s="123"/>
      <c r="J110" s="123"/>
      <c r="K110" s="124"/>
      <c r="L110" s="123"/>
      <c r="M110" s="125"/>
      <c r="N110" s="119"/>
      <c r="O110" s="118"/>
      <c r="P110" s="451">
        <f>P109/$M$112</f>
        <v>2.8120402557555942E-2</v>
      </c>
      <c r="Q110" s="452">
        <f>P110*$M$123</f>
        <v>66.688167374301443</v>
      </c>
      <c r="R110" s="452">
        <f>SUM(P109,Q109,Q110)</f>
        <v>2910.2389173743013</v>
      </c>
      <c r="S110" s="452">
        <f>R110*1.08</f>
        <v>3143.0580307642458</v>
      </c>
      <c r="T110" s="62"/>
      <c r="U110" s="17"/>
      <c r="V110" s="17"/>
      <c r="W110" s="12">
        <f>SUM(C101,C88,C75,C62,C49,C37,C18)</f>
        <v>104</v>
      </c>
    </row>
    <row r="111" spans="1:24" ht="24" customHeight="1" x14ac:dyDescent="0.2">
      <c r="A111" s="29"/>
      <c r="B111" s="30"/>
      <c r="C111" s="31"/>
      <c r="D111" s="32"/>
      <c r="E111" s="32"/>
      <c r="F111" s="32">
        <f>SUM(F13:F110)</f>
        <v>1054.0099999999998</v>
      </c>
      <c r="G111" s="32"/>
      <c r="H111" s="83">
        <f>SUM(H13:H110)</f>
        <v>52700.5</v>
      </c>
      <c r="I111" s="32"/>
      <c r="J111" s="75">
        <f>SUM(J13:J110)</f>
        <v>39647.039999999986</v>
      </c>
      <c r="K111" s="32"/>
      <c r="L111" s="32"/>
      <c r="M111" s="66"/>
      <c r="N111" s="86"/>
      <c r="O111" s="96"/>
      <c r="P111" s="455"/>
      <c r="Q111" s="455"/>
      <c r="R111" s="452">
        <f>SUM(R16:R110)</f>
        <v>103492.0788</v>
      </c>
      <c r="S111" s="452">
        <f>SUM(S16:S110)</f>
        <v>111771.44510400003</v>
      </c>
      <c r="T111" s="62"/>
      <c r="U111" s="17"/>
      <c r="V111" s="17"/>
    </row>
    <row r="112" spans="1:24" ht="15" customHeight="1" x14ac:dyDescent="0.2">
      <c r="A112" s="13"/>
      <c r="B112" s="27" t="s">
        <v>16</v>
      </c>
      <c r="C112" s="23"/>
      <c r="D112" s="24"/>
      <c r="E112" s="24"/>
      <c r="F112" s="24"/>
      <c r="G112" s="24"/>
      <c r="H112" s="24"/>
      <c r="I112" s="24"/>
      <c r="J112" s="24"/>
      <c r="K112" s="24"/>
      <c r="L112" s="24"/>
      <c r="M112" s="25">
        <f>SUM(M13:M110)</f>
        <v>92347.540000000008</v>
      </c>
      <c r="N112" s="92"/>
      <c r="O112" s="95">
        <f>SUM(O13:O110)</f>
        <v>3770.5050000000001</v>
      </c>
      <c r="P112" s="456"/>
      <c r="Q112" s="456"/>
      <c r="R112" s="456"/>
      <c r="S112" s="456"/>
      <c r="T112" s="62"/>
      <c r="U112" s="17"/>
      <c r="V112" s="17"/>
      <c r="X112" s="12">
        <f>SUM(C96,C83,C70,C57,C44,C31,C24)</f>
        <v>339</v>
      </c>
    </row>
    <row r="113" spans="1:24" x14ac:dyDescent="0.2">
      <c r="A113" s="11"/>
      <c r="B113" s="34" t="s">
        <v>12</v>
      </c>
      <c r="C113" s="23"/>
      <c r="D113" s="35"/>
      <c r="E113" s="35"/>
      <c r="F113" s="35"/>
      <c r="G113" s="35"/>
      <c r="H113" s="35"/>
      <c r="I113" s="35"/>
      <c r="J113" s="35"/>
      <c r="K113" s="35"/>
      <c r="L113" s="35"/>
      <c r="M113" s="25"/>
      <c r="N113" s="92"/>
      <c r="O113" s="95"/>
      <c r="P113" s="456"/>
      <c r="Q113" s="456"/>
      <c r="R113" s="456"/>
      <c r="S113" s="456"/>
      <c r="T113" s="62"/>
      <c r="U113" s="17"/>
      <c r="V113" s="17"/>
    </row>
    <row r="114" spans="1:24" ht="12.75" customHeight="1" x14ac:dyDescent="0.2">
      <c r="A114" s="11"/>
      <c r="B114" s="36"/>
      <c r="C114" s="23"/>
      <c r="D114" s="35"/>
      <c r="E114" s="35"/>
      <c r="F114" s="35"/>
      <c r="G114" s="35"/>
      <c r="H114" s="35"/>
      <c r="I114" s="35"/>
      <c r="J114" s="35"/>
      <c r="K114" s="35"/>
      <c r="L114" s="35"/>
      <c r="M114" s="25"/>
      <c r="N114" s="92"/>
      <c r="O114" s="95"/>
      <c r="P114" s="456"/>
      <c r="Q114" s="456"/>
      <c r="R114" s="456"/>
      <c r="S114" s="456"/>
      <c r="T114" s="17"/>
      <c r="U114" s="17"/>
      <c r="V114" s="17"/>
    </row>
    <row r="115" spans="1:24" ht="12.75" customHeight="1" x14ac:dyDescent="0.2">
      <c r="A115" s="13"/>
      <c r="B115" s="11" t="s">
        <v>8</v>
      </c>
      <c r="C115" s="23"/>
      <c r="D115" s="35" t="s">
        <v>5</v>
      </c>
      <c r="E115" s="35"/>
      <c r="F115" s="35"/>
      <c r="G115" s="35"/>
      <c r="H115" s="35"/>
      <c r="I115" s="35"/>
      <c r="J115" s="35"/>
      <c r="K115" s="35"/>
      <c r="L115" s="76">
        <v>0.06</v>
      </c>
      <c r="M115" s="81">
        <f>M112*L115</f>
        <v>5540.8524000000007</v>
      </c>
      <c r="N115" s="156"/>
      <c r="O115" s="95">
        <f>($O$112/$M$112)*M115</f>
        <v>226.23030000000003</v>
      </c>
      <c r="P115" s="456"/>
      <c r="Q115" s="456"/>
      <c r="R115" s="456"/>
      <c r="S115" s="456"/>
      <c r="T115" s="17"/>
      <c r="X115" s="12">
        <f>SUM(C94,C81,C68,C55,C42,C29,C22)</f>
        <v>1425</v>
      </c>
    </row>
    <row r="116" spans="1:24" ht="12.75" customHeight="1" x14ac:dyDescent="0.2">
      <c r="A116" s="37"/>
      <c r="B116" s="11"/>
      <c r="C116" s="23"/>
      <c r="D116" s="35"/>
      <c r="E116" s="35"/>
      <c r="F116" s="35"/>
      <c r="G116" s="35"/>
      <c r="H116" s="35"/>
      <c r="I116" s="35"/>
      <c r="J116" s="35"/>
      <c r="K116" s="35"/>
      <c r="L116" s="35"/>
      <c r="M116" s="25"/>
      <c r="N116" s="92"/>
      <c r="O116" s="95"/>
      <c r="P116" s="456"/>
      <c r="Q116" s="456"/>
      <c r="R116" s="456"/>
      <c r="S116" s="456"/>
      <c r="T116" s="17"/>
    </row>
    <row r="117" spans="1:24" s="41" customFormat="1" x14ac:dyDescent="0.2">
      <c r="A117" s="13"/>
      <c r="B117" s="38" t="s">
        <v>9</v>
      </c>
      <c r="C117" s="39"/>
      <c r="D117" s="40" t="s">
        <v>5</v>
      </c>
      <c r="E117" s="40"/>
      <c r="F117" s="40"/>
      <c r="G117" s="40"/>
      <c r="H117" s="40"/>
      <c r="I117" s="40"/>
      <c r="J117" s="40"/>
      <c r="K117" s="40"/>
      <c r="L117" s="76">
        <v>0.03</v>
      </c>
      <c r="M117" s="33">
        <f>M112*L117</f>
        <v>2770.4262000000003</v>
      </c>
      <c r="N117" s="92"/>
      <c r="O117" s="95">
        <f t="shared" ref="O117:O123" si="0">($O$112/$M$112)*M117</f>
        <v>113.11515000000001</v>
      </c>
      <c r="P117" s="456"/>
      <c r="Q117" s="456"/>
      <c r="R117" s="456"/>
      <c r="S117" s="456"/>
      <c r="V117" s="330">
        <f>SUM(M101,M96,M88,M83,M75,M70,M62,M57,M49,M44,M37,M31,M24,M18)</f>
        <v>12182.5</v>
      </c>
    </row>
    <row r="118" spans="1:24" s="41" customFormat="1" x14ac:dyDescent="0.2">
      <c r="A118" s="13"/>
      <c r="B118" s="38"/>
      <c r="C118" s="39"/>
      <c r="D118" s="40"/>
      <c r="E118" s="40"/>
      <c r="F118" s="40"/>
      <c r="G118" s="40"/>
      <c r="H118" s="40"/>
      <c r="I118" s="40"/>
      <c r="J118" s="40"/>
      <c r="K118" s="40"/>
      <c r="L118" s="40"/>
      <c r="M118" s="33"/>
      <c r="N118" s="92"/>
      <c r="O118" s="95"/>
      <c r="P118" s="456"/>
      <c r="Q118" s="456"/>
      <c r="R118" s="456"/>
      <c r="S118" s="456"/>
    </row>
    <row r="119" spans="1:24" s="41" customFormat="1" x14ac:dyDescent="0.2">
      <c r="A119" s="13"/>
      <c r="B119" s="38" t="s">
        <v>10</v>
      </c>
      <c r="C119" s="39"/>
      <c r="D119" s="40" t="s">
        <v>5</v>
      </c>
      <c r="E119" s="40"/>
      <c r="F119" s="40"/>
      <c r="G119" s="40"/>
      <c r="H119" s="40"/>
      <c r="I119" s="40"/>
      <c r="J119" s="40"/>
      <c r="K119" s="40"/>
      <c r="L119" s="76">
        <v>5.0000000000000001E-3</v>
      </c>
      <c r="M119" s="33">
        <f>M112*L119</f>
        <v>461.73770000000007</v>
      </c>
      <c r="N119" s="92"/>
      <c r="O119" s="95">
        <f t="shared" si="0"/>
        <v>18.852525000000004</v>
      </c>
      <c r="P119" s="456"/>
      <c r="Q119" s="456"/>
      <c r="R119" s="456"/>
      <c r="S119" s="456"/>
    </row>
    <row r="120" spans="1:24" s="41" customFormat="1" x14ac:dyDescent="0.2">
      <c r="A120" s="13"/>
      <c r="B120" s="77"/>
      <c r="C120" s="78"/>
      <c r="D120" s="79"/>
      <c r="E120" s="79"/>
      <c r="F120" s="79"/>
      <c r="G120" s="79"/>
      <c r="H120" s="79"/>
      <c r="I120" s="79"/>
      <c r="J120" s="79"/>
      <c r="K120" s="79"/>
      <c r="L120" s="79"/>
      <c r="M120" s="82"/>
      <c r="N120" s="92"/>
      <c r="O120" s="95"/>
      <c r="P120" s="456"/>
      <c r="Q120" s="456"/>
      <c r="R120" s="456"/>
      <c r="S120" s="456"/>
    </row>
    <row r="121" spans="1:24" s="41" customFormat="1" x14ac:dyDescent="0.2">
      <c r="A121" s="28"/>
      <c r="B121" s="129" t="s">
        <v>250</v>
      </c>
      <c r="C121" s="78"/>
      <c r="D121" s="79" t="s">
        <v>5</v>
      </c>
      <c r="E121" s="79"/>
      <c r="F121" s="79"/>
      <c r="G121" s="79"/>
      <c r="H121" s="79"/>
      <c r="I121" s="79"/>
      <c r="J121" s="79"/>
      <c r="K121" s="79"/>
      <c r="L121" s="80"/>
      <c r="M121" s="82"/>
      <c r="N121" s="92"/>
      <c r="O121" s="95"/>
      <c r="P121" s="456"/>
      <c r="Q121" s="456"/>
      <c r="R121" s="456"/>
      <c r="S121" s="456"/>
    </row>
    <row r="122" spans="1:24" s="41" customFormat="1" x14ac:dyDescent="0.2">
      <c r="A122" s="28"/>
      <c r="B122" s="77"/>
      <c r="C122" s="78"/>
      <c r="D122" s="79"/>
      <c r="E122" s="79"/>
      <c r="F122" s="79"/>
      <c r="G122" s="79"/>
      <c r="H122" s="79"/>
      <c r="I122" s="79"/>
      <c r="J122" s="79"/>
      <c r="K122" s="79"/>
      <c r="L122" s="79"/>
      <c r="M122" s="82"/>
      <c r="N122" s="92"/>
      <c r="O122" s="95"/>
      <c r="P122" s="456"/>
      <c r="Q122" s="456"/>
      <c r="R122" s="456"/>
      <c r="S122" s="456"/>
    </row>
    <row r="123" spans="1:24" s="41" customFormat="1" x14ac:dyDescent="0.2">
      <c r="A123" s="28"/>
      <c r="B123" s="147" t="s">
        <v>251</v>
      </c>
      <c r="C123" s="78"/>
      <c r="D123" s="79" t="s">
        <v>5</v>
      </c>
      <c r="E123" s="79"/>
      <c r="F123" s="79"/>
      <c r="G123" s="79"/>
      <c r="H123" s="79"/>
      <c r="I123" s="79"/>
      <c r="J123" s="79"/>
      <c r="K123" s="79"/>
      <c r="L123" s="80">
        <f>M123/M112</f>
        <v>2.5680407945896547E-2</v>
      </c>
      <c r="M123" s="148">
        <f>I134</f>
        <v>2371.5224999999996</v>
      </c>
      <c r="N123" s="92"/>
      <c r="O123" s="95">
        <f t="shared" si="0"/>
        <v>96.828106562042677</v>
      </c>
      <c r="P123" s="456"/>
      <c r="Q123" s="456"/>
      <c r="R123" s="456"/>
      <c r="S123" s="456"/>
    </row>
    <row r="124" spans="1:24" s="41" customFormat="1" x14ac:dyDescent="0.2">
      <c r="A124" s="13"/>
      <c r="B124" s="77"/>
      <c r="C124" s="78"/>
      <c r="D124" s="79"/>
      <c r="E124" s="79"/>
      <c r="F124" s="79"/>
      <c r="G124" s="79"/>
      <c r="H124" s="79"/>
      <c r="I124" s="79"/>
      <c r="J124" s="79"/>
      <c r="K124" s="79"/>
      <c r="L124" s="79"/>
      <c r="M124" s="33"/>
      <c r="N124" s="92"/>
      <c r="O124" s="97"/>
      <c r="P124" s="457"/>
      <c r="Q124" s="457"/>
      <c r="R124" s="457"/>
      <c r="S124" s="457"/>
    </row>
    <row r="125" spans="1:24" x14ac:dyDescent="0.2">
      <c r="A125" s="42"/>
      <c r="B125" s="43" t="s">
        <v>17</v>
      </c>
      <c r="C125" s="44"/>
      <c r="D125" s="45"/>
      <c r="E125" s="45"/>
      <c r="F125" s="45"/>
      <c r="G125" s="45"/>
      <c r="H125" s="45"/>
      <c r="I125" s="45"/>
      <c r="J125" s="45"/>
      <c r="K125" s="45"/>
      <c r="L125" s="45"/>
      <c r="M125" s="67">
        <f>SUM(M112:M124)</f>
        <v>103492.07880000002</v>
      </c>
      <c r="N125" s="93"/>
      <c r="O125" s="98">
        <f>SUM(O112:O124)</f>
        <v>4225.5310815620433</v>
      </c>
      <c r="P125" s="458"/>
      <c r="Q125" s="458"/>
      <c r="R125" s="458"/>
      <c r="S125" s="458"/>
      <c r="T125" s="17"/>
    </row>
    <row r="126" spans="1:24" x14ac:dyDescent="0.2">
      <c r="A126" s="13"/>
      <c r="B126" s="18"/>
      <c r="C126" s="23"/>
      <c r="D126" s="35"/>
      <c r="E126" s="35"/>
      <c r="F126" s="35"/>
      <c r="G126" s="35"/>
      <c r="H126" s="35"/>
      <c r="I126" s="35"/>
      <c r="J126" s="35"/>
      <c r="K126" s="35"/>
      <c r="L126" s="35"/>
      <c r="M126" s="25"/>
      <c r="N126" s="87"/>
      <c r="O126" s="99"/>
      <c r="P126" s="457"/>
      <c r="Q126" s="457"/>
      <c r="R126" s="457"/>
      <c r="S126" s="457"/>
      <c r="T126" s="17"/>
    </row>
    <row r="127" spans="1:24" x14ac:dyDescent="0.2">
      <c r="A127" s="13"/>
      <c r="B127" s="18" t="s">
        <v>11</v>
      </c>
      <c r="C127" s="23"/>
      <c r="D127" s="35"/>
      <c r="E127" s="35"/>
      <c r="F127" s="35"/>
      <c r="G127" s="35"/>
      <c r="H127" s="35"/>
      <c r="I127" s="35"/>
      <c r="J127" s="35"/>
      <c r="K127" s="35"/>
      <c r="L127" s="76">
        <v>0.08</v>
      </c>
      <c r="M127" s="25">
        <f>M125*L127</f>
        <v>8279.366304000001</v>
      </c>
      <c r="N127" s="87"/>
      <c r="O127" s="99">
        <f>O125/M125*M127</f>
        <v>338.04248652496346</v>
      </c>
      <c r="P127" s="457"/>
      <c r="Q127" s="457"/>
      <c r="R127" s="457"/>
      <c r="S127" s="457"/>
      <c r="T127" s="17"/>
    </row>
    <row r="128" spans="1:24" x14ac:dyDescent="0.2">
      <c r="A128" s="46"/>
      <c r="B128" s="47"/>
      <c r="C128" s="48"/>
      <c r="D128" s="48"/>
      <c r="E128" s="48"/>
      <c r="F128" s="48"/>
      <c r="G128" s="48"/>
      <c r="H128" s="48"/>
      <c r="I128" s="48"/>
      <c r="J128" s="48"/>
      <c r="K128" s="48"/>
      <c r="L128" s="48"/>
      <c r="M128" s="68"/>
      <c r="N128" s="87"/>
      <c r="O128" s="99"/>
      <c r="P128" s="457"/>
      <c r="Q128" s="457"/>
      <c r="R128" s="457"/>
      <c r="S128" s="457"/>
      <c r="T128" s="17"/>
    </row>
    <row r="129" spans="1:20" ht="13.5" customHeight="1" x14ac:dyDescent="0.2">
      <c r="A129" s="49"/>
      <c r="B129" s="55" t="s">
        <v>144</v>
      </c>
      <c r="C129" s="50"/>
      <c r="D129" s="51"/>
      <c r="E129" s="51"/>
      <c r="F129" s="51"/>
      <c r="G129" s="51"/>
      <c r="H129" s="51"/>
      <c r="I129" s="51"/>
      <c r="J129" s="51"/>
      <c r="K129" s="51"/>
      <c r="L129" s="51"/>
      <c r="M129" s="69">
        <f>ROUNDUP(SUM(M125:M128),0)</f>
        <v>111772</v>
      </c>
      <c r="N129" s="133">
        <f>O129/M129</f>
        <v>4.0829309380587327E-2</v>
      </c>
      <c r="O129" s="102">
        <f>SUM(O125:O128)</f>
        <v>4563.5735680870066</v>
      </c>
      <c r="P129" s="459"/>
      <c r="Q129" s="459"/>
      <c r="R129" s="459"/>
      <c r="S129" s="459"/>
      <c r="T129" s="17"/>
    </row>
    <row r="130" spans="1:20" x14ac:dyDescent="0.2">
      <c r="M130" s="52"/>
      <c r="N130" s="88"/>
      <c r="O130" s="100"/>
      <c r="P130" s="100"/>
      <c r="Q130" s="100"/>
      <c r="R130" s="100"/>
      <c r="S130" s="100"/>
      <c r="T130" s="17"/>
    </row>
    <row r="131" spans="1:20" x14ac:dyDescent="0.2">
      <c r="G131" s="297" t="s">
        <v>339</v>
      </c>
      <c r="H131" s="298"/>
      <c r="I131" s="298"/>
      <c r="J131" s="299"/>
      <c r="M131" s="52"/>
      <c r="N131" s="88"/>
      <c r="O131" s="100"/>
      <c r="P131" s="100"/>
      <c r="Q131" s="100"/>
      <c r="R131" s="100"/>
      <c r="S131" s="100"/>
      <c r="T131" s="17"/>
    </row>
    <row r="132" spans="1:20" x14ac:dyDescent="0.2">
      <c r="G132" s="300"/>
      <c r="H132" s="301" t="s">
        <v>338</v>
      </c>
      <c r="I132" s="302"/>
      <c r="J132" s="303"/>
      <c r="M132" s="52"/>
      <c r="N132" s="88"/>
      <c r="O132" s="100"/>
      <c r="P132" s="100"/>
      <c r="Q132" s="100"/>
      <c r="R132" s="100"/>
      <c r="S132" s="100"/>
      <c r="T132" s="17"/>
    </row>
    <row r="133" spans="1:20" x14ac:dyDescent="0.2">
      <c r="G133" s="300">
        <f>F111/8</f>
        <v>131.75124999999997</v>
      </c>
      <c r="H133" s="308">
        <v>1</v>
      </c>
      <c r="I133" s="302"/>
      <c r="J133" s="303"/>
      <c r="M133" s="52"/>
      <c r="N133" s="88"/>
      <c r="O133" s="100"/>
      <c r="P133" s="100"/>
      <c r="Q133" s="100"/>
      <c r="R133" s="100"/>
      <c r="S133" s="100"/>
      <c r="T133" s="17"/>
    </row>
    <row r="134" spans="1:20" x14ac:dyDescent="0.2">
      <c r="G134" s="300">
        <f>G133/H133</f>
        <v>131.75124999999997</v>
      </c>
      <c r="H134" s="304">
        <v>18</v>
      </c>
      <c r="I134" s="304">
        <f>G134*H134</f>
        <v>2371.5224999999996</v>
      </c>
      <c r="J134" s="303"/>
      <c r="M134" s="52"/>
      <c r="N134" s="88"/>
      <c r="O134" s="100"/>
      <c r="P134" s="100"/>
      <c r="Q134" s="100"/>
      <c r="R134" s="100"/>
      <c r="S134" s="100"/>
      <c r="T134" s="17"/>
    </row>
    <row r="135" spans="1:20" x14ac:dyDescent="0.2">
      <c r="G135" s="300"/>
      <c r="H135" s="302"/>
      <c r="I135" s="302"/>
      <c r="J135" s="303"/>
      <c r="M135" s="52"/>
      <c r="N135" s="88"/>
      <c r="O135" s="100"/>
      <c r="P135" s="100"/>
      <c r="Q135" s="100"/>
      <c r="R135" s="100"/>
      <c r="S135" s="100"/>
      <c r="T135" s="17"/>
    </row>
    <row r="136" spans="1:20" x14ac:dyDescent="0.2">
      <c r="G136" s="305"/>
      <c r="H136" s="306"/>
      <c r="I136" s="306"/>
      <c r="J136" s="307"/>
      <c r="M136" s="52"/>
      <c r="N136" s="88"/>
      <c r="O136" s="100"/>
      <c r="P136" s="100"/>
      <c r="Q136" s="100"/>
      <c r="R136" s="100"/>
      <c r="S136" s="100"/>
      <c r="T136" s="17"/>
    </row>
    <row r="137" spans="1:20" x14ac:dyDescent="0.2">
      <c r="M137" s="52"/>
      <c r="N137" s="88"/>
      <c r="O137" s="100"/>
      <c r="P137" s="100"/>
      <c r="Q137" s="100"/>
      <c r="R137" s="100"/>
      <c r="S137" s="100"/>
      <c r="T137" s="17"/>
    </row>
    <row r="138" spans="1:20" x14ac:dyDescent="0.2">
      <c r="M138" s="52"/>
      <c r="N138" s="88"/>
      <c r="O138" s="100"/>
      <c r="P138" s="100"/>
      <c r="Q138" s="100"/>
      <c r="R138" s="100"/>
      <c r="S138" s="100"/>
      <c r="T138" s="17"/>
    </row>
    <row r="139" spans="1:20" x14ac:dyDescent="0.2">
      <c r="M139" s="52"/>
      <c r="N139" s="88"/>
      <c r="O139" s="100"/>
      <c r="P139" s="100"/>
      <c r="Q139" s="100"/>
      <c r="R139" s="100"/>
      <c r="S139" s="100"/>
      <c r="T139" s="17"/>
    </row>
    <row r="140" spans="1:20" x14ac:dyDescent="0.2">
      <c r="F140" s="160"/>
      <c r="G140" s="160"/>
      <c r="H140" s="161"/>
      <c r="I140" s="162"/>
      <c r="M140" s="52"/>
      <c r="N140" s="88"/>
      <c r="O140" s="101"/>
      <c r="P140" s="101"/>
      <c r="Q140" s="101"/>
      <c r="R140" s="101"/>
      <c r="S140" s="101"/>
      <c r="T140" s="17"/>
    </row>
    <row r="141" spans="1:20" x14ac:dyDescent="0.2">
      <c r="F141" s="160"/>
      <c r="G141" s="160"/>
      <c r="H141" s="162"/>
      <c r="I141" s="162"/>
      <c r="M141" s="52"/>
      <c r="N141" s="88"/>
      <c r="O141" s="101"/>
      <c r="P141" s="101"/>
      <c r="Q141" s="101"/>
      <c r="R141" s="101"/>
      <c r="S141" s="101"/>
      <c r="T141" s="17"/>
    </row>
    <row r="142" spans="1:20" x14ac:dyDescent="0.2">
      <c r="H142" s="58"/>
      <c r="M142" s="52"/>
      <c r="N142" s="88"/>
      <c r="O142" s="101"/>
      <c r="P142" s="101"/>
      <c r="Q142" s="101"/>
      <c r="R142" s="101"/>
      <c r="S142" s="101"/>
      <c r="T142" s="17"/>
    </row>
    <row r="143" spans="1:20" ht="15" x14ac:dyDescent="0.25">
      <c r="B143" s="106" t="s">
        <v>29</v>
      </c>
      <c r="C143" s="107"/>
      <c r="D143" s="107"/>
      <c r="E143" s="107"/>
      <c r="F143" s="107"/>
      <c r="I143" s="106" t="s">
        <v>29</v>
      </c>
      <c r="J143" s="107"/>
      <c r="K143" s="107"/>
      <c r="L143" s="107"/>
      <c r="M143" s="107"/>
      <c r="O143" s="101"/>
      <c r="P143" s="101"/>
      <c r="Q143" s="101"/>
      <c r="R143" s="101"/>
      <c r="S143" s="101"/>
    </row>
    <row r="144" spans="1:20" x14ac:dyDescent="0.2">
      <c r="B144" s="108" t="s">
        <v>42</v>
      </c>
      <c r="C144" s="109"/>
      <c r="D144" s="104"/>
      <c r="E144" s="104"/>
      <c r="F144" s="104"/>
      <c r="I144" s="108" t="s">
        <v>30</v>
      </c>
      <c r="J144" s="109"/>
      <c r="K144" s="104"/>
      <c r="L144" s="104"/>
      <c r="M144" s="104"/>
      <c r="O144" s="101"/>
      <c r="P144" s="101"/>
      <c r="Q144" s="101"/>
      <c r="R144" s="101"/>
      <c r="S144" s="101"/>
    </row>
    <row r="145" spans="2:19" ht="15" x14ac:dyDescent="0.25">
      <c r="B145" s="108" t="s">
        <v>31</v>
      </c>
      <c r="C145" s="109" t="s">
        <v>32</v>
      </c>
      <c r="D145" s="104" t="s">
        <v>33</v>
      </c>
      <c r="E145" s="104" t="s">
        <v>34</v>
      </c>
      <c r="F145" s="107"/>
      <c r="I145" s="108" t="s">
        <v>31</v>
      </c>
      <c r="J145" s="109" t="s">
        <v>32</v>
      </c>
      <c r="K145" s="104" t="s">
        <v>33</v>
      </c>
      <c r="L145" s="104" t="s">
        <v>34</v>
      </c>
      <c r="M145" s="107"/>
      <c r="O145" s="101"/>
      <c r="P145" s="101"/>
      <c r="Q145" s="101"/>
      <c r="R145" s="101"/>
      <c r="S145" s="101"/>
    </row>
    <row r="146" spans="2:19" x14ac:dyDescent="0.2">
      <c r="B146" s="110">
        <v>1</v>
      </c>
      <c r="C146" s="109">
        <v>55</v>
      </c>
      <c r="D146" s="104">
        <f>B146*C146</f>
        <v>55</v>
      </c>
      <c r="E146" s="104">
        <f>D146*F146</f>
        <v>110</v>
      </c>
      <c r="F146" s="111">
        <v>2</v>
      </c>
      <c r="I146" s="110">
        <v>4</v>
      </c>
      <c r="J146" s="109">
        <v>55</v>
      </c>
      <c r="K146" s="104">
        <f>I146*J146</f>
        <v>220</v>
      </c>
      <c r="L146" s="104">
        <f>K146*M146</f>
        <v>440</v>
      </c>
      <c r="M146" s="111">
        <v>2</v>
      </c>
      <c r="O146" s="101"/>
      <c r="P146" s="101"/>
      <c r="Q146" s="101"/>
      <c r="R146" s="101"/>
      <c r="S146" s="101"/>
    </row>
    <row r="147" spans="2:19" x14ac:dyDescent="0.2">
      <c r="B147" s="108" t="s">
        <v>35</v>
      </c>
      <c r="C147" s="109"/>
      <c r="D147" s="104"/>
      <c r="E147" s="104" t="s">
        <v>36</v>
      </c>
      <c r="F147" s="104"/>
      <c r="I147" s="108" t="s">
        <v>35</v>
      </c>
      <c r="J147" s="109"/>
      <c r="K147" s="104"/>
      <c r="L147" s="104" t="s">
        <v>36</v>
      </c>
      <c r="M147" s="104"/>
      <c r="O147" s="101"/>
      <c r="P147" s="101"/>
      <c r="Q147" s="101"/>
      <c r="R147" s="101"/>
      <c r="S147" s="101"/>
    </row>
    <row r="148" spans="2:19" ht="15" x14ac:dyDescent="0.25">
      <c r="B148" s="108">
        <v>0.7</v>
      </c>
      <c r="C148" s="112"/>
      <c r="D148" s="107"/>
      <c r="E148" s="104">
        <f>B148*C148</f>
        <v>0</v>
      </c>
      <c r="F148" s="104"/>
      <c r="I148" s="108">
        <v>0.7</v>
      </c>
      <c r="J148" s="112">
        <v>310</v>
      </c>
      <c r="K148" s="107"/>
      <c r="L148" s="104">
        <f>I148*J148</f>
        <v>217</v>
      </c>
      <c r="M148" s="104"/>
      <c r="O148" s="101"/>
      <c r="P148" s="101"/>
      <c r="Q148" s="101"/>
      <c r="R148" s="101"/>
      <c r="S148" s="101"/>
    </row>
    <row r="149" spans="2:19" x14ac:dyDescent="0.2">
      <c r="B149" s="108" t="s">
        <v>37</v>
      </c>
      <c r="C149" s="109"/>
      <c r="D149" s="104"/>
      <c r="E149" s="104">
        <f>SUM(E146:E148)</f>
        <v>110</v>
      </c>
      <c r="F149" s="104"/>
      <c r="I149" s="108" t="s">
        <v>37</v>
      </c>
      <c r="J149" s="109"/>
      <c r="K149" s="104"/>
      <c r="L149" s="104">
        <f>SUM(L146:L148)</f>
        <v>657</v>
      </c>
      <c r="M149" s="104"/>
      <c r="O149" s="101"/>
      <c r="P149" s="101"/>
      <c r="Q149" s="101"/>
      <c r="R149" s="101"/>
      <c r="S149" s="101"/>
    </row>
    <row r="150" spans="2:19" x14ac:dyDescent="0.2">
      <c r="B150" s="110">
        <v>2</v>
      </c>
      <c r="C150" s="109"/>
      <c r="D150" s="104"/>
      <c r="E150" s="104">
        <f>B150*E149</f>
        <v>220</v>
      </c>
      <c r="F150" s="104"/>
      <c r="I150" s="110">
        <v>1</v>
      </c>
      <c r="J150" s="109"/>
      <c r="K150" s="104"/>
      <c r="L150" s="104">
        <f>I150*L149</f>
        <v>657</v>
      </c>
      <c r="M150" s="104"/>
      <c r="O150" s="101"/>
      <c r="P150" s="101"/>
      <c r="Q150" s="101"/>
      <c r="R150" s="101"/>
      <c r="S150" s="101"/>
    </row>
    <row r="151" spans="2:19" x14ac:dyDescent="0.2">
      <c r="B151" s="108" t="s">
        <v>38</v>
      </c>
      <c r="C151" s="109" t="s">
        <v>39</v>
      </c>
      <c r="D151" s="104"/>
      <c r="E151" s="104" t="s">
        <v>40</v>
      </c>
      <c r="F151" s="104"/>
      <c r="I151" s="108" t="s">
        <v>38</v>
      </c>
      <c r="J151" s="109" t="s">
        <v>39</v>
      </c>
      <c r="K151" s="104"/>
      <c r="L151" s="104" t="s">
        <v>40</v>
      </c>
      <c r="M151" s="104"/>
    </row>
    <row r="152" spans="2:19" x14ac:dyDescent="0.2">
      <c r="B152" s="110"/>
      <c r="C152" s="112"/>
      <c r="D152" s="104">
        <f>B152*C152</f>
        <v>0</v>
      </c>
      <c r="E152" s="104">
        <f>D152*F146</f>
        <v>0</v>
      </c>
      <c r="F152" s="104"/>
      <c r="I152" s="110">
        <v>125</v>
      </c>
      <c r="J152" s="112">
        <v>4</v>
      </c>
      <c r="K152" s="104">
        <f>I152*J152</f>
        <v>500</v>
      </c>
      <c r="L152" s="104">
        <f>K152*M146</f>
        <v>1000</v>
      </c>
      <c r="M152" s="104"/>
    </row>
    <row r="153" spans="2:19" x14ac:dyDescent="0.2">
      <c r="B153" s="108"/>
      <c r="C153" s="109"/>
      <c r="D153" s="104"/>
      <c r="E153" s="105">
        <f>SUM(E150:E152)</f>
        <v>220</v>
      </c>
      <c r="F153" s="104"/>
      <c r="I153" s="108"/>
      <c r="J153" s="109"/>
      <c r="K153" s="104"/>
      <c r="L153" s="105">
        <f>SUM(L150:L152)</f>
        <v>1657</v>
      </c>
      <c r="M153" s="104"/>
    </row>
  </sheetData>
  <pageMargins left="0.7" right="0.7" top="0.75" bottom="0.75" header="0.3" footer="0.3"/>
  <pageSetup paperSize="9" fitToHeight="0" orientation="portrait"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D70DF0-FE83-4660-B369-999136C2CDD0}">
  <dimension ref="A7:AC131"/>
  <sheetViews>
    <sheetView topLeftCell="A127" workbookViewId="0">
      <selection activeCell="A131" sqref="A71:N131"/>
    </sheetView>
  </sheetViews>
  <sheetFormatPr defaultRowHeight="12.75" x14ac:dyDescent="0.2"/>
  <cols>
    <col min="2" max="2" width="35.42578125" bestFit="1" customWidth="1"/>
    <col min="4" max="4" width="35.42578125" bestFit="1" customWidth="1"/>
    <col min="5" max="5" width="16.5703125" customWidth="1"/>
    <col min="6" max="6" width="19.28515625" bestFit="1" customWidth="1"/>
    <col min="17" max="17" width="35.42578125" bestFit="1" customWidth="1"/>
  </cols>
  <sheetData>
    <row r="7" spans="3:26" x14ac:dyDescent="0.2">
      <c r="C7" s="269"/>
      <c r="D7" s="269"/>
      <c r="E7" s="269"/>
      <c r="F7" s="269"/>
      <c r="G7" s="269"/>
      <c r="H7" s="269"/>
      <c r="I7" s="269"/>
      <c r="J7" s="269"/>
      <c r="K7" s="269"/>
      <c r="L7" s="269"/>
      <c r="M7" s="269"/>
      <c r="P7" s="269"/>
      <c r="Q7" s="269"/>
      <c r="R7" s="269"/>
      <c r="S7" s="269"/>
      <c r="T7" s="269"/>
      <c r="U7" s="269"/>
      <c r="V7" s="269"/>
      <c r="W7" s="269"/>
      <c r="X7" s="269"/>
      <c r="Y7" s="269"/>
      <c r="Z7" s="269"/>
    </row>
    <row r="8" spans="3:26" x14ac:dyDescent="0.2">
      <c r="D8" s="183" t="s">
        <v>281</v>
      </c>
      <c r="E8" s="241">
        <v>0.6</v>
      </c>
      <c r="F8" s="183" t="s">
        <v>282</v>
      </c>
      <c r="G8" s="183" t="s">
        <v>323</v>
      </c>
      <c r="H8" s="176"/>
      <c r="I8" s="176"/>
      <c r="M8" s="287" t="s">
        <v>336</v>
      </c>
      <c r="Q8" s="183" t="s">
        <v>281</v>
      </c>
      <c r="R8" s="241">
        <v>0.6</v>
      </c>
      <c r="S8" s="183" t="s">
        <v>282</v>
      </c>
      <c r="T8" s="183" t="s">
        <v>323</v>
      </c>
      <c r="U8" s="176"/>
      <c r="V8" s="176"/>
      <c r="Z8" s="287" t="s">
        <v>336</v>
      </c>
    </row>
    <row r="9" spans="3:26" x14ac:dyDescent="0.2">
      <c r="D9" s="176"/>
      <c r="E9" s="176"/>
      <c r="F9" s="176"/>
      <c r="G9" s="176"/>
      <c r="H9" s="176"/>
      <c r="I9" s="176"/>
      <c r="Q9" s="176"/>
      <c r="R9" s="176"/>
      <c r="S9" s="176"/>
      <c r="T9" s="176"/>
      <c r="U9" s="176"/>
      <c r="V9" s="176"/>
    </row>
    <row r="10" spans="3:26" ht="15" x14ac:dyDescent="0.25">
      <c r="D10" s="244" t="s">
        <v>219</v>
      </c>
      <c r="E10" s="176"/>
      <c r="F10" s="242" t="s">
        <v>283</v>
      </c>
      <c r="G10" s="242" t="s">
        <v>284</v>
      </c>
      <c r="H10" s="242" t="s">
        <v>285</v>
      </c>
      <c r="I10" s="242" t="s">
        <v>286</v>
      </c>
      <c r="J10" s="243" t="s">
        <v>287</v>
      </c>
      <c r="Q10" s="244" t="s">
        <v>219</v>
      </c>
      <c r="R10" s="176"/>
      <c r="S10" s="242" t="s">
        <v>283</v>
      </c>
      <c r="T10" s="242" t="s">
        <v>284</v>
      </c>
      <c r="U10" s="242" t="s">
        <v>285</v>
      </c>
      <c r="V10" s="242" t="s">
        <v>286</v>
      </c>
      <c r="W10" s="243" t="s">
        <v>287</v>
      </c>
    </row>
    <row r="11" spans="3:26" x14ac:dyDescent="0.2">
      <c r="D11" s="176"/>
      <c r="E11" s="244" t="s">
        <v>220</v>
      </c>
      <c r="F11" s="271">
        <v>29</v>
      </c>
      <c r="G11" s="288">
        <v>3.4</v>
      </c>
      <c r="H11" s="289">
        <f>SUM(F20*G11)</f>
        <v>167.73333333333335</v>
      </c>
      <c r="I11" s="271">
        <f>F11*1</f>
        <v>29</v>
      </c>
      <c r="J11" s="290">
        <f>F11*G11</f>
        <v>98.6</v>
      </c>
      <c r="Q11" s="176"/>
      <c r="R11" s="244" t="s">
        <v>220</v>
      </c>
      <c r="S11" s="271">
        <v>12</v>
      </c>
      <c r="T11" s="288">
        <v>4.2</v>
      </c>
      <c r="U11" s="289">
        <f>SUM(S20*T11)</f>
        <v>88.2</v>
      </c>
      <c r="V11" s="271">
        <f>S11*1</f>
        <v>12</v>
      </c>
      <c r="W11" s="290">
        <f>S11*T11</f>
        <v>50.400000000000006</v>
      </c>
    </row>
    <row r="12" spans="3:26" x14ac:dyDescent="0.2">
      <c r="C12" t="s">
        <v>288</v>
      </c>
      <c r="D12" s="176" t="s">
        <v>289</v>
      </c>
      <c r="E12" s="291">
        <v>7.4</v>
      </c>
      <c r="F12" s="176"/>
      <c r="G12" s="176"/>
      <c r="H12" s="176"/>
      <c r="I12" s="176"/>
      <c r="P12" t="s">
        <v>288</v>
      </c>
      <c r="Q12" s="176" t="s">
        <v>289</v>
      </c>
      <c r="R12" s="291">
        <v>5.9</v>
      </c>
      <c r="S12" s="176"/>
      <c r="T12" s="176"/>
      <c r="U12" s="176"/>
      <c r="V12" s="176"/>
    </row>
    <row r="13" spans="3:26" x14ac:dyDescent="0.2">
      <c r="D13" s="176" t="s">
        <v>290</v>
      </c>
      <c r="E13" s="222">
        <f>H14/H11</f>
        <v>3.7794515103338626</v>
      </c>
      <c r="F13" s="292">
        <v>10.93</v>
      </c>
      <c r="G13" s="176" t="s">
        <v>46</v>
      </c>
      <c r="H13" s="215">
        <f>SUM(F13*F11)</f>
        <v>316.96999999999997</v>
      </c>
      <c r="I13" s="176"/>
      <c r="Q13" s="176" t="s">
        <v>290</v>
      </c>
      <c r="R13" s="222">
        <f>U14/U11</f>
        <v>0.80136054421768699</v>
      </c>
      <c r="S13" s="292">
        <v>5.89</v>
      </c>
      <c r="T13" s="176" t="s">
        <v>46</v>
      </c>
      <c r="U13" s="215">
        <f>SUM(S13*S11)</f>
        <v>70.679999999999993</v>
      </c>
      <c r="V13" s="176"/>
    </row>
    <row r="14" spans="3:26" x14ac:dyDescent="0.2">
      <c r="D14" s="176"/>
      <c r="E14" s="246"/>
      <c r="F14" s="176" t="s">
        <v>291</v>
      </c>
      <c r="G14" s="271">
        <v>2</v>
      </c>
      <c r="H14" s="272">
        <f>G14*H13</f>
        <v>633.93999999999994</v>
      </c>
      <c r="I14" s="176"/>
      <c r="Q14" s="176"/>
      <c r="R14" s="246"/>
      <c r="S14" s="176" t="s">
        <v>291</v>
      </c>
      <c r="T14" s="271">
        <v>1</v>
      </c>
      <c r="U14" s="272">
        <f>T14*U13</f>
        <v>70.679999999999993</v>
      </c>
      <c r="V14" s="176"/>
    </row>
    <row r="15" spans="3:26" x14ac:dyDescent="0.2">
      <c r="D15" s="176"/>
      <c r="F15" s="176"/>
      <c r="G15" s="176"/>
      <c r="H15" s="176"/>
      <c r="I15" s="176"/>
      <c r="Q15" s="176"/>
      <c r="S15" s="176"/>
      <c r="T15" s="176"/>
      <c r="U15" s="176"/>
      <c r="V15" s="176"/>
    </row>
    <row r="16" spans="3:26" x14ac:dyDescent="0.2">
      <c r="D16" s="176" t="s">
        <v>235</v>
      </c>
      <c r="E16" s="246">
        <v>0.09</v>
      </c>
      <c r="F16" s="176"/>
      <c r="G16" s="176"/>
      <c r="H16" s="176"/>
      <c r="I16" s="176"/>
      <c r="Q16" s="176" t="s">
        <v>235</v>
      </c>
      <c r="R16" s="246">
        <v>0.09</v>
      </c>
      <c r="S16" s="176"/>
      <c r="T16" s="176"/>
      <c r="U16" s="176"/>
      <c r="V16" s="176"/>
    </row>
    <row r="17" spans="3:25" x14ac:dyDescent="0.2">
      <c r="D17" s="244" t="s">
        <v>180</v>
      </c>
      <c r="E17" s="206"/>
      <c r="F17" s="176"/>
      <c r="G17" s="176"/>
      <c r="H17" s="176"/>
      <c r="I17" s="176"/>
      <c r="Q17" s="244" t="s">
        <v>180</v>
      </c>
      <c r="R17" s="206"/>
      <c r="S17" s="176"/>
      <c r="T17" s="176"/>
      <c r="U17" s="176"/>
      <c r="V17" s="176"/>
    </row>
    <row r="18" spans="3:25" x14ac:dyDescent="0.2">
      <c r="D18" s="176" t="s">
        <v>292</v>
      </c>
      <c r="E18" s="206"/>
      <c r="F18" s="176"/>
      <c r="G18" s="176"/>
      <c r="H18" s="176"/>
      <c r="I18" s="176"/>
      <c r="Q18" s="176" t="s">
        <v>292</v>
      </c>
      <c r="R18" s="206"/>
      <c r="S18" s="176"/>
      <c r="T18" s="176"/>
      <c r="U18" s="176"/>
      <c r="V18" s="176"/>
    </row>
    <row r="19" spans="3:25" x14ac:dyDescent="0.2">
      <c r="D19" s="183" t="s">
        <v>293</v>
      </c>
      <c r="E19" s="176"/>
      <c r="F19" s="273">
        <f>SUM(F11/E8)</f>
        <v>48.333333333333336</v>
      </c>
      <c r="G19" s="176"/>
      <c r="H19" s="176"/>
      <c r="I19" s="176"/>
      <c r="Q19" s="183" t="s">
        <v>293</v>
      </c>
      <c r="R19" s="176"/>
      <c r="S19" s="273">
        <f>SUM(S11/R8)</f>
        <v>20</v>
      </c>
      <c r="T19" s="176"/>
      <c r="U19" s="176"/>
      <c r="V19" s="176"/>
    </row>
    <row r="20" spans="3:25" x14ac:dyDescent="0.2">
      <c r="D20" s="176" t="s">
        <v>294</v>
      </c>
      <c r="E20" s="206"/>
      <c r="F20" s="200">
        <f>F19+1</f>
        <v>49.333333333333336</v>
      </c>
      <c r="G20" s="176" t="s">
        <v>295</v>
      </c>
      <c r="H20" s="176"/>
      <c r="I20" s="176"/>
      <c r="Q20" s="176" t="s">
        <v>294</v>
      </c>
      <c r="R20" s="206"/>
      <c r="S20" s="200">
        <f>S19+1</f>
        <v>21</v>
      </c>
      <c r="T20" s="176" t="s">
        <v>295</v>
      </c>
      <c r="U20" s="176"/>
      <c r="V20" s="176"/>
    </row>
    <row r="21" spans="3:25" x14ac:dyDescent="0.2">
      <c r="D21" s="183" t="s">
        <v>296</v>
      </c>
      <c r="E21" s="176"/>
      <c r="F21" s="273">
        <f>SUM(F20*4)</f>
        <v>197.33333333333334</v>
      </c>
      <c r="G21" s="176" t="s">
        <v>297</v>
      </c>
      <c r="H21" s="251">
        <v>1.4999999999999999E-2</v>
      </c>
      <c r="I21" s="251"/>
      <c r="Q21" s="183" t="s">
        <v>296</v>
      </c>
      <c r="R21" s="176"/>
      <c r="S21" s="273">
        <f>SUM(S20*4)</f>
        <v>84</v>
      </c>
      <c r="T21" s="176" t="s">
        <v>297</v>
      </c>
      <c r="U21" s="251">
        <v>1.4999999999999999E-2</v>
      </c>
      <c r="V21" s="251"/>
    </row>
    <row r="22" spans="3:25" x14ac:dyDescent="0.2">
      <c r="D22" s="176" t="s">
        <v>298</v>
      </c>
      <c r="E22" s="274">
        <f>SUM(F21*H21)/H11</f>
        <v>1.7647058823529412E-2</v>
      </c>
      <c r="F22" s="275" t="s">
        <v>299</v>
      </c>
      <c r="G22" s="176"/>
      <c r="H22" s="176"/>
      <c r="I22" s="176"/>
      <c r="Q22" s="176" t="s">
        <v>298</v>
      </c>
      <c r="R22" s="274">
        <f>SUM(S21*U21)/U11</f>
        <v>1.4285714285714285E-2</v>
      </c>
      <c r="S22" s="275" t="s">
        <v>299</v>
      </c>
      <c r="T22" s="176"/>
      <c r="U22" s="176"/>
      <c r="V22" s="176"/>
    </row>
    <row r="23" spans="3:25" x14ac:dyDescent="0.2">
      <c r="D23" s="176"/>
      <c r="E23" s="244"/>
      <c r="F23" s="176"/>
      <c r="G23" s="176"/>
      <c r="H23" s="176"/>
      <c r="I23" s="176"/>
      <c r="Q23" s="176"/>
      <c r="R23" s="244"/>
      <c r="S23" s="176"/>
      <c r="T23" s="176"/>
      <c r="U23" s="176"/>
      <c r="V23" s="176"/>
    </row>
    <row r="24" spans="3:25" x14ac:dyDescent="0.2">
      <c r="D24" s="176"/>
      <c r="E24" s="202">
        <f>SUM(E12:E23)</f>
        <v>11.287098569157392</v>
      </c>
      <c r="F24" s="176"/>
      <c r="G24" s="176"/>
      <c r="H24" s="176"/>
      <c r="I24" s="176"/>
      <c r="Q24" s="176"/>
      <c r="R24" s="202">
        <f>SUM(R12:R23)</f>
        <v>6.8056462585034012</v>
      </c>
      <c r="S24" s="176"/>
      <c r="T24" s="176"/>
      <c r="U24" s="176"/>
      <c r="V24" s="176"/>
    </row>
    <row r="25" spans="3:25" x14ac:dyDescent="0.2">
      <c r="D25" s="176" t="s">
        <v>236</v>
      </c>
      <c r="E25" s="254">
        <f>E24*5%</f>
        <v>0.56435492845786961</v>
      </c>
      <c r="F25" s="176"/>
      <c r="G25" s="176"/>
      <c r="I25" s="176"/>
      <c r="Q25" s="176" t="s">
        <v>236</v>
      </c>
      <c r="R25" s="254">
        <f>R24*5%</f>
        <v>0.34028231292517008</v>
      </c>
      <c r="S25" s="176"/>
      <c r="T25" s="176"/>
      <c r="V25" s="176"/>
    </row>
    <row r="26" spans="3:25" ht="15" x14ac:dyDescent="0.25">
      <c r="D26" s="176"/>
      <c r="E26" s="105">
        <f>SUM(E24:E25)</f>
        <v>11.851453497615262</v>
      </c>
      <c r="F26" s="176"/>
      <c r="G26" s="176"/>
      <c r="I26" s="104"/>
      <c r="J26" s="106"/>
      <c r="K26" s="214"/>
      <c r="Q26" s="176"/>
      <c r="R26" s="105">
        <f>SUM(R24:R25)</f>
        <v>7.1459285714285716</v>
      </c>
      <c r="S26" s="176"/>
      <c r="T26" s="176"/>
      <c r="V26" s="104"/>
      <c r="W26" s="106"/>
      <c r="X26" s="214"/>
    </row>
    <row r="27" spans="3:25" x14ac:dyDescent="0.2">
      <c r="C27" t="s">
        <v>300</v>
      </c>
      <c r="D27" s="244" t="s">
        <v>238</v>
      </c>
      <c r="E27" s="176"/>
      <c r="F27" s="183" t="s">
        <v>301</v>
      </c>
      <c r="G27" s="176"/>
      <c r="H27" s="176"/>
      <c r="I27" s="176"/>
      <c r="P27" t="s">
        <v>300</v>
      </c>
      <c r="Q27" s="244" t="s">
        <v>238</v>
      </c>
      <c r="R27" s="176"/>
      <c r="S27" s="183" t="s">
        <v>301</v>
      </c>
      <c r="T27" s="176"/>
      <c r="U27" s="176"/>
      <c r="V27" s="176"/>
    </row>
    <row r="28" spans="3:25" x14ac:dyDescent="0.2">
      <c r="D28" s="244" t="s">
        <v>302</v>
      </c>
      <c r="E28" s="176"/>
      <c r="F28" s="257">
        <v>55</v>
      </c>
      <c r="G28" s="176"/>
      <c r="H28" s="176"/>
      <c r="I28" s="176"/>
      <c r="Q28" s="244" t="s">
        <v>302</v>
      </c>
      <c r="R28" s="176"/>
      <c r="S28" s="257">
        <v>55</v>
      </c>
      <c r="T28" s="176"/>
      <c r="U28" s="176"/>
      <c r="V28" s="176"/>
    </row>
    <row r="29" spans="3:25" x14ac:dyDescent="0.2">
      <c r="D29" s="104">
        <v>20</v>
      </c>
      <c r="E29" s="276">
        <f>F28/D29</f>
        <v>2.75</v>
      </c>
      <c r="F29" s="176"/>
      <c r="G29" s="176"/>
      <c r="H29" s="176"/>
      <c r="I29" s="176"/>
      <c r="K29" s="222"/>
      <c r="Q29" s="104">
        <v>15</v>
      </c>
      <c r="R29" s="276">
        <f>S28/Q29</f>
        <v>3.6666666666666665</v>
      </c>
      <c r="S29" s="176"/>
      <c r="T29" s="176"/>
      <c r="U29" s="176"/>
      <c r="V29" s="176"/>
      <c r="X29" s="222"/>
    </row>
    <row r="30" spans="3:25" x14ac:dyDescent="0.2">
      <c r="D30" s="104"/>
      <c r="E30" s="276"/>
      <c r="F30" s="176"/>
      <c r="G30" s="176"/>
      <c r="H30" s="176"/>
      <c r="I30" s="176"/>
      <c r="K30" s="222"/>
      <c r="Q30" s="104"/>
      <c r="R30" s="276"/>
      <c r="S30" s="176"/>
      <c r="T30" s="176"/>
      <c r="U30" s="176"/>
      <c r="V30" s="176"/>
      <c r="X30" s="222"/>
    </row>
    <row r="31" spans="3:25" x14ac:dyDescent="0.2">
      <c r="D31" s="104"/>
      <c r="E31" s="276"/>
      <c r="F31" s="176"/>
      <c r="G31" s="176"/>
      <c r="H31" s="176"/>
      <c r="I31" s="176"/>
      <c r="K31" s="222"/>
      <c r="Q31" s="104"/>
      <c r="R31" s="276"/>
      <c r="S31" s="176"/>
      <c r="T31" s="176"/>
      <c r="U31" s="176"/>
      <c r="V31" s="176"/>
      <c r="X31" s="222"/>
    </row>
    <row r="32" spans="3:25" ht="15" x14ac:dyDescent="0.25">
      <c r="D32" s="176"/>
      <c r="E32" s="105">
        <f>SUM(E26:E29)</f>
        <v>14.601453497615262</v>
      </c>
      <c r="F32" s="176"/>
      <c r="G32" s="176"/>
      <c r="H32" s="176"/>
      <c r="I32" s="277" t="s">
        <v>328</v>
      </c>
      <c r="K32" s="277"/>
      <c r="L32" s="70" t="s">
        <v>329</v>
      </c>
      <c r="Q32" s="176"/>
      <c r="R32" s="105">
        <f>SUM(R26:R29)</f>
        <v>10.812595238095238</v>
      </c>
      <c r="S32" s="176"/>
      <c r="T32" s="176"/>
      <c r="U32" s="176"/>
      <c r="V32" s="277" t="s">
        <v>328</v>
      </c>
      <c r="X32" s="277"/>
      <c r="Y32" s="70" t="s">
        <v>329</v>
      </c>
    </row>
    <row r="33" spans="3:25" ht="15" x14ac:dyDescent="0.25">
      <c r="D33" s="244" t="s">
        <v>303</v>
      </c>
      <c r="E33" s="176"/>
      <c r="F33" s="176"/>
      <c r="G33" s="176"/>
      <c r="H33" s="176"/>
      <c r="I33" s="215">
        <f>E35-I35</f>
        <v>3.5745726748807627</v>
      </c>
      <c r="K33" s="277">
        <f>H11*I33</f>
        <v>599.57498999999996</v>
      </c>
      <c r="L33" s="222">
        <f>K33/J11</f>
        <v>6.0808822515212979</v>
      </c>
      <c r="Q33" s="244" t="s">
        <v>303</v>
      </c>
      <c r="R33" s="176"/>
      <c r="S33" s="176"/>
      <c r="T33" s="176"/>
      <c r="U33" s="176"/>
      <c r="V33" s="215">
        <f>R35-V35</f>
        <v>4.3017964285714285</v>
      </c>
      <c r="X33" s="277">
        <f>U11*V33</f>
        <v>379.41844500000002</v>
      </c>
      <c r="Y33" s="222">
        <f>X33/W11</f>
        <v>7.5281437499999999</v>
      </c>
    </row>
    <row r="34" spans="3:25" x14ac:dyDescent="0.2">
      <c r="D34" s="178">
        <v>0.05</v>
      </c>
      <c r="E34" s="276">
        <f>E32*5%</f>
        <v>0.73007267488076311</v>
      </c>
      <c r="F34" s="176"/>
      <c r="G34" s="176"/>
      <c r="H34" s="176"/>
      <c r="I34" s="176" t="s">
        <v>304</v>
      </c>
      <c r="Q34" s="178">
        <v>0.05</v>
      </c>
      <c r="R34" s="276">
        <f>R32*5%</f>
        <v>0.54062976190476186</v>
      </c>
      <c r="S34" s="176"/>
      <c r="T34" s="176"/>
      <c r="U34" s="176"/>
      <c r="V34" s="176" t="s">
        <v>304</v>
      </c>
    </row>
    <row r="35" spans="3:25" x14ac:dyDescent="0.2">
      <c r="D35" s="176"/>
      <c r="E35" s="278">
        <f>SUM(E32:E34)</f>
        <v>15.331526172496025</v>
      </c>
      <c r="F35" s="183" t="s">
        <v>305</v>
      </c>
      <c r="G35" s="176"/>
      <c r="H35" s="176"/>
      <c r="I35" s="215">
        <f>SUM(E12+E13+E22)*1.05</f>
        <v>11.756953497615262</v>
      </c>
      <c r="K35" s="222">
        <f>H11*I35</f>
        <v>1972.0330000000001</v>
      </c>
      <c r="L35" s="222">
        <f>K35/J11</f>
        <v>20.000334685598379</v>
      </c>
      <c r="Q35" s="176"/>
      <c r="R35" s="278">
        <f>SUM(R32:R34)</f>
        <v>11.353225</v>
      </c>
      <c r="S35" s="183" t="s">
        <v>305</v>
      </c>
      <c r="T35" s="176"/>
      <c r="U35" s="176"/>
      <c r="V35" s="215">
        <f>SUM(R12+R13+R22)*1.05</f>
        <v>7.0514285714285716</v>
      </c>
      <c r="X35" s="222">
        <f>U11*V35</f>
        <v>621.93600000000004</v>
      </c>
      <c r="Y35" s="222">
        <f>X35/W11</f>
        <v>12.34</v>
      </c>
    </row>
    <row r="36" spans="3:25" x14ac:dyDescent="0.2">
      <c r="D36" s="259" t="s">
        <v>306</v>
      </c>
      <c r="E36" s="279"/>
      <c r="F36" s="280">
        <f>E35*H11</f>
        <v>2571.60799</v>
      </c>
      <c r="G36" s="176"/>
      <c r="H36" s="176"/>
      <c r="I36" s="215"/>
      <c r="J36" s="222"/>
      <c r="Q36" s="259" t="s">
        <v>306</v>
      </c>
      <c r="R36" s="279"/>
      <c r="S36" s="280">
        <f>R35*U11</f>
        <v>1001.3544450000001</v>
      </c>
      <c r="T36" s="176"/>
      <c r="U36" s="176"/>
      <c r="V36" s="215"/>
      <c r="W36" s="222"/>
    </row>
    <row r="37" spans="3:25" x14ac:dyDescent="0.2">
      <c r="D37" s="176"/>
      <c r="E37" s="244"/>
      <c r="F37" s="176" t="s">
        <v>324</v>
      </c>
      <c r="G37" s="176"/>
      <c r="H37" s="176"/>
      <c r="Q37" s="176"/>
      <c r="R37" s="244"/>
      <c r="S37" s="176" t="s">
        <v>324</v>
      </c>
      <c r="T37" s="176"/>
      <c r="U37" s="176"/>
    </row>
    <row r="38" spans="3:25" x14ac:dyDescent="0.2">
      <c r="C38" t="s">
        <v>307</v>
      </c>
      <c r="D38" s="70" t="s">
        <v>325</v>
      </c>
      <c r="E38" s="293">
        <f>I39</f>
        <v>3.8150000000000004</v>
      </c>
      <c r="F38" s="281" t="s">
        <v>308</v>
      </c>
      <c r="G38" s="176" t="s">
        <v>309</v>
      </c>
      <c r="H38" s="242"/>
      <c r="I38" t="s">
        <v>310</v>
      </c>
      <c r="P38" t="s">
        <v>307</v>
      </c>
      <c r="Q38" s="70" t="s">
        <v>325</v>
      </c>
      <c r="R38" s="293">
        <f>V39</f>
        <v>4.4350000000000005</v>
      </c>
      <c r="S38" s="281" t="s">
        <v>308</v>
      </c>
      <c r="T38" s="176" t="s">
        <v>309</v>
      </c>
      <c r="U38" s="242"/>
      <c r="V38" t="s">
        <v>310</v>
      </c>
    </row>
    <row r="39" spans="3:25" ht="15" x14ac:dyDescent="0.25">
      <c r="D39" s="176" t="s">
        <v>326</v>
      </c>
      <c r="E39" s="291">
        <v>0.31</v>
      </c>
      <c r="F39" s="176">
        <v>4.78</v>
      </c>
      <c r="G39" s="244">
        <v>2.85</v>
      </c>
      <c r="H39" s="244">
        <f>SUM(F39:G39)</f>
        <v>7.6300000000000008</v>
      </c>
      <c r="I39" s="214">
        <f>H39/2</f>
        <v>3.8150000000000004</v>
      </c>
      <c r="Q39" s="176" t="s">
        <v>326</v>
      </c>
      <c r="R39" s="291">
        <v>0.31</v>
      </c>
      <c r="S39" s="176">
        <v>4.78</v>
      </c>
      <c r="T39" s="244">
        <v>4.09</v>
      </c>
      <c r="U39" s="244">
        <f>SUM(S39:T39)</f>
        <v>8.870000000000001</v>
      </c>
      <c r="V39" s="214">
        <f>U39/2</f>
        <v>4.4350000000000005</v>
      </c>
    </row>
    <row r="40" spans="3:25" x14ac:dyDescent="0.2">
      <c r="D40" s="176" t="s">
        <v>235</v>
      </c>
      <c r="E40" s="246">
        <v>0.09</v>
      </c>
      <c r="F40" s="176"/>
      <c r="G40" s="176"/>
      <c r="H40" s="176"/>
      <c r="I40" s="176"/>
      <c r="Q40" s="176" t="s">
        <v>235</v>
      </c>
      <c r="R40" s="246">
        <v>0.09</v>
      </c>
      <c r="S40" s="176"/>
      <c r="T40" s="176"/>
      <c r="U40" s="176"/>
      <c r="V40" s="176"/>
    </row>
    <row r="41" spans="3:25" x14ac:dyDescent="0.2">
      <c r="D41" s="183"/>
      <c r="E41" s="274"/>
      <c r="F41" s="275"/>
      <c r="G41" s="176"/>
      <c r="H41" s="176"/>
      <c r="I41" s="176"/>
      <c r="J41" s="251"/>
      <c r="Q41" s="183"/>
      <c r="R41" s="274"/>
      <c r="S41" s="275"/>
      <c r="T41" s="176"/>
      <c r="U41" s="176"/>
      <c r="V41" s="176"/>
      <c r="W41" s="251"/>
    </row>
    <row r="42" spans="3:25" x14ac:dyDescent="0.2">
      <c r="D42" s="244" t="s">
        <v>311</v>
      </c>
      <c r="G42" s="176"/>
      <c r="H42" s="176"/>
      <c r="I42" s="176"/>
      <c r="J42" s="274"/>
      <c r="Q42" s="244" t="s">
        <v>311</v>
      </c>
      <c r="T42" s="176"/>
      <c r="U42" s="176"/>
      <c r="V42" s="176"/>
      <c r="W42" s="274"/>
    </row>
    <row r="43" spans="3:25" x14ac:dyDescent="0.2">
      <c r="D43" s="176" t="s">
        <v>327</v>
      </c>
      <c r="E43" s="176"/>
      <c r="F43" s="273">
        <f>F11/E8</f>
        <v>48.333333333333336</v>
      </c>
      <c r="G43" s="176"/>
      <c r="H43" s="176"/>
      <c r="I43" s="176"/>
      <c r="Q43" s="176" t="s">
        <v>327</v>
      </c>
      <c r="R43" s="176"/>
      <c r="S43" s="273">
        <f>S11/R8</f>
        <v>20</v>
      </c>
      <c r="T43" s="176"/>
      <c r="U43" s="176"/>
      <c r="V43" s="176"/>
    </row>
    <row r="44" spans="3:25" x14ac:dyDescent="0.2">
      <c r="D44" s="176" t="s">
        <v>312</v>
      </c>
      <c r="E44" s="176"/>
      <c r="F44" s="273">
        <f>F43+2</f>
        <v>50.333333333333336</v>
      </c>
      <c r="G44" s="176" t="s">
        <v>313</v>
      </c>
      <c r="H44" s="251">
        <v>2.5</v>
      </c>
      <c r="I44" s="251"/>
      <c r="Q44" s="176" t="s">
        <v>312</v>
      </c>
      <c r="R44" s="176"/>
      <c r="S44" s="273">
        <f>S43+2</f>
        <v>22</v>
      </c>
      <c r="T44" s="176" t="s">
        <v>313</v>
      </c>
      <c r="U44" s="251">
        <v>2.5</v>
      </c>
      <c r="V44" s="251"/>
    </row>
    <row r="45" spans="3:25" x14ac:dyDescent="0.2">
      <c r="D45" s="176"/>
      <c r="E45" s="274">
        <f>SUM(F44*H44)/I11</f>
        <v>4.3390804597701154</v>
      </c>
      <c r="F45" s="275" t="s">
        <v>299</v>
      </c>
      <c r="G45" s="176"/>
      <c r="H45" s="176"/>
      <c r="I45" s="176"/>
      <c r="Q45" s="176"/>
      <c r="R45" s="274">
        <f>SUM(S44*U44)/V11</f>
        <v>4.583333333333333</v>
      </c>
      <c r="S45" s="275" t="s">
        <v>299</v>
      </c>
      <c r="T45" s="176"/>
      <c r="U45" s="176"/>
      <c r="V45" s="176"/>
    </row>
    <row r="46" spans="3:25" x14ac:dyDescent="0.2">
      <c r="D46" s="176"/>
      <c r="E46" s="274"/>
      <c r="F46" s="275"/>
      <c r="G46" s="176"/>
      <c r="H46" s="176"/>
      <c r="Q46" s="176"/>
      <c r="R46" s="274"/>
      <c r="S46" s="275"/>
      <c r="T46" s="176"/>
      <c r="U46" s="176"/>
    </row>
    <row r="47" spans="3:25" x14ac:dyDescent="0.2">
      <c r="D47" s="176"/>
      <c r="E47" s="202">
        <f>SUM(E38:E45)</f>
        <v>8.5540804597701161</v>
      </c>
      <c r="F47" s="176"/>
      <c r="G47" s="176"/>
      <c r="H47" s="176"/>
      <c r="J47" s="210"/>
      <c r="Q47" s="176"/>
      <c r="R47" s="202">
        <f>SUM(R38:R45)</f>
        <v>9.418333333333333</v>
      </c>
      <c r="S47" s="176"/>
      <c r="T47" s="176"/>
      <c r="U47" s="176"/>
      <c r="W47" s="210"/>
    </row>
    <row r="48" spans="3:25" x14ac:dyDescent="0.2">
      <c r="D48" s="176" t="s">
        <v>236</v>
      </c>
      <c r="E48" s="254">
        <f>E47*5%</f>
        <v>0.42770402298850585</v>
      </c>
      <c r="F48" s="176"/>
      <c r="G48" s="176"/>
      <c r="H48" s="176"/>
      <c r="I48" s="176"/>
      <c r="K48" s="222"/>
      <c r="Q48" s="176" t="s">
        <v>236</v>
      </c>
      <c r="R48" s="254">
        <f>R47*5%</f>
        <v>0.47091666666666665</v>
      </c>
      <c r="S48" s="176"/>
      <c r="T48" s="176"/>
      <c r="U48" s="176"/>
      <c r="V48" s="176"/>
      <c r="X48" s="222"/>
    </row>
    <row r="49" spans="3:27" ht="15" x14ac:dyDescent="0.25">
      <c r="D49" s="176"/>
      <c r="E49" s="105">
        <f>SUM(E47:E48)</f>
        <v>8.9817844827586217</v>
      </c>
      <c r="F49" s="176"/>
      <c r="G49" s="176"/>
      <c r="H49" s="176"/>
      <c r="I49" s="277"/>
      <c r="K49" s="277"/>
      <c r="Q49" s="176"/>
      <c r="R49" s="105">
        <f>SUM(R47:R48)</f>
        <v>9.8892500000000005</v>
      </c>
      <c r="S49" s="176"/>
      <c r="T49" s="176"/>
      <c r="U49" s="176"/>
      <c r="V49" s="277"/>
      <c r="X49" s="277"/>
    </row>
    <row r="50" spans="3:27" ht="15" x14ac:dyDescent="0.25">
      <c r="C50" t="s">
        <v>307</v>
      </c>
      <c r="D50" s="244" t="s">
        <v>238</v>
      </c>
      <c r="E50" s="176"/>
      <c r="F50" s="183" t="s">
        <v>301</v>
      </c>
      <c r="G50" s="176"/>
      <c r="H50" s="176"/>
      <c r="I50" s="215"/>
      <c r="K50" s="277"/>
      <c r="P50" t="s">
        <v>307</v>
      </c>
      <c r="Q50" s="244" t="s">
        <v>238</v>
      </c>
      <c r="R50" s="176"/>
      <c r="S50" s="183" t="s">
        <v>301</v>
      </c>
      <c r="T50" s="176"/>
      <c r="U50" s="176"/>
      <c r="V50" s="215"/>
      <c r="X50" s="277"/>
    </row>
    <row r="51" spans="3:27" ht="15" x14ac:dyDescent="0.25">
      <c r="D51" s="70" t="s">
        <v>302</v>
      </c>
      <c r="F51" s="257">
        <v>55</v>
      </c>
      <c r="G51" s="176"/>
      <c r="H51" s="176"/>
      <c r="I51" s="215"/>
      <c r="K51" s="277"/>
      <c r="Q51" s="70" t="s">
        <v>302</v>
      </c>
      <c r="S51" s="257">
        <v>55</v>
      </c>
      <c r="T51" s="176"/>
      <c r="U51" s="176"/>
      <c r="V51" s="215"/>
      <c r="X51" s="277"/>
    </row>
    <row r="52" spans="3:27" x14ac:dyDescent="0.2">
      <c r="D52" s="210">
        <v>4</v>
      </c>
      <c r="E52" s="282">
        <f>F51/D52</f>
        <v>13.75</v>
      </c>
      <c r="G52" s="176"/>
      <c r="H52" s="176"/>
      <c r="I52" s="176"/>
      <c r="Q52" s="210">
        <v>4</v>
      </c>
      <c r="R52" s="282">
        <f>S51/Q52</f>
        <v>13.75</v>
      </c>
      <c r="T52" s="176"/>
      <c r="U52" s="176"/>
      <c r="V52" s="176"/>
    </row>
    <row r="53" spans="3:27" ht="15" x14ac:dyDescent="0.25">
      <c r="D53" s="176"/>
      <c r="E53" s="105">
        <f>SUM(E49:E52)</f>
        <v>22.73178448275862</v>
      </c>
      <c r="F53" s="176"/>
      <c r="G53" s="176"/>
      <c r="H53" s="176"/>
      <c r="I53" s="277" t="s">
        <v>328</v>
      </c>
      <c r="K53" s="277"/>
      <c r="L53" s="70" t="s">
        <v>329</v>
      </c>
      <c r="Q53" s="176"/>
      <c r="R53" s="105">
        <f>SUM(R49:R52)</f>
        <v>23.639250000000001</v>
      </c>
      <c r="S53" s="176"/>
      <c r="T53" s="176"/>
      <c r="U53" s="176"/>
      <c r="V53" s="277" t="s">
        <v>328</v>
      </c>
      <c r="X53" s="277"/>
      <c r="Y53" s="70" t="s">
        <v>329</v>
      </c>
    </row>
    <row r="54" spans="3:27" ht="15" x14ac:dyDescent="0.25">
      <c r="D54" s="244" t="s">
        <v>303</v>
      </c>
      <c r="E54" s="176"/>
      <c r="F54" s="176"/>
      <c r="G54" s="176"/>
      <c r="H54" s="176"/>
      <c r="I54" s="215">
        <f>E56-I56</f>
        <v>14.98108922413793</v>
      </c>
      <c r="K54" s="277">
        <f>I11*I54</f>
        <v>434.45158749999996</v>
      </c>
      <c r="L54" s="222">
        <f>K54/J11</f>
        <v>4.4062027129817443</v>
      </c>
      <c r="Q54" s="244" t="s">
        <v>303</v>
      </c>
      <c r="R54" s="176"/>
      <c r="S54" s="176"/>
      <c r="T54" s="176"/>
      <c r="U54" s="176"/>
      <c r="V54" s="215">
        <f>R56-V56</f>
        <v>15.026462500000001</v>
      </c>
      <c r="X54" s="277">
        <f>V11*V54</f>
        <v>180.31755000000001</v>
      </c>
      <c r="Y54" s="222">
        <f>X54/W11</f>
        <v>3.5777291666666664</v>
      </c>
    </row>
    <row r="55" spans="3:27" x14ac:dyDescent="0.2">
      <c r="D55" s="178">
        <v>0.05</v>
      </c>
      <c r="E55" s="276">
        <f>E53*5%</f>
        <v>1.136589224137931</v>
      </c>
      <c r="F55" s="176"/>
      <c r="G55" s="176"/>
      <c r="H55" s="176"/>
      <c r="I55" s="176" t="s">
        <v>304</v>
      </c>
      <c r="Q55" s="178">
        <v>0.05</v>
      </c>
      <c r="R55" s="276">
        <f>R53*5%</f>
        <v>1.1819625</v>
      </c>
      <c r="S55" s="176"/>
      <c r="T55" s="176"/>
      <c r="U55" s="176"/>
      <c r="V55" s="176" t="s">
        <v>304</v>
      </c>
    </row>
    <row r="56" spans="3:27" x14ac:dyDescent="0.2">
      <c r="D56" s="176"/>
      <c r="E56" s="278">
        <f>SUM(E53:E55)</f>
        <v>23.868373706896552</v>
      </c>
      <c r="F56" s="183" t="s">
        <v>305</v>
      </c>
      <c r="G56" s="176"/>
      <c r="H56" s="176"/>
      <c r="I56" s="215">
        <f>SUM(E38,E39,E45)*1.05</f>
        <v>8.8872844827586217</v>
      </c>
      <c r="K56" s="222">
        <f>I56*I11</f>
        <v>257.73125000000005</v>
      </c>
      <c r="L56" s="222">
        <f>K56/J11</f>
        <v>2.6139072008113597</v>
      </c>
      <c r="Q56" s="176"/>
      <c r="R56" s="278">
        <f>SUM(R53:R55)</f>
        <v>24.821212500000001</v>
      </c>
      <c r="S56" s="183" t="s">
        <v>305</v>
      </c>
      <c r="T56" s="176"/>
      <c r="U56" s="176"/>
      <c r="V56" s="215">
        <f>SUM(R38,R39,R45)*1.05</f>
        <v>9.7947500000000005</v>
      </c>
      <c r="X56" s="222">
        <f>V56*V11</f>
        <v>117.53700000000001</v>
      </c>
      <c r="Y56" s="222">
        <f>X56/W11</f>
        <v>2.3320833333333333</v>
      </c>
    </row>
    <row r="57" spans="3:27" ht="15" x14ac:dyDescent="0.25">
      <c r="D57" s="259" t="s">
        <v>314</v>
      </c>
      <c r="E57" s="283"/>
      <c r="F57" s="280">
        <f>SUM(E56*I11)</f>
        <v>692.18283750000001</v>
      </c>
      <c r="G57" s="176"/>
      <c r="H57" s="176"/>
      <c r="J57" s="214"/>
      <c r="K57" s="214"/>
      <c r="Q57" s="259" t="s">
        <v>314</v>
      </c>
      <c r="R57" s="283"/>
      <c r="S57" s="280">
        <f>SUM(R56*V11)</f>
        <v>297.85455000000002</v>
      </c>
      <c r="T57" s="176"/>
      <c r="U57" s="176"/>
      <c r="W57" s="214"/>
      <c r="X57" s="214"/>
    </row>
    <row r="58" spans="3:27" ht="15" x14ac:dyDescent="0.25">
      <c r="D58" t="s">
        <v>315</v>
      </c>
      <c r="F58" s="210">
        <f>SUM(F36+F57)</f>
        <v>3263.7908275</v>
      </c>
      <c r="G58" t="s">
        <v>316</v>
      </c>
      <c r="J58" s="284"/>
      <c r="K58" s="284"/>
      <c r="L58" s="263"/>
      <c r="Q58" t="s">
        <v>315</v>
      </c>
      <c r="S58" s="210">
        <f>SUM(S36+S57)</f>
        <v>1299.208995</v>
      </c>
      <c r="T58" t="s">
        <v>316</v>
      </c>
      <c r="W58" s="284"/>
      <c r="X58" s="284"/>
      <c r="Y58" s="263"/>
    </row>
    <row r="59" spans="3:27" ht="15.75" thickBot="1" x14ac:dyDescent="0.3">
      <c r="F59" s="285">
        <f>SUM(F58/J11)</f>
        <v>33.101326850912784</v>
      </c>
      <c r="G59" s="214" t="s">
        <v>45</v>
      </c>
      <c r="S59" s="285">
        <f>SUM(S58/W11)</f>
        <v>25.777956249999995</v>
      </c>
      <c r="T59" s="214" t="s">
        <v>45</v>
      </c>
    </row>
    <row r="60" spans="3:27" ht="15.75" thickTop="1" x14ac:dyDescent="0.25">
      <c r="F60" s="286">
        <f>F58/F11</f>
        <v>112.54451129310345</v>
      </c>
      <c r="G60" s="214" t="s">
        <v>46</v>
      </c>
      <c r="I60" s="214"/>
      <c r="L60" s="70" t="s">
        <v>330</v>
      </c>
      <c r="M60" s="222">
        <f>SUM(L54,L33)</f>
        <v>10.487084964503042</v>
      </c>
      <c r="N60" s="263">
        <f>M60/F51</f>
        <v>0.19067427208187349</v>
      </c>
      <c r="S60" s="286">
        <f>S58/S11</f>
        <v>108.26741625</v>
      </c>
      <c r="T60" s="214" t="s">
        <v>46</v>
      </c>
      <c r="V60" s="214"/>
      <c r="Y60" s="70" t="s">
        <v>330</v>
      </c>
      <c r="Z60" s="222">
        <f>SUM(Y54,Y33)</f>
        <v>11.105872916666666</v>
      </c>
      <c r="AA60" s="263">
        <f>Z60/S51</f>
        <v>0.20192496212121211</v>
      </c>
    </row>
    <row r="61" spans="3:27" x14ac:dyDescent="0.2">
      <c r="D61" t="s">
        <v>318</v>
      </c>
      <c r="F61" s="222">
        <f>J58</f>
        <v>0</v>
      </c>
      <c r="G61" t="s">
        <v>45</v>
      </c>
      <c r="I61" s="210"/>
      <c r="L61" s="70" t="s">
        <v>331</v>
      </c>
      <c r="M61" s="222">
        <f>SUM(L35,L56)</f>
        <v>22.614241886409737</v>
      </c>
      <c r="Q61" t="s">
        <v>318</v>
      </c>
      <c r="S61" s="222">
        <f>W58</f>
        <v>0</v>
      </c>
      <c r="T61" t="s">
        <v>45</v>
      </c>
      <c r="V61" s="210"/>
      <c r="Y61" s="70" t="s">
        <v>331</v>
      </c>
      <c r="Z61" s="222">
        <f>SUM(Y35,Y56)</f>
        <v>14.672083333333333</v>
      </c>
    </row>
    <row r="62" spans="3:27" x14ac:dyDescent="0.2">
      <c r="D62" t="s">
        <v>246</v>
      </c>
      <c r="F62" s="222">
        <f>F59-F61</f>
        <v>33.101326850912784</v>
      </c>
      <c r="G62" t="s">
        <v>45</v>
      </c>
      <c r="I62" s="210"/>
      <c r="Q62" t="s">
        <v>246</v>
      </c>
      <c r="S62" s="222">
        <f>S59-S61</f>
        <v>25.777956249999995</v>
      </c>
      <c r="T62" t="s">
        <v>45</v>
      </c>
      <c r="V62" s="210"/>
    </row>
    <row r="63" spans="3:27" ht="15" x14ac:dyDescent="0.25">
      <c r="F63" s="106"/>
      <c r="G63" s="214"/>
      <c r="I63" s="210"/>
      <c r="S63" s="106"/>
      <c r="T63" s="214"/>
      <c r="V63" s="210"/>
    </row>
    <row r="64" spans="3:27" ht="15" x14ac:dyDescent="0.25">
      <c r="F64" s="106"/>
      <c r="G64" s="214"/>
      <c r="I64" s="210"/>
      <c r="S64" s="106"/>
      <c r="T64" s="214"/>
      <c r="V64" s="210"/>
    </row>
    <row r="65" spans="1:26" ht="15" x14ac:dyDescent="0.25">
      <c r="F65" s="106"/>
      <c r="G65" s="214"/>
      <c r="S65" s="106"/>
      <c r="T65" s="214"/>
    </row>
    <row r="66" spans="1:26" x14ac:dyDescent="0.2">
      <c r="C66" s="269"/>
      <c r="D66" s="269"/>
      <c r="E66" s="269"/>
      <c r="F66" s="269"/>
      <c r="G66" s="269"/>
      <c r="H66" s="269"/>
      <c r="I66" s="269"/>
      <c r="J66" s="269"/>
      <c r="K66" s="269"/>
      <c r="L66" s="269"/>
      <c r="M66" s="269"/>
      <c r="P66" s="269"/>
      <c r="Q66" s="269"/>
      <c r="R66" s="269"/>
      <c r="S66" s="269"/>
      <c r="T66" s="269"/>
      <c r="U66" s="269"/>
      <c r="V66" s="269"/>
      <c r="W66" s="269"/>
      <c r="X66" s="269"/>
      <c r="Y66" s="269"/>
      <c r="Z66" s="269"/>
    </row>
    <row r="71" spans="1:26" x14ac:dyDescent="0.2">
      <c r="A71" s="294"/>
      <c r="B71" s="294"/>
      <c r="C71" s="294"/>
      <c r="D71" s="294"/>
      <c r="E71" s="294"/>
      <c r="F71" s="294"/>
      <c r="G71" s="294"/>
      <c r="H71" s="294"/>
      <c r="I71" s="294"/>
      <c r="J71" s="294"/>
      <c r="K71" s="294"/>
      <c r="P71" s="294"/>
      <c r="Q71" s="294"/>
      <c r="R71" s="294"/>
      <c r="S71" s="294"/>
      <c r="T71" s="294"/>
      <c r="U71" s="294"/>
      <c r="V71" s="294"/>
      <c r="W71" s="294"/>
      <c r="X71" s="294"/>
      <c r="Y71" s="294"/>
      <c r="Z71" s="294"/>
    </row>
    <row r="72" spans="1:26" x14ac:dyDescent="0.2">
      <c r="B72" s="183" t="s">
        <v>332</v>
      </c>
      <c r="C72" s="241">
        <v>0.6</v>
      </c>
      <c r="D72" s="183" t="s">
        <v>282</v>
      </c>
      <c r="E72" s="176"/>
      <c r="F72" s="176"/>
      <c r="G72" s="176"/>
      <c r="K72" s="287" t="s">
        <v>337</v>
      </c>
      <c r="Q72" s="183" t="s">
        <v>332</v>
      </c>
      <c r="R72" s="241">
        <v>0.6</v>
      </c>
      <c r="S72" s="183" t="s">
        <v>282</v>
      </c>
      <c r="T72" s="176"/>
      <c r="U72" s="176"/>
      <c r="V72" s="176"/>
      <c r="Z72" s="287" t="s">
        <v>337</v>
      </c>
    </row>
    <row r="73" spans="1:26" x14ac:dyDescent="0.2">
      <c r="B73" s="176"/>
      <c r="C73" s="176"/>
      <c r="D73" s="176"/>
      <c r="E73" s="176"/>
      <c r="F73" s="176"/>
      <c r="G73" s="176"/>
      <c r="K73" s="70"/>
      <c r="Q73" s="176"/>
      <c r="R73" s="176"/>
      <c r="S73" s="176"/>
      <c r="T73" s="176"/>
      <c r="U73" s="176"/>
      <c r="V73" s="176"/>
      <c r="Z73" s="70"/>
    </row>
    <row r="74" spans="1:26" ht="15" x14ac:dyDescent="0.25">
      <c r="B74" s="244" t="s">
        <v>219</v>
      </c>
      <c r="C74" s="176"/>
      <c r="D74" s="242" t="s">
        <v>283</v>
      </c>
      <c r="E74" s="242" t="s">
        <v>284</v>
      </c>
      <c r="F74" s="242" t="s">
        <v>285</v>
      </c>
      <c r="G74" s="242" t="s">
        <v>286</v>
      </c>
      <c r="H74" s="243" t="s">
        <v>287</v>
      </c>
      <c r="Q74" s="244" t="s">
        <v>219</v>
      </c>
      <c r="R74" s="176"/>
      <c r="S74" s="242" t="s">
        <v>283</v>
      </c>
      <c r="T74" s="242" t="s">
        <v>284</v>
      </c>
      <c r="U74" s="242" t="s">
        <v>285</v>
      </c>
      <c r="V74" s="242" t="s">
        <v>286</v>
      </c>
      <c r="W74" s="243" t="s">
        <v>287</v>
      </c>
    </row>
    <row r="75" spans="1:26" ht="15" x14ac:dyDescent="0.25">
      <c r="B75" s="176"/>
      <c r="C75" s="244" t="s">
        <v>220</v>
      </c>
      <c r="D75" s="241">
        <v>21</v>
      </c>
      <c r="E75" s="270">
        <v>4.2</v>
      </c>
      <c r="F75" s="204">
        <f>SUM(D85*E75)</f>
        <v>151.20000000000002</v>
      </c>
      <c r="G75" s="183">
        <f>D75*2</f>
        <v>42</v>
      </c>
      <c r="H75" s="214">
        <f>D75*E75</f>
        <v>88.2</v>
      </c>
      <c r="Q75" s="176"/>
      <c r="R75" s="244" t="s">
        <v>220</v>
      </c>
      <c r="S75" s="241">
        <v>21</v>
      </c>
      <c r="T75" s="270">
        <v>4.2</v>
      </c>
      <c r="U75" s="204">
        <f>SUM(S85*T75)</f>
        <v>151.20000000000002</v>
      </c>
      <c r="V75" s="183">
        <f>S75*2</f>
        <v>42</v>
      </c>
      <c r="W75" s="214">
        <f>S75*T75</f>
        <v>88.2</v>
      </c>
    </row>
    <row r="76" spans="1:26" x14ac:dyDescent="0.2">
      <c r="A76" t="s">
        <v>288</v>
      </c>
      <c r="B76" s="176" t="s">
        <v>333</v>
      </c>
      <c r="C76" s="291">
        <v>2.46</v>
      </c>
      <c r="D76" s="176">
        <v>55</v>
      </c>
      <c r="E76" s="176"/>
      <c r="F76" s="176"/>
      <c r="G76" s="176"/>
      <c r="P76" t="s">
        <v>288</v>
      </c>
      <c r="Q76" s="176" t="s">
        <v>333</v>
      </c>
      <c r="R76" s="291">
        <v>2.46</v>
      </c>
      <c r="S76" s="176">
        <v>55</v>
      </c>
      <c r="T76" s="176"/>
      <c r="U76" s="176"/>
      <c r="V76" s="176"/>
    </row>
    <row r="77" spans="1:26" x14ac:dyDescent="0.2">
      <c r="B77" s="176" t="s">
        <v>290</v>
      </c>
      <c r="C77" s="222">
        <f>F78/F75</f>
        <v>1.8055555555555554</v>
      </c>
      <c r="D77" s="292">
        <v>6.5</v>
      </c>
      <c r="E77" s="176" t="s">
        <v>46</v>
      </c>
      <c r="F77" s="215">
        <f>SUM(D77*D75)</f>
        <v>136.5</v>
      </c>
      <c r="G77" s="176"/>
      <c r="Q77" s="176" t="s">
        <v>290</v>
      </c>
      <c r="R77" s="222">
        <f>U78/U75</f>
        <v>1.8055555555555554</v>
      </c>
      <c r="S77" s="292">
        <v>6.5</v>
      </c>
      <c r="T77" s="176" t="s">
        <v>46</v>
      </c>
      <c r="U77" s="215">
        <f>SUM(S77*S75)</f>
        <v>136.5</v>
      </c>
      <c r="V77" s="176"/>
    </row>
    <row r="78" spans="1:26" x14ac:dyDescent="0.2">
      <c r="B78" s="176"/>
      <c r="C78" s="246"/>
      <c r="D78" s="176" t="s">
        <v>291</v>
      </c>
      <c r="E78" s="271">
        <v>2</v>
      </c>
      <c r="F78" s="272">
        <f>E78*F77</f>
        <v>273</v>
      </c>
      <c r="G78" s="176"/>
      <c r="Q78" s="176"/>
      <c r="R78" s="246"/>
      <c r="S78" s="176" t="s">
        <v>291</v>
      </c>
      <c r="T78" s="271">
        <v>2</v>
      </c>
      <c r="U78" s="272">
        <f>T78*U77</f>
        <v>273</v>
      </c>
      <c r="V78" s="176"/>
    </row>
    <row r="79" spans="1:26" x14ac:dyDescent="0.2">
      <c r="B79" s="176"/>
      <c r="C79" s="246"/>
      <c r="D79" s="176"/>
      <c r="E79" s="242"/>
      <c r="F79" s="242"/>
      <c r="G79" s="242"/>
      <c r="Q79" s="176"/>
      <c r="R79" s="246"/>
      <c r="S79" s="176"/>
      <c r="T79" s="242"/>
      <c r="U79" s="242"/>
      <c r="V79" s="242"/>
    </row>
    <row r="80" spans="1:26" x14ac:dyDescent="0.2">
      <c r="B80" s="176" t="s">
        <v>235</v>
      </c>
      <c r="C80" s="246">
        <v>0.09</v>
      </c>
      <c r="D80" s="176"/>
      <c r="E80" s="176"/>
      <c r="F80" s="176"/>
      <c r="G80" s="176"/>
      <c r="Q80" s="176" t="s">
        <v>235</v>
      </c>
      <c r="R80" s="246">
        <v>0.09</v>
      </c>
      <c r="S80" s="176"/>
      <c r="T80" s="176"/>
      <c r="U80" s="176"/>
      <c r="V80" s="176"/>
    </row>
    <row r="81" spans="1:24" x14ac:dyDescent="0.2">
      <c r="D81" s="176"/>
      <c r="E81" s="176"/>
      <c r="F81" s="176"/>
      <c r="G81" s="176"/>
      <c r="S81" s="176"/>
      <c r="T81" s="176"/>
      <c r="U81" s="176"/>
      <c r="V81" s="176"/>
    </row>
    <row r="82" spans="1:24" x14ac:dyDescent="0.2">
      <c r="B82" s="244" t="s">
        <v>180</v>
      </c>
      <c r="C82" s="206"/>
      <c r="D82" s="176"/>
      <c r="E82" s="176"/>
      <c r="F82" s="176"/>
      <c r="G82" s="176"/>
      <c r="Q82" s="244" t="s">
        <v>180</v>
      </c>
      <c r="R82" s="206"/>
      <c r="S82" s="176"/>
      <c r="T82" s="176"/>
      <c r="U82" s="176"/>
      <c r="V82" s="176"/>
    </row>
    <row r="83" spans="1:24" x14ac:dyDescent="0.2">
      <c r="B83" s="176" t="s">
        <v>292</v>
      </c>
      <c r="C83" s="206"/>
      <c r="D83" s="176"/>
      <c r="E83" s="176"/>
      <c r="F83" s="176"/>
      <c r="G83" s="176"/>
      <c r="Q83" s="176" t="s">
        <v>292</v>
      </c>
      <c r="R83" s="206"/>
      <c r="S83" s="176"/>
      <c r="T83" s="176"/>
      <c r="U83" s="176"/>
      <c r="V83" s="176"/>
    </row>
    <row r="84" spans="1:24" x14ac:dyDescent="0.2">
      <c r="B84" s="183" t="s">
        <v>293</v>
      </c>
      <c r="C84" s="176"/>
      <c r="D84" s="273">
        <f>SUM(D75/C72)</f>
        <v>35</v>
      </c>
      <c r="E84" s="176"/>
      <c r="F84" s="176"/>
      <c r="G84" s="176"/>
      <c r="Q84" s="183" t="s">
        <v>293</v>
      </c>
      <c r="R84" s="176"/>
      <c r="S84" s="273">
        <f>SUM(S75/R72)</f>
        <v>35</v>
      </c>
      <c r="T84" s="176"/>
      <c r="U84" s="176"/>
      <c r="V84" s="176"/>
    </row>
    <row r="85" spans="1:24" x14ac:dyDescent="0.2">
      <c r="B85" s="176" t="s">
        <v>294</v>
      </c>
      <c r="C85" s="206"/>
      <c r="D85" s="200">
        <f>D84+1</f>
        <v>36</v>
      </c>
      <c r="E85" s="176" t="s">
        <v>295</v>
      </c>
      <c r="F85" s="176"/>
      <c r="G85" s="176"/>
      <c r="Q85" s="176" t="s">
        <v>294</v>
      </c>
      <c r="R85" s="206"/>
      <c r="S85" s="200">
        <f>S84+1</f>
        <v>36</v>
      </c>
      <c r="T85" s="176" t="s">
        <v>295</v>
      </c>
      <c r="U85" s="176"/>
      <c r="V85" s="176"/>
    </row>
    <row r="86" spans="1:24" x14ac:dyDescent="0.2">
      <c r="B86" s="183" t="s">
        <v>296</v>
      </c>
      <c r="C86" s="176"/>
      <c r="D86" s="273">
        <f>SUM(D85*4)</f>
        <v>144</v>
      </c>
      <c r="E86" s="176" t="s">
        <v>297</v>
      </c>
      <c r="F86" s="295">
        <v>1.4999999999999999E-2</v>
      </c>
      <c r="G86" s="251"/>
      <c r="Q86" s="183" t="s">
        <v>296</v>
      </c>
      <c r="R86" s="176"/>
      <c r="S86" s="273">
        <f>SUM(S85*4)</f>
        <v>144</v>
      </c>
      <c r="T86" s="176" t="s">
        <v>297</v>
      </c>
      <c r="U86" s="295">
        <v>1.4999999999999999E-2</v>
      </c>
      <c r="V86" s="251"/>
    </row>
    <row r="87" spans="1:24" x14ac:dyDescent="0.2">
      <c r="B87" s="176" t="s">
        <v>334</v>
      </c>
      <c r="C87" s="274">
        <f>SUM(D86*F86)/F75</f>
        <v>1.4285714285714285E-2</v>
      </c>
      <c r="D87" s="275" t="s">
        <v>299</v>
      </c>
      <c r="E87" s="176"/>
      <c r="F87" s="176"/>
      <c r="G87" s="176"/>
      <c r="Q87" s="176" t="s">
        <v>334</v>
      </c>
      <c r="R87" s="274">
        <f>SUM(S86*U86)/U75</f>
        <v>1.4285714285714285E-2</v>
      </c>
      <c r="S87" s="275" t="s">
        <v>299</v>
      </c>
      <c r="T87" s="176"/>
      <c r="U87" s="176"/>
      <c r="V87" s="176"/>
    </row>
    <row r="88" spans="1:24" x14ac:dyDescent="0.2">
      <c r="B88" s="176"/>
      <c r="C88" s="244"/>
      <c r="D88" s="176"/>
      <c r="E88" s="176"/>
      <c r="F88" s="176"/>
      <c r="G88" s="176"/>
      <c r="Q88" s="176"/>
      <c r="R88" s="244"/>
      <c r="S88" s="176"/>
      <c r="T88" s="176"/>
      <c r="U88" s="176"/>
      <c r="V88" s="176"/>
    </row>
    <row r="89" spans="1:24" x14ac:dyDescent="0.2">
      <c r="B89" s="176"/>
      <c r="C89" s="202">
        <f>SUM(C76:C88)</f>
        <v>4.3698412698412694</v>
      </c>
      <c r="D89" s="176"/>
      <c r="E89" s="176"/>
      <c r="F89" s="176"/>
      <c r="G89" s="176"/>
      <c r="Q89" s="176"/>
      <c r="R89" s="202">
        <f>SUM(R76:R88)</f>
        <v>4.3698412698412694</v>
      </c>
      <c r="S89" s="176"/>
      <c r="T89" s="176"/>
      <c r="U89" s="176"/>
      <c r="V89" s="176"/>
    </row>
    <row r="90" spans="1:24" x14ac:dyDescent="0.2">
      <c r="B90" s="176" t="s">
        <v>236</v>
      </c>
      <c r="C90" s="254">
        <f>SUM(C89*0.05)</f>
        <v>0.21849206349206349</v>
      </c>
      <c r="D90" s="176"/>
      <c r="E90" s="176"/>
      <c r="F90" s="176"/>
      <c r="G90" s="176"/>
      <c r="Q90" s="176" t="s">
        <v>236</v>
      </c>
      <c r="R90" s="254">
        <f>SUM(R89*0.05)</f>
        <v>0.21849206349206349</v>
      </c>
      <c r="S90" s="176"/>
      <c r="T90" s="176"/>
      <c r="U90" s="176"/>
      <c r="V90" s="176"/>
    </row>
    <row r="91" spans="1:24" ht="15" x14ac:dyDescent="0.25">
      <c r="B91" s="176"/>
      <c r="C91" s="105">
        <f>SUM(C89:C90)</f>
        <v>4.5883333333333329</v>
      </c>
      <c r="D91" s="176"/>
      <c r="E91" s="176"/>
      <c r="F91" s="176"/>
      <c r="G91" s="104"/>
      <c r="H91" s="106"/>
      <c r="I91" s="214"/>
      <c r="Q91" s="176"/>
      <c r="R91" s="105">
        <f>SUM(R89:R90)</f>
        <v>4.5883333333333329</v>
      </c>
      <c r="S91" s="176"/>
      <c r="T91" s="176"/>
      <c r="U91" s="176"/>
      <c r="V91" s="104"/>
      <c r="W91" s="106"/>
      <c r="X91" s="214"/>
    </row>
    <row r="92" spans="1:24" x14ac:dyDescent="0.2">
      <c r="A92" t="s">
        <v>300</v>
      </c>
      <c r="B92" s="244" t="s">
        <v>238</v>
      </c>
      <c r="C92" s="176"/>
      <c r="D92" s="183" t="s">
        <v>301</v>
      </c>
      <c r="E92" s="176"/>
      <c r="F92" s="176"/>
      <c r="G92" s="176"/>
      <c r="P92" t="s">
        <v>300</v>
      </c>
      <c r="Q92" s="244" t="s">
        <v>238</v>
      </c>
      <c r="R92" s="176"/>
      <c r="S92" s="183" t="s">
        <v>301</v>
      </c>
      <c r="T92" s="176"/>
      <c r="U92" s="176"/>
      <c r="V92" s="176"/>
    </row>
    <row r="93" spans="1:24" x14ac:dyDescent="0.2">
      <c r="B93" s="244" t="s">
        <v>302</v>
      </c>
      <c r="C93" s="176"/>
      <c r="D93" s="257">
        <v>55</v>
      </c>
      <c r="E93" s="176"/>
      <c r="F93" s="176"/>
      <c r="G93" s="176"/>
      <c r="Q93" s="244" t="s">
        <v>302</v>
      </c>
      <c r="R93" s="176"/>
      <c r="S93" s="257">
        <v>55</v>
      </c>
      <c r="T93" s="176"/>
      <c r="U93" s="176"/>
      <c r="V93" s="176"/>
    </row>
    <row r="94" spans="1:24" x14ac:dyDescent="0.2">
      <c r="B94" s="104">
        <v>20</v>
      </c>
      <c r="C94" s="276">
        <f>D93/B94</f>
        <v>2.75</v>
      </c>
      <c r="D94" s="176"/>
      <c r="E94" s="176"/>
      <c r="F94" s="176"/>
      <c r="G94" s="176"/>
      <c r="I94" s="222"/>
      <c r="Q94" s="104">
        <v>20</v>
      </c>
      <c r="R94" s="276">
        <f>S93/Q94</f>
        <v>2.75</v>
      </c>
      <c r="S94" s="176"/>
      <c r="T94" s="176"/>
      <c r="U94" s="176"/>
      <c r="V94" s="176"/>
      <c r="X94" s="222"/>
    </row>
    <row r="95" spans="1:24" ht="15" x14ac:dyDescent="0.25">
      <c r="B95" s="176"/>
      <c r="C95" s="105">
        <f>SUM(C91:C94)</f>
        <v>7.3383333333333329</v>
      </c>
      <c r="D95" s="176"/>
      <c r="E95" s="176"/>
      <c r="F95" s="176"/>
      <c r="G95" s="277"/>
      <c r="I95" s="277"/>
      <c r="Q95" s="176"/>
      <c r="R95" s="105">
        <f>SUM(R91:R94)</f>
        <v>7.3383333333333329</v>
      </c>
      <c r="S95" s="176"/>
      <c r="T95" s="176"/>
      <c r="U95" s="176"/>
      <c r="V95" s="277"/>
      <c r="X95" s="277"/>
    </row>
    <row r="96" spans="1:24" ht="15" x14ac:dyDescent="0.25">
      <c r="G96" s="215"/>
      <c r="I96" s="277"/>
      <c r="V96" s="215"/>
      <c r="X96" s="277"/>
    </row>
    <row r="97" spans="1:26" ht="15" x14ac:dyDescent="0.25">
      <c r="B97" s="244" t="s">
        <v>303</v>
      </c>
      <c r="C97" s="176"/>
      <c r="G97" s="176"/>
      <c r="H97" s="277" t="s">
        <v>328</v>
      </c>
      <c r="J97" s="277"/>
      <c r="K97" s="70" t="s">
        <v>329</v>
      </c>
      <c r="Q97" s="244" t="s">
        <v>303</v>
      </c>
      <c r="R97" s="176"/>
      <c r="V97" s="176"/>
      <c r="W97" s="277" t="s">
        <v>328</v>
      </c>
      <c r="Y97" s="277"/>
      <c r="Z97" s="70" t="s">
        <v>329</v>
      </c>
    </row>
    <row r="98" spans="1:26" ht="15" x14ac:dyDescent="0.25">
      <c r="B98" s="178">
        <v>0.05</v>
      </c>
      <c r="C98" s="276">
        <f>C95*B98</f>
        <v>0.36691666666666667</v>
      </c>
      <c r="D98" s="176"/>
      <c r="E98" s="176"/>
      <c r="F98" s="176"/>
      <c r="G98" s="215"/>
      <c r="H98" s="215">
        <f>C100-H100</f>
        <v>3.2114166666666666</v>
      </c>
      <c r="J98" s="277">
        <f>F75*H98</f>
        <v>485.56620000000004</v>
      </c>
      <c r="K98" s="222">
        <f>J98/H75</f>
        <v>5.5052857142857148</v>
      </c>
      <c r="Q98" s="178">
        <v>0.05</v>
      </c>
      <c r="R98" s="276">
        <f>R95*Q98</f>
        <v>0.36691666666666667</v>
      </c>
      <c r="S98" s="176"/>
      <c r="T98" s="176"/>
      <c r="U98" s="176"/>
      <c r="V98" s="215"/>
      <c r="W98" s="215">
        <f>R100-W100</f>
        <v>3.2114166666666666</v>
      </c>
      <c r="Y98" s="277">
        <f>U75*W98</f>
        <v>485.56620000000004</v>
      </c>
      <c r="Z98" s="222">
        <f>Y98/W75</f>
        <v>5.5052857142857148</v>
      </c>
    </row>
    <row r="99" spans="1:26" x14ac:dyDescent="0.2">
      <c r="D99" s="176"/>
      <c r="E99" s="176"/>
      <c r="F99" s="176"/>
      <c r="G99" s="215"/>
      <c r="H99" s="176" t="s">
        <v>304</v>
      </c>
      <c r="S99" s="176"/>
      <c r="T99" s="176"/>
      <c r="U99" s="176"/>
      <c r="V99" s="215"/>
      <c r="W99" s="176" t="s">
        <v>304</v>
      </c>
    </row>
    <row r="100" spans="1:26" x14ac:dyDescent="0.2">
      <c r="B100" s="176"/>
      <c r="C100" s="278">
        <f>SUM(C95:C98)</f>
        <v>7.7052499999999995</v>
      </c>
      <c r="D100" s="183" t="s">
        <v>305</v>
      </c>
      <c r="E100" s="176"/>
      <c r="F100" s="176"/>
      <c r="H100" s="215">
        <f>SUM(C76,C77,C87)*1.05</f>
        <v>4.4938333333333329</v>
      </c>
      <c r="J100" s="222">
        <f>F75*H100</f>
        <v>679.46760000000006</v>
      </c>
      <c r="K100" s="222">
        <f>J100/H75</f>
        <v>7.7037142857142857</v>
      </c>
      <c r="Q100" s="176"/>
      <c r="R100" s="278">
        <f>SUM(R95:R98)</f>
        <v>7.7052499999999995</v>
      </c>
      <c r="S100" s="183" t="s">
        <v>305</v>
      </c>
      <c r="T100" s="176"/>
      <c r="U100" s="176"/>
      <c r="W100" s="215">
        <f>SUM(R76,R77,R87)*1.05</f>
        <v>4.4938333333333329</v>
      </c>
      <c r="Y100" s="222">
        <f>U75*W100</f>
        <v>679.46760000000006</v>
      </c>
      <c r="Z100" s="222">
        <f>Y100/W75</f>
        <v>7.7037142857142857</v>
      </c>
    </row>
    <row r="101" spans="1:26" x14ac:dyDescent="0.2">
      <c r="B101" s="259" t="s">
        <v>306</v>
      </c>
      <c r="C101" s="279"/>
      <c r="D101" s="280">
        <f>C100*F75</f>
        <v>1165.0338000000002</v>
      </c>
      <c r="E101" s="176"/>
      <c r="F101" s="176"/>
      <c r="J101" s="222"/>
      <c r="Q101" s="259" t="s">
        <v>306</v>
      </c>
      <c r="R101" s="279"/>
      <c r="S101" s="280">
        <f>R100*U75</f>
        <v>1165.0338000000002</v>
      </c>
      <c r="T101" s="176"/>
      <c r="U101" s="176"/>
      <c r="Y101" s="222"/>
    </row>
    <row r="102" spans="1:26" x14ac:dyDescent="0.2">
      <c r="B102" s="176"/>
      <c r="C102" s="244"/>
      <c r="D102" s="176"/>
      <c r="E102" s="176"/>
      <c r="F102" s="176"/>
      <c r="Q102" s="176"/>
      <c r="R102" s="244"/>
      <c r="S102" s="176"/>
      <c r="T102" s="176"/>
      <c r="U102" s="176"/>
    </row>
    <row r="103" spans="1:26" x14ac:dyDescent="0.2">
      <c r="A103" t="s">
        <v>307</v>
      </c>
      <c r="B103" s="70" t="s">
        <v>335</v>
      </c>
      <c r="C103" s="291">
        <v>2.46</v>
      </c>
      <c r="D103" s="104"/>
      <c r="E103" s="242"/>
      <c r="F103" s="242"/>
      <c r="G103" s="176"/>
      <c r="P103" t="s">
        <v>307</v>
      </c>
      <c r="Q103" s="70" t="s">
        <v>335</v>
      </c>
      <c r="R103" s="291">
        <v>3.73</v>
      </c>
      <c r="S103" s="104"/>
      <c r="T103" s="242"/>
      <c r="U103" s="242"/>
      <c r="V103" s="176"/>
    </row>
    <row r="104" spans="1:26" x14ac:dyDescent="0.2">
      <c r="B104" s="176" t="s">
        <v>326</v>
      </c>
      <c r="C104" s="296">
        <v>0.31</v>
      </c>
      <c r="D104" s="176"/>
      <c r="E104" s="242"/>
      <c r="F104" s="242"/>
      <c r="G104" s="176"/>
      <c r="H104" s="251"/>
      <c r="Q104" s="176" t="s">
        <v>326</v>
      </c>
      <c r="R104" s="296">
        <v>0.31</v>
      </c>
      <c r="S104" s="176"/>
      <c r="T104" s="242"/>
      <c r="U104" s="242"/>
      <c r="V104" s="176"/>
      <c r="W104" s="251"/>
    </row>
    <row r="105" spans="1:26" x14ac:dyDescent="0.2">
      <c r="B105" s="176" t="s">
        <v>235</v>
      </c>
      <c r="C105" s="246">
        <v>0.09</v>
      </c>
      <c r="D105" s="176"/>
      <c r="E105" s="176"/>
      <c r="F105" s="176"/>
      <c r="G105" s="176"/>
      <c r="H105" s="274"/>
      <c r="Q105" s="176" t="s">
        <v>235</v>
      </c>
      <c r="R105" s="246">
        <v>0.09</v>
      </c>
      <c r="S105" s="176"/>
      <c r="T105" s="176"/>
      <c r="U105" s="176"/>
      <c r="V105" s="176"/>
      <c r="W105" s="274"/>
    </row>
    <row r="106" spans="1:26" x14ac:dyDescent="0.2">
      <c r="B106" s="176"/>
      <c r="D106" s="176"/>
      <c r="E106" s="176"/>
      <c r="F106" s="176"/>
      <c r="G106" s="176"/>
      <c r="Q106" s="176"/>
      <c r="S106" s="176"/>
      <c r="T106" s="176"/>
      <c r="U106" s="176"/>
      <c r="V106" s="176"/>
    </row>
    <row r="107" spans="1:26" x14ac:dyDescent="0.2">
      <c r="B107" s="244" t="s">
        <v>311</v>
      </c>
      <c r="E107" s="176"/>
      <c r="F107" s="176"/>
      <c r="G107" s="251"/>
      <c r="Q107" s="244" t="s">
        <v>311</v>
      </c>
      <c r="T107" s="176"/>
      <c r="U107" s="176"/>
      <c r="V107" s="251"/>
    </row>
    <row r="108" spans="1:26" x14ac:dyDescent="0.2">
      <c r="B108" s="176" t="s">
        <v>327</v>
      </c>
      <c r="C108" s="176"/>
      <c r="D108" s="273">
        <f>D75/0.6</f>
        <v>35</v>
      </c>
      <c r="E108" s="176"/>
      <c r="F108" s="176"/>
      <c r="G108" s="176"/>
      <c r="Q108" s="176" t="s">
        <v>327</v>
      </c>
      <c r="R108" s="176"/>
      <c r="S108" s="273">
        <f>S75/0.6</f>
        <v>35</v>
      </c>
      <c r="T108" s="176"/>
      <c r="U108" s="176"/>
      <c r="V108" s="176"/>
    </row>
    <row r="109" spans="1:26" x14ac:dyDescent="0.2">
      <c r="B109" s="176" t="s">
        <v>312</v>
      </c>
      <c r="C109" s="176"/>
      <c r="D109" s="273">
        <f>D108</f>
        <v>35</v>
      </c>
      <c r="E109" s="176" t="s">
        <v>313</v>
      </c>
      <c r="F109" s="251">
        <v>2.5</v>
      </c>
      <c r="Q109" s="176" t="s">
        <v>312</v>
      </c>
      <c r="R109" s="176"/>
      <c r="S109" s="273">
        <f>S108</f>
        <v>35</v>
      </c>
      <c r="T109" s="176" t="s">
        <v>313</v>
      </c>
      <c r="U109" s="251">
        <v>2.5</v>
      </c>
    </row>
    <row r="110" spans="1:26" x14ac:dyDescent="0.2">
      <c r="B110" s="176"/>
      <c r="C110" s="274">
        <f>SUM(D109*F109)/G75</f>
        <v>2.0833333333333335</v>
      </c>
      <c r="D110" s="275" t="s">
        <v>299</v>
      </c>
      <c r="E110" s="176"/>
      <c r="F110" s="176"/>
      <c r="H110" s="210"/>
      <c r="Q110" s="176"/>
      <c r="R110" s="274">
        <f>SUM(S109*U109)/V75</f>
        <v>2.0833333333333335</v>
      </c>
      <c r="S110" s="275" t="s">
        <v>299</v>
      </c>
      <c r="T110" s="176"/>
      <c r="U110" s="176"/>
      <c r="W110" s="210"/>
    </row>
    <row r="111" spans="1:26" x14ac:dyDescent="0.2">
      <c r="B111" s="176"/>
      <c r="C111" s="274"/>
      <c r="D111" s="275"/>
      <c r="E111" s="176"/>
      <c r="F111" s="176"/>
      <c r="G111" s="176"/>
      <c r="I111" s="222"/>
      <c r="Q111" s="176"/>
      <c r="R111" s="274"/>
      <c r="S111" s="275"/>
      <c r="T111" s="176"/>
      <c r="U111" s="176"/>
      <c r="V111" s="176"/>
      <c r="X111" s="222"/>
    </row>
    <row r="112" spans="1:26" ht="15" x14ac:dyDescent="0.25">
      <c r="B112" s="176"/>
      <c r="C112" s="202">
        <f>SUM(C103:C110)</f>
        <v>4.9433333333333334</v>
      </c>
      <c r="D112" s="176"/>
      <c r="E112" s="176"/>
      <c r="F112" s="176"/>
      <c r="G112" s="277"/>
      <c r="I112" s="277"/>
      <c r="Q112" s="176"/>
      <c r="R112" s="202">
        <f>SUM(R103:R110)</f>
        <v>6.2133333333333329</v>
      </c>
      <c r="S112" s="176"/>
      <c r="T112" s="176"/>
      <c r="U112" s="176"/>
      <c r="V112" s="277"/>
      <c r="X112" s="277"/>
    </row>
    <row r="113" spans="1:29" ht="15" x14ac:dyDescent="0.25">
      <c r="B113" s="176" t="s">
        <v>236</v>
      </c>
      <c r="C113" s="254">
        <f>SUM(C112*0.05)</f>
        <v>0.24716666666666667</v>
      </c>
      <c r="D113" s="176"/>
      <c r="E113" s="176"/>
      <c r="F113" s="176"/>
      <c r="G113" s="215"/>
      <c r="I113" s="277"/>
      <c r="Q113" s="176" t="s">
        <v>236</v>
      </c>
      <c r="R113" s="254">
        <f>SUM(R112*0.05)</f>
        <v>0.31066666666666665</v>
      </c>
      <c r="S113" s="176"/>
      <c r="T113" s="176"/>
      <c r="U113" s="176"/>
      <c r="V113" s="215"/>
      <c r="X113" s="277"/>
    </row>
    <row r="114" spans="1:29" x14ac:dyDescent="0.2">
      <c r="B114" s="176"/>
      <c r="C114" s="105">
        <f>SUM(C112:C113)</f>
        <v>5.1905000000000001</v>
      </c>
      <c r="D114" s="176"/>
      <c r="E114" s="176"/>
      <c r="F114" s="176"/>
      <c r="G114" s="176"/>
      <c r="Q114" s="176"/>
      <c r="R114" s="105">
        <f>SUM(R112:R113)</f>
        <v>6.5239999999999991</v>
      </c>
      <c r="S114" s="176"/>
      <c r="T114" s="176"/>
      <c r="U114" s="176"/>
      <c r="V114" s="176"/>
    </row>
    <row r="115" spans="1:29" x14ac:dyDescent="0.2">
      <c r="A115" t="s">
        <v>307</v>
      </c>
      <c r="B115" s="244" t="s">
        <v>238</v>
      </c>
      <c r="C115" s="176"/>
      <c r="D115" s="183" t="s">
        <v>301</v>
      </c>
      <c r="E115" s="176"/>
      <c r="F115" s="176"/>
      <c r="G115" s="274"/>
      <c r="P115" t="s">
        <v>307</v>
      </c>
      <c r="Q115" s="244" t="s">
        <v>238</v>
      </c>
      <c r="R115" s="176"/>
      <c r="S115" s="183" t="s">
        <v>301</v>
      </c>
      <c r="T115" s="176"/>
      <c r="U115" s="176"/>
      <c r="V115" s="274"/>
    </row>
    <row r="116" spans="1:29" ht="15" x14ac:dyDescent="0.25">
      <c r="B116" s="70" t="s">
        <v>302</v>
      </c>
      <c r="D116" s="257">
        <v>55</v>
      </c>
      <c r="E116" s="176"/>
      <c r="F116" s="176"/>
      <c r="G116" s="274"/>
      <c r="H116" s="277" t="s">
        <v>328</v>
      </c>
      <c r="J116" s="277"/>
      <c r="K116" s="70" t="s">
        <v>329</v>
      </c>
      <c r="Q116" s="70" t="s">
        <v>302</v>
      </c>
      <c r="S116" s="257">
        <v>55</v>
      </c>
      <c r="T116" s="176"/>
      <c r="U116" s="176"/>
      <c r="V116" s="274"/>
      <c r="W116" s="277" t="s">
        <v>328</v>
      </c>
      <c r="Y116" s="277"/>
      <c r="Z116" s="70" t="s">
        <v>329</v>
      </c>
    </row>
    <row r="117" spans="1:29" ht="15" x14ac:dyDescent="0.25">
      <c r="B117" s="210">
        <v>4</v>
      </c>
      <c r="C117" s="282">
        <f>D116/B117</f>
        <v>13.75</v>
      </c>
      <c r="E117" s="176"/>
      <c r="F117" s="176"/>
      <c r="H117" s="215">
        <f>C121-H119</f>
        <v>14.791525</v>
      </c>
      <c r="J117" s="277">
        <f>G75*H117</f>
        <v>621.24405000000002</v>
      </c>
      <c r="K117" s="222">
        <f>J117/H75</f>
        <v>7.0435833333333333</v>
      </c>
      <c r="Q117" s="210">
        <v>4</v>
      </c>
      <c r="R117" s="282">
        <f>S116/Q117</f>
        <v>13.75</v>
      </c>
      <c r="T117" s="176"/>
      <c r="U117" s="176"/>
      <c r="W117" s="215">
        <f>R121-W119</f>
        <v>14.8582</v>
      </c>
      <c r="Y117" s="277">
        <f>V75*W117</f>
        <v>624.0444</v>
      </c>
      <c r="Z117" s="222">
        <f>Y117/W75</f>
        <v>7.075333333333333</v>
      </c>
    </row>
    <row r="118" spans="1:29" x14ac:dyDescent="0.2">
      <c r="B118" s="176"/>
      <c r="C118" s="105">
        <f>SUM(C114:C117)</f>
        <v>18.9405</v>
      </c>
      <c r="D118" s="176"/>
      <c r="E118" s="176"/>
      <c r="F118" s="176"/>
      <c r="G118" s="176"/>
      <c r="H118" s="176" t="s">
        <v>304</v>
      </c>
      <c r="Q118" s="176"/>
      <c r="R118" s="105">
        <f>SUM(R114:R117)</f>
        <v>20.274000000000001</v>
      </c>
      <c r="S118" s="176"/>
      <c r="T118" s="176"/>
      <c r="U118" s="176"/>
      <c r="V118" s="176"/>
      <c r="W118" s="176" t="s">
        <v>304</v>
      </c>
    </row>
    <row r="119" spans="1:29" x14ac:dyDescent="0.2">
      <c r="B119" s="244" t="s">
        <v>303</v>
      </c>
      <c r="C119" s="176"/>
      <c r="D119" s="176"/>
      <c r="E119" s="176"/>
      <c r="F119" s="176"/>
      <c r="H119" s="215">
        <f>SUM(C103,C104,C110)*1.05</f>
        <v>5.0960000000000001</v>
      </c>
      <c r="J119" s="222">
        <f>H119*G75</f>
        <v>214.03200000000001</v>
      </c>
      <c r="K119" s="222">
        <f>J119/H75</f>
        <v>2.4266666666666667</v>
      </c>
      <c r="Q119" s="244" t="s">
        <v>303</v>
      </c>
      <c r="R119" s="176"/>
      <c r="S119" s="176"/>
      <c r="T119" s="176"/>
      <c r="U119" s="176"/>
      <c r="W119" s="215">
        <f>SUM(R103,R104,R110)*1.05</f>
        <v>6.4295</v>
      </c>
      <c r="Y119" s="222">
        <f>W119*V75</f>
        <v>270.03899999999999</v>
      </c>
      <c r="Z119" s="222">
        <f>Y119/W75</f>
        <v>3.0616666666666665</v>
      </c>
    </row>
    <row r="120" spans="1:29" ht="15" x14ac:dyDescent="0.25">
      <c r="B120" s="178">
        <v>0.05</v>
      </c>
      <c r="C120" s="276">
        <f>C118*B120</f>
        <v>0.94702500000000001</v>
      </c>
      <c r="D120" s="176"/>
      <c r="E120" s="176"/>
      <c r="F120" s="176"/>
      <c r="H120" s="214"/>
      <c r="I120" s="214"/>
      <c r="J120" s="222"/>
      <c r="Q120" s="178">
        <v>0.05</v>
      </c>
      <c r="R120" s="276">
        <f>R118*Q120</f>
        <v>1.0137</v>
      </c>
      <c r="S120" s="176"/>
      <c r="T120" s="176"/>
      <c r="U120" s="176"/>
      <c r="W120" s="214"/>
      <c r="X120" s="214"/>
      <c r="Y120" s="222"/>
    </row>
    <row r="121" spans="1:29" ht="15" x14ac:dyDescent="0.25">
      <c r="B121" s="176"/>
      <c r="C121" s="278">
        <f>SUM(C118:C120)</f>
        <v>19.887525</v>
      </c>
      <c r="D121" s="183" t="s">
        <v>305</v>
      </c>
      <c r="E121" s="176"/>
      <c r="F121" s="176"/>
      <c r="H121" s="284"/>
      <c r="I121" s="284"/>
      <c r="Q121" s="176"/>
      <c r="R121" s="278">
        <f>SUM(R118:R120)</f>
        <v>21.287700000000001</v>
      </c>
      <c r="S121" s="183" t="s">
        <v>305</v>
      </c>
      <c r="T121" s="176"/>
      <c r="U121" s="176"/>
      <c r="W121" s="284"/>
      <c r="X121" s="284"/>
    </row>
    <row r="122" spans="1:29" x14ac:dyDescent="0.2">
      <c r="B122" s="259" t="s">
        <v>314</v>
      </c>
      <c r="C122" s="283"/>
      <c r="D122" s="280">
        <f>SUM(C121*G75)</f>
        <v>835.27605000000005</v>
      </c>
      <c r="E122" s="176"/>
      <c r="F122" s="176"/>
      <c r="L122" s="70" t="s">
        <v>330</v>
      </c>
      <c r="M122" s="222">
        <f>SUM(K98,K117)</f>
        <v>12.548869047619048</v>
      </c>
      <c r="N122" s="263">
        <f>M122/D116</f>
        <v>0.22816125541125543</v>
      </c>
      <c r="Q122" s="259" t="s">
        <v>314</v>
      </c>
      <c r="R122" s="283"/>
      <c r="S122" s="280">
        <f>SUM(R121*V75)</f>
        <v>894.08339999999998</v>
      </c>
      <c r="T122" s="176"/>
      <c r="U122" s="176"/>
      <c r="AA122" s="70" t="s">
        <v>330</v>
      </c>
      <c r="AB122" s="222">
        <f>SUM(Z98,Z117)</f>
        <v>12.580619047619049</v>
      </c>
      <c r="AC122" s="263">
        <f>AB122/S116</f>
        <v>0.22873852813852816</v>
      </c>
    </row>
    <row r="123" spans="1:29" ht="15" x14ac:dyDescent="0.25">
      <c r="B123" t="s">
        <v>315</v>
      </c>
      <c r="D123" s="210">
        <f>SUM(D101+D122)</f>
        <v>2000.3098500000001</v>
      </c>
      <c r="E123" t="s">
        <v>316</v>
      </c>
      <c r="G123" s="214" t="s">
        <v>317</v>
      </c>
      <c r="L123" s="70" t="s">
        <v>331</v>
      </c>
      <c r="M123" s="222">
        <f>SUM(K100,K119)</f>
        <v>10.130380952380953</v>
      </c>
      <c r="Q123" t="s">
        <v>315</v>
      </c>
      <c r="S123" s="210">
        <f>SUM(S101+S122)</f>
        <v>2059.1172000000001</v>
      </c>
      <c r="T123" t="s">
        <v>316</v>
      </c>
      <c r="V123" s="214" t="s">
        <v>317</v>
      </c>
      <c r="AA123" s="70" t="s">
        <v>331</v>
      </c>
      <c r="AB123" s="222">
        <f>SUM(Z100,Z119)</f>
        <v>10.765380952380951</v>
      </c>
    </row>
    <row r="124" spans="1:29" ht="15.75" thickBot="1" x14ac:dyDescent="0.3">
      <c r="D124" s="285">
        <f>SUM(D123/H75)</f>
        <v>22.67925</v>
      </c>
      <c r="E124" s="214" t="s">
        <v>45</v>
      </c>
      <c r="F124" t="s">
        <v>319</v>
      </c>
      <c r="G124" s="210">
        <f>SUM(F75/15)</f>
        <v>10.080000000000002</v>
      </c>
      <c r="S124" s="285">
        <f>SUM(S123/W75)</f>
        <v>23.346</v>
      </c>
      <c r="T124" s="214" t="s">
        <v>45</v>
      </c>
      <c r="U124" t="s">
        <v>319</v>
      </c>
      <c r="V124" s="210">
        <f>SUM(U75/15)</f>
        <v>10.080000000000002</v>
      </c>
    </row>
    <row r="125" spans="1:29" ht="15.75" thickTop="1" x14ac:dyDescent="0.25">
      <c r="D125" s="286">
        <f>D123/D75</f>
        <v>95.252850000000009</v>
      </c>
      <c r="E125" s="214" t="s">
        <v>46</v>
      </c>
      <c r="F125" t="s">
        <v>320</v>
      </c>
      <c r="G125" s="210">
        <f>G75/4</f>
        <v>10.5</v>
      </c>
      <c r="H125" t="s">
        <v>321</v>
      </c>
      <c r="S125" s="286">
        <f>S123/S75</f>
        <v>98.053200000000004</v>
      </c>
      <c r="T125" s="214" t="s">
        <v>46</v>
      </c>
      <c r="U125" t="s">
        <v>320</v>
      </c>
      <c r="V125" s="210">
        <f>V75/4</f>
        <v>10.5</v>
      </c>
      <c r="W125" t="s">
        <v>321</v>
      </c>
    </row>
    <row r="126" spans="1:29" x14ac:dyDescent="0.2">
      <c r="B126" t="s">
        <v>318</v>
      </c>
      <c r="D126" s="222">
        <f>H121</f>
        <v>0</v>
      </c>
      <c r="E126" t="s">
        <v>45</v>
      </c>
      <c r="G126" s="210">
        <f>SUM(G124:G125)</f>
        <v>20.580000000000002</v>
      </c>
      <c r="H126" s="210">
        <f>G126*50</f>
        <v>1029</v>
      </c>
      <c r="Q126" t="s">
        <v>318</v>
      </c>
      <c r="S126" s="222">
        <f>W121</f>
        <v>0</v>
      </c>
      <c r="T126" t="s">
        <v>45</v>
      </c>
      <c r="V126" s="210">
        <f>SUM(V124:V125)</f>
        <v>20.580000000000002</v>
      </c>
      <c r="W126" s="210">
        <f>V126*50</f>
        <v>1029</v>
      </c>
    </row>
    <row r="127" spans="1:29" x14ac:dyDescent="0.2">
      <c r="B127" t="s">
        <v>246</v>
      </c>
      <c r="D127" s="222">
        <f>D124-D126</f>
        <v>22.67925</v>
      </c>
      <c r="E127" t="s">
        <v>45</v>
      </c>
      <c r="F127" t="s">
        <v>322</v>
      </c>
      <c r="G127" s="210">
        <f>SUM(H75/G126)*9</f>
        <v>38.571428571428569</v>
      </c>
      <c r="Q127" t="s">
        <v>246</v>
      </c>
      <c r="S127" s="222">
        <f>S124-S126</f>
        <v>23.346</v>
      </c>
      <c r="T127" t="s">
        <v>45</v>
      </c>
      <c r="U127" t="s">
        <v>322</v>
      </c>
      <c r="V127" s="210">
        <f>SUM(W75/V126)*9</f>
        <v>38.571428571428569</v>
      </c>
    </row>
    <row r="131" spans="1:26" x14ac:dyDescent="0.2">
      <c r="A131" s="269"/>
      <c r="B131" s="269"/>
      <c r="C131" s="269"/>
      <c r="D131" s="269"/>
      <c r="E131" s="269"/>
      <c r="F131" s="269"/>
      <c r="G131" s="269"/>
      <c r="H131" s="269"/>
      <c r="I131" s="269"/>
      <c r="J131" s="269"/>
      <c r="K131" s="269"/>
      <c r="P131" s="269"/>
      <c r="Q131" s="269"/>
      <c r="R131" s="269"/>
      <c r="S131" s="269"/>
      <c r="T131" s="269"/>
      <c r="U131" s="269"/>
      <c r="V131" s="269"/>
      <c r="W131" s="269"/>
      <c r="X131" s="269"/>
      <c r="Y131" s="269"/>
      <c r="Z131" s="269"/>
    </row>
  </sheetData>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CC565-2C16-4A86-B3DC-6356A86D4DEA}">
  <sheetPr>
    <pageSetUpPr fitToPage="1"/>
  </sheetPr>
  <dimension ref="A1:AB620"/>
  <sheetViews>
    <sheetView topLeftCell="A560" zoomScale="85" zoomScaleNormal="85" workbookViewId="0">
      <selection activeCell="P575" sqref="P575:S576"/>
    </sheetView>
  </sheetViews>
  <sheetFormatPr defaultRowHeight="12.75" x14ac:dyDescent="0.2"/>
  <cols>
    <col min="1" max="1" width="4.85546875" style="12" customWidth="1"/>
    <col min="2" max="2" width="44" style="12" customWidth="1"/>
    <col min="3" max="3" width="22" style="12" customWidth="1"/>
    <col min="4" max="4" width="12.140625" style="12" customWidth="1"/>
    <col min="5" max="5" width="8" style="12" customWidth="1"/>
    <col min="6" max="7" width="11.5703125" style="12" customWidth="1"/>
    <col min="8" max="8" width="15" style="12" customWidth="1"/>
    <col min="9" max="9" width="10.42578125" style="12" customWidth="1"/>
    <col min="10" max="10" width="12.5703125" style="12" bestFit="1" customWidth="1"/>
    <col min="11" max="12" width="11.5703125" style="12" customWidth="1"/>
    <col min="13" max="13" width="14.7109375" style="12" customWidth="1"/>
    <col min="14" max="14" width="11" style="84" customWidth="1"/>
    <col min="15" max="19" width="13.140625" style="12" customWidth="1"/>
    <col min="20" max="20" width="13" style="12" customWidth="1"/>
    <col min="21" max="21" width="10.85546875" style="12" customWidth="1"/>
    <col min="22" max="22" width="11.7109375" style="12" customWidth="1"/>
    <col min="23" max="23" width="15.42578125" style="12" customWidth="1"/>
    <col min="24" max="24" width="9.140625" style="12" customWidth="1"/>
    <col min="25" max="25" width="14.7109375" style="12" customWidth="1"/>
    <col min="26" max="26" width="12.28515625" style="12" customWidth="1"/>
    <col min="27" max="16384" width="9.140625" style="12"/>
  </cols>
  <sheetData>
    <row r="1" spans="1:28" ht="15.75" x14ac:dyDescent="0.2">
      <c r="A1" s="11"/>
      <c r="B1" s="2" t="e">
        <f>Summary!#REF!</f>
        <v>#REF!</v>
      </c>
      <c r="C1" s="11"/>
      <c r="D1" s="11"/>
      <c r="E1" s="11"/>
      <c r="F1" s="11"/>
      <c r="G1" s="11"/>
      <c r="H1" s="11"/>
      <c r="I1" s="11"/>
      <c r="J1" s="11"/>
      <c r="K1" s="11"/>
      <c r="L1" s="11"/>
      <c r="M1" s="11"/>
    </row>
    <row r="2" spans="1:28" ht="15.75" x14ac:dyDescent="0.2">
      <c r="A2" s="11"/>
      <c r="B2" s="10" t="e">
        <f>Summary!#REF!</f>
        <v>#REF!</v>
      </c>
      <c r="C2" s="11"/>
      <c r="D2" s="11"/>
      <c r="E2" s="11"/>
      <c r="F2" s="11"/>
      <c r="G2" s="11"/>
      <c r="H2" s="11"/>
      <c r="I2" s="11"/>
      <c r="J2" s="11"/>
      <c r="K2" s="11"/>
      <c r="L2" s="11"/>
      <c r="M2" s="11"/>
    </row>
    <row r="3" spans="1:28" ht="15.75" x14ac:dyDescent="0.2">
      <c r="A3" s="11"/>
      <c r="B3" s="10" t="e">
        <f>Summary!#REF!</f>
        <v>#REF!</v>
      </c>
      <c r="C3" s="11"/>
      <c r="D3" s="11"/>
      <c r="E3" s="11"/>
      <c r="F3" s="11"/>
      <c r="G3" s="11"/>
      <c r="H3" s="11"/>
      <c r="I3" s="11"/>
      <c r="J3" s="11"/>
      <c r="K3" s="11"/>
      <c r="L3" s="11"/>
      <c r="M3" s="11"/>
    </row>
    <row r="4" spans="1:28" ht="15.75" x14ac:dyDescent="0.2">
      <c r="A4" s="11"/>
      <c r="B4" s="5"/>
      <c r="C4" s="11"/>
      <c r="D4" s="11"/>
      <c r="E4" s="11"/>
      <c r="F4" s="11"/>
      <c r="G4" s="11"/>
      <c r="H4" s="11"/>
      <c r="I4" s="11"/>
      <c r="J4" s="11"/>
      <c r="K4" s="11"/>
      <c r="L4" s="11"/>
      <c r="M4" s="11"/>
    </row>
    <row r="5" spans="1:28" ht="15.75" x14ac:dyDescent="0.2">
      <c r="A5" s="11"/>
      <c r="B5" s="5"/>
      <c r="C5" s="11"/>
      <c r="D5" s="11"/>
      <c r="E5" s="11"/>
      <c r="F5" s="11"/>
      <c r="G5" s="11"/>
      <c r="H5" s="11"/>
      <c r="I5" s="11"/>
      <c r="J5" s="11"/>
      <c r="K5" s="11"/>
      <c r="L5" s="11"/>
      <c r="M5" s="11"/>
    </row>
    <row r="6" spans="1:28" ht="15.75" x14ac:dyDescent="0.2">
      <c r="A6" s="11"/>
      <c r="B6" s="5">
        <v>45853</v>
      </c>
      <c r="C6" s="11"/>
      <c r="D6" s="11"/>
      <c r="E6" s="11"/>
      <c r="F6" s="11"/>
      <c r="G6" s="11"/>
      <c r="H6" s="11"/>
      <c r="I6" s="11"/>
      <c r="J6" s="11"/>
      <c r="K6" s="11"/>
      <c r="L6" s="11"/>
      <c r="M6" s="11"/>
    </row>
    <row r="7" spans="1:28" ht="15.75" x14ac:dyDescent="0.2">
      <c r="A7" s="11"/>
      <c r="B7" s="5"/>
      <c r="C7" s="11"/>
      <c r="D7" s="11"/>
      <c r="E7" s="11"/>
      <c r="F7" s="11"/>
      <c r="G7" s="11"/>
      <c r="H7" s="11"/>
      <c r="I7" s="11"/>
      <c r="J7" s="11"/>
      <c r="K7" s="11"/>
      <c r="L7" s="11"/>
      <c r="M7" s="11"/>
    </row>
    <row r="8" spans="1:28" ht="15.75" x14ac:dyDescent="0.2">
      <c r="A8" s="11"/>
      <c r="B8" s="128"/>
      <c r="C8" s="11"/>
      <c r="D8" s="11"/>
      <c r="E8" s="11"/>
      <c r="F8" s="11"/>
      <c r="G8" s="11"/>
      <c r="H8" s="11"/>
      <c r="I8" s="11"/>
      <c r="J8" s="11"/>
      <c r="K8" s="11"/>
      <c r="L8" s="11"/>
      <c r="M8" s="11"/>
    </row>
    <row r="9" spans="1:28" ht="23.25" customHeight="1" x14ac:dyDescent="0.2">
      <c r="A9" s="13"/>
      <c r="B9" s="54" t="s">
        <v>50</v>
      </c>
      <c r="C9" s="14"/>
      <c r="D9" s="13"/>
      <c r="E9" s="13"/>
      <c r="F9" s="13"/>
      <c r="G9" s="13"/>
      <c r="H9" s="13"/>
      <c r="I9" s="13"/>
      <c r="J9" s="13"/>
      <c r="K9" s="13"/>
      <c r="L9" s="13"/>
      <c r="M9" s="15"/>
      <c r="N9" s="85"/>
      <c r="O9" s="52"/>
      <c r="P9" s="52"/>
      <c r="Q9" s="52"/>
      <c r="R9" s="52"/>
      <c r="S9" s="52"/>
      <c r="U9" s="16"/>
      <c r="V9" s="16"/>
      <c r="W9" s="56"/>
      <c r="Z9" s="17"/>
    </row>
    <row r="10" spans="1:28" ht="23.25" customHeight="1" x14ac:dyDescent="0.2">
      <c r="A10" s="13"/>
      <c r="B10" s="54"/>
      <c r="C10" s="14"/>
      <c r="D10" s="13"/>
      <c r="E10" s="13"/>
      <c r="F10" s="13"/>
      <c r="G10" s="13"/>
      <c r="H10" s="13"/>
      <c r="I10" s="13"/>
      <c r="J10" s="13"/>
      <c r="K10" s="13"/>
      <c r="L10" s="13"/>
      <c r="M10" s="15"/>
      <c r="N10" s="85"/>
      <c r="O10" s="52"/>
      <c r="P10" s="52"/>
      <c r="Q10" s="52"/>
      <c r="R10" s="52"/>
      <c r="S10" s="52"/>
      <c r="U10" s="16"/>
      <c r="V10" s="16"/>
      <c r="W10" s="56"/>
      <c r="Z10" s="17"/>
    </row>
    <row r="11" spans="1:28" x14ac:dyDescent="0.2">
      <c r="A11" s="18"/>
      <c r="B11" s="19"/>
      <c r="C11" s="13"/>
      <c r="D11" s="13"/>
      <c r="F11" s="16"/>
      <c r="G11" s="16"/>
      <c r="H11" s="406">
        <v>40</v>
      </c>
      <c r="I11" s="56"/>
      <c r="M11" s="15"/>
      <c r="N11" s="85"/>
      <c r="O11" s="52"/>
      <c r="P11" s="52"/>
      <c r="Q11" s="52"/>
      <c r="R11" s="52"/>
      <c r="S11" s="52"/>
      <c r="U11" s="16"/>
      <c r="V11" s="64"/>
      <c r="W11" s="56"/>
      <c r="Z11" s="17"/>
    </row>
    <row r="12" spans="1:28" ht="99" customHeight="1" x14ac:dyDescent="0.2">
      <c r="A12" s="20" t="s">
        <v>0</v>
      </c>
      <c r="B12" s="21" t="s">
        <v>1</v>
      </c>
      <c r="C12" s="89" t="s">
        <v>2</v>
      </c>
      <c r="D12" s="89" t="s">
        <v>3</v>
      </c>
      <c r="E12" s="73" t="s">
        <v>18</v>
      </c>
      <c r="F12" s="74" t="s">
        <v>25</v>
      </c>
      <c r="G12" s="74" t="s">
        <v>27</v>
      </c>
      <c r="H12" s="74" t="s">
        <v>20</v>
      </c>
      <c r="I12" s="74" t="s">
        <v>26</v>
      </c>
      <c r="J12" s="74" t="s">
        <v>19</v>
      </c>
      <c r="K12" s="73" t="s">
        <v>21</v>
      </c>
      <c r="L12" s="73" t="s">
        <v>22</v>
      </c>
      <c r="M12" s="90" t="s">
        <v>4</v>
      </c>
      <c r="N12" s="91" t="s">
        <v>24</v>
      </c>
      <c r="O12" s="94" t="s">
        <v>23</v>
      </c>
      <c r="P12" s="453"/>
      <c r="Q12" s="453"/>
      <c r="R12" s="453"/>
      <c r="S12" s="453"/>
      <c r="T12" s="62"/>
      <c r="U12" s="63"/>
      <c r="V12" s="63"/>
      <c r="W12" s="63"/>
      <c r="X12" s="63"/>
      <c r="Y12" s="62"/>
      <c r="Z12" s="62"/>
      <c r="AA12" s="62"/>
      <c r="AB12" s="22"/>
    </row>
    <row r="13" spans="1:28" s="70" customFormat="1" ht="14.25" x14ac:dyDescent="0.2">
      <c r="A13" s="60"/>
      <c r="B13" s="114"/>
      <c r="C13" s="61"/>
      <c r="D13" s="72"/>
      <c r="E13" s="115"/>
      <c r="F13" s="116"/>
      <c r="G13" s="116"/>
      <c r="H13" s="116"/>
      <c r="I13" s="117"/>
      <c r="J13" s="115"/>
      <c r="K13" s="115"/>
      <c r="L13" s="115"/>
      <c r="M13" s="137"/>
      <c r="N13" s="138"/>
      <c r="O13" s="139"/>
      <c r="P13" s="454"/>
      <c r="Q13" s="454"/>
      <c r="R13" s="454"/>
      <c r="S13" s="454"/>
      <c r="T13" s="62"/>
      <c r="U13" s="63"/>
      <c r="V13" s="63"/>
      <c r="W13" s="63"/>
      <c r="X13" s="63"/>
      <c r="Y13" s="62"/>
      <c r="Z13" s="62"/>
    </row>
    <row r="14" spans="1:28" s="70" customFormat="1" ht="15.75" x14ac:dyDescent="0.2">
      <c r="A14" s="60"/>
      <c r="B14" s="172"/>
      <c r="C14" s="61"/>
      <c r="D14" s="72"/>
      <c r="E14" s="140"/>
      <c r="F14" s="141"/>
      <c r="G14" s="141"/>
      <c r="H14" s="141"/>
      <c r="I14" s="142"/>
      <c r="J14" s="140"/>
      <c r="K14" s="140"/>
      <c r="L14" s="140"/>
      <c r="M14" s="143"/>
      <c r="N14" s="144"/>
      <c r="O14" s="145"/>
      <c r="P14" s="454"/>
      <c r="Q14" s="454"/>
      <c r="R14" s="454"/>
      <c r="S14" s="454"/>
      <c r="T14" s="62"/>
      <c r="U14" s="63"/>
      <c r="V14" s="63"/>
      <c r="W14" s="63"/>
      <c r="X14" s="63"/>
      <c r="Y14" s="62"/>
      <c r="Z14" s="62"/>
    </row>
    <row r="15" spans="1:28" s="70" customFormat="1" ht="15" x14ac:dyDescent="0.2">
      <c r="A15" s="60"/>
      <c r="B15" s="169" t="s">
        <v>66</v>
      </c>
      <c r="C15" s="61"/>
      <c r="D15" s="72"/>
      <c r="E15" s="140"/>
      <c r="F15" s="141"/>
      <c r="G15" s="141"/>
      <c r="H15" s="141"/>
      <c r="I15" s="142"/>
      <c r="J15" s="140"/>
      <c r="K15" s="140"/>
      <c r="L15" s="140"/>
      <c r="M15" s="143"/>
      <c r="N15" s="144"/>
      <c r="O15" s="145"/>
      <c r="P15" s="454"/>
      <c r="Q15" s="454"/>
      <c r="R15" s="454"/>
      <c r="S15" s="454"/>
      <c r="T15" s="394">
        <f>SUM(C17,C18,C20)</f>
        <v>107</v>
      </c>
      <c r="U15" s="63"/>
      <c r="V15" s="63"/>
      <c r="W15" s="63"/>
      <c r="X15" s="63"/>
      <c r="Y15" s="62"/>
      <c r="Z15" s="62"/>
    </row>
    <row r="16" spans="1:28" s="70" customFormat="1" ht="14.25" x14ac:dyDescent="0.2">
      <c r="A16" s="60"/>
      <c r="B16" s="165" t="s">
        <v>63</v>
      </c>
      <c r="C16" s="61"/>
      <c r="D16" s="72"/>
      <c r="E16" s="140"/>
      <c r="F16" s="141"/>
      <c r="G16" s="141"/>
      <c r="H16" s="141"/>
      <c r="I16" s="142"/>
      <c r="J16" s="140"/>
      <c r="K16" s="140"/>
      <c r="L16" s="140"/>
      <c r="M16" s="143"/>
      <c r="N16" s="144"/>
      <c r="O16" s="145"/>
      <c r="P16" s="454"/>
      <c r="Q16" s="454"/>
      <c r="R16" s="454"/>
      <c r="S16" s="454"/>
      <c r="T16" s="62"/>
      <c r="U16" s="63"/>
      <c r="V16" s="63"/>
      <c r="W16" s="63"/>
      <c r="X16" s="63"/>
      <c r="Y16" s="62"/>
      <c r="Z16" s="62"/>
    </row>
    <row r="17" spans="1:28" s="70" customFormat="1" ht="14.25" x14ac:dyDescent="0.2">
      <c r="A17" s="60"/>
      <c r="B17" s="146" t="s">
        <v>99</v>
      </c>
      <c r="C17" s="61">
        <v>65</v>
      </c>
      <c r="D17" s="72" t="s">
        <v>45</v>
      </c>
      <c r="E17" s="122">
        <v>0.2</v>
      </c>
      <c r="F17" s="122">
        <f>C17*E17</f>
        <v>13</v>
      </c>
      <c r="G17" s="122">
        <f>$H$11*E17</f>
        <v>8</v>
      </c>
      <c r="H17" s="123">
        <f>F17*$H$11</f>
        <v>520</v>
      </c>
      <c r="I17" s="135">
        <v>13.51</v>
      </c>
      <c r="J17" s="123">
        <f>C17*I17</f>
        <v>878.15</v>
      </c>
      <c r="K17" s="124">
        <f>SUM(H17,J17)</f>
        <v>1398.15</v>
      </c>
      <c r="L17" s="123">
        <f>K17/C17</f>
        <v>21.51</v>
      </c>
      <c r="M17" s="125">
        <f>C17*L17</f>
        <v>1398.15</v>
      </c>
      <c r="N17" s="131">
        <v>0</v>
      </c>
      <c r="O17" s="118">
        <f>M17*N17</f>
        <v>0</v>
      </c>
      <c r="P17" s="455"/>
      <c r="Q17" s="455"/>
      <c r="R17" s="455"/>
      <c r="S17" s="455"/>
      <c r="T17" s="62"/>
      <c r="U17" s="63"/>
      <c r="V17" s="63"/>
      <c r="W17" s="63"/>
      <c r="X17" s="63"/>
      <c r="Y17" s="62"/>
      <c r="Z17" s="62"/>
    </row>
    <row r="18" spans="1:28" s="70" customFormat="1" ht="14.25" x14ac:dyDescent="0.2">
      <c r="A18" s="60"/>
      <c r="B18" s="1" t="s">
        <v>100</v>
      </c>
      <c r="C18" s="113">
        <v>31</v>
      </c>
      <c r="D18" s="72" t="s">
        <v>45</v>
      </c>
      <c r="E18" s="122">
        <v>0.2</v>
      </c>
      <c r="F18" s="122">
        <f>C18*E18</f>
        <v>6.2</v>
      </c>
      <c r="G18" s="122">
        <f>$H$11*E18</f>
        <v>8</v>
      </c>
      <c r="H18" s="123">
        <f>F18*$H$11</f>
        <v>248</v>
      </c>
      <c r="I18" s="135">
        <v>23.99</v>
      </c>
      <c r="J18" s="123">
        <f>C18*I18</f>
        <v>743.68999999999994</v>
      </c>
      <c r="K18" s="124">
        <f>SUM(H18,J18)</f>
        <v>991.68999999999994</v>
      </c>
      <c r="L18" s="123">
        <f>K18/C18</f>
        <v>31.99</v>
      </c>
      <c r="M18" s="125">
        <f>C18*L18</f>
        <v>991.68999999999994</v>
      </c>
      <c r="N18" s="131">
        <v>0</v>
      </c>
      <c r="O18" s="118">
        <f>M18*N18</f>
        <v>0</v>
      </c>
      <c r="P18" s="455"/>
      <c r="Q18" s="455"/>
      <c r="R18" s="455"/>
      <c r="S18" s="455"/>
      <c r="T18" s="62"/>
      <c r="U18" s="63"/>
      <c r="V18" s="63"/>
      <c r="W18" s="63"/>
      <c r="X18" s="63"/>
      <c r="Y18" s="62"/>
      <c r="Z18" s="62"/>
      <c r="AA18" s="103"/>
      <c r="AB18" s="103"/>
    </row>
    <row r="19" spans="1:28" s="70" customFormat="1" ht="14.25" x14ac:dyDescent="0.2">
      <c r="A19" s="60"/>
      <c r="B19" s="1"/>
      <c r="C19" s="113"/>
      <c r="D19" s="72"/>
      <c r="E19" s="122"/>
      <c r="F19" s="122"/>
      <c r="G19" s="122"/>
      <c r="H19" s="123"/>
      <c r="I19" s="135"/>
      <c r="J19" s="123"/>
      <c r="K19" s="124"/>
      <c r="L19" s="123"/>
      <c r="M19" s="125"/>
      <c r="N19" s="131"/>
      <c r="O19" s="118"/>
      <c r="P19" s="455"/>
      <c r="Q19" s="455"/>
      <c r="R19" s="455"/>
      <c r="S19" s="455"/>
      <c r="T19" s="62"/>
      <c r="U19" s="63"/>
      <c r="V19" s="63"/>
      <c r="W19" s="63"/>
      <c r="X19" s="63"/>
      <c r="Y19" s="62"/>
      <c r="Z19" s="62"/>
      <c r="AA19" s="103"/>
      <c r="AB19" s="103"/>
    </row>
    <row r="20" spans="1:28" s="70" customFormat="1" ht="14.25" x14ac:dyDescent="0.2">
      <c r="A20" s="60"/>
      <c r="B20" s="1" t="s">
        <v>103</v>
      </c>
      <c r="C20" s="113">
        <v>11</v>
      </c>
      <c r="D20" s="72" t="s">
        <v>45</v>
      </c>
      <c r="E20" s="122">
        <v>0.2</v>
      </c>
      <c r="F20" s="122">
        <f>C20*E20</f>
        <v>2.2000000000000002</v>
      </c>
      <c r="G20" s="122">
        <f>$H$11*E20</f>
        <v>8</v>
      </c>
      <c r="H20" s="123">
        <f>F20*$H$11</f>
        <v>88</v>
      </c>
      <c r="I20" s="135">
        <v>13.51</v>
      </c>
      <c r="J20" s="123">
        <f>C20*I20</f>
        <v>148.60999999999999</v>
      </c>
      <c r="K20" s="124">
        <f>SUM(H20,J20)</f>
        <v>236.60999999999999</v>
      </c>
      <c r="L20" s="123">
        <f>K20/C20</f>
        <v>21.509999999999998</v>
      </c>
      <c r="M20" s="125">
        <f>C20*L20</f>
        <v>236.60999999999999</v>
      </c>
      <c r="N20" s="131">
        <v>0</v>
      </c>
      <c r="O20" s="118">
        <f>M20*N20</f>
        <v>0</v>
      </c>
      <c r="P20" s="455"/>
      <c r="Q20" s="455"/>
      <c r="R20" s="455"/>
      <c r="S20" s="455"/>
      <c r="T20" s="266">
        <f>SUM(C17:C20)</f>
        <v>107</v>
      </c>
      <c r="U20" s="63"/>
      <c r="V20" s="63"/>
      <c r="W20" s="63"/>
      <c r="X20" s="63"/>
      <c r="Y20" s="62"/>
      <c r="Z20" s="62"/>
      <c r="AA20" s="103"/>
      <c r="AB20" s="103"/>
    </row>
    <row r="21" spans="1:28" s="70" customFormat="1" ht="14.25" x14ac:dyDescent="0.2">
      <c r="A21" s="60"/>
      <c r="B21" s="1"/>
      <c r="C21" s="113"/>
      <c r="D21" s="72"/>
      <c r="E21" s="122"/>
      <c r="F21" s="122"/>
      <c r="G21" s="122"/>
      <c r="H21" s="123"/>
      <c r="I21" s="135"/>
      <c r="J21" s="123"/>
      <c r="K21" s="124"/>
      <c r="L21" s="123"/>
      <c r="M21" s="125"/>
      <c r="N21" s="131"/>
      <c r="O21" s="118"/>
      <c r="P21" s="455"/>
      <c r="Q21" s="455"/>
      <c r="R21" s="455"/>
      <c r="S21" s="455"/>
      <c r="T21" s="62"/>
      <c r="U21" s="63"/>
      <c r="V21" s="63"/>
      <c r="W21" s="63"/>
      <c r="X21" s="63"/>
      <c r="Y21" s="62"/>
      <c r="Z21" s="62"/>
      <c r="AA21" s="103"/>
      <c r="AB21" s="103"/>
    </row>
    <row r="22" spans="1:28" s="70" customFormat="1" ht="14.25" x14ac:dyDescent="0.2">
      <c r="A22" s="60"/>
      <c r="B22" s="165" t="s">
        <v>101</v>
      </c>
      <c r="C22" s="113"/>
      <c r="D22" s="72"/>
      <c r="E22" s="122"/>
      <c r="F22" s="122"/>
      <c r="G22" s="122"/>
      <c r="H22" s="123"/>
      <c r="I22" s="135"/>
      <c r="J22" s="123"/>
      <c r="K22" s="124"/>
      <c r="L22" s="123"/>
      <c r="M22" s="125"/>
      <c r="N22" s="131"/>
      <c r="O22" s="118"/>
      <c r="P22" s="455"/>
      <c r="Q22" s="455"/>
      <c r="R22" s="455"/>
      <c r="S22" s="455"/>
      <c r="T22" s="62"/>
      <c r="U22" s="63"/>
      <c r="V22" s="63"/>
      <c r="W22" s="63"/>
      <c r="X22" s="63"/>
      <c r="Y22" s="62"/>
      <c r="Z22" s="62"/>
      <c r="AA22" s="103"/>
      <c r="AB22" s="103"/>
    </row>
    <row r="23" spans="1:28" s="70" customFormat="1" ht="14.25" x14ac:dyDescent="0.2">
      <c r="A23" s="60"/>
      <c r="B23" s="151" t="s">
        <v>102</v>
      </c>
      <c r="C23" s="157" t="s">
        <v>89</v>
      </c>
      <c r="D23" s="153"/>
      <c r="E23" s="122"/>
      <c r="F23" s="122"/>
      <c r="G23" s="122"/>
      <c r="H23" s="123"/>
      <c r="I23" s="135"/>
      <c r="J23" s="123"/>
      <c r="K23" s="124"/>
      <c r="L23" s="123"/>
      <c r="M23" s="125"/>
      <c r="N23" s="131"/>
      <c r="O23" s="118"/>
      <c r="P23" s="455"/>
      <c r="Q23" s="455"/>
      <c r="R23" s="455"/>
      <c r="S23" s="455"/>
      <c r="T23" s="266">
        <f>SUM(C23)</f>
        <v>0</v>
      </c>
      <c r="U23" s="155"/>
      <c r="V23" s="136"/>
      <c r="W23" s="63"/>
      <c r="X23" s="63"/>
      <c r="Y23" s="62"/>
      <c r="Z23" s="62"/>
      <c r="AA23" s="103"/>
      <c r="AB23" s="103"/>
    </row>
    <row r="24" spans="1:28" s="70" customFormat="1" ht="14.25" x14ac:dyDescent="0.2">
      <c r="A24" s="60"/>
      <c r="B24" s="151"/>
      <c r="C24" s="157"/>
      <c r="D24" s="153"/>
      <c r="E24" s="122"/>
      <c r="F24" s="122"/>
      <c r="G24" s="122"/>
      <c r="H24" s="123"/>
      <c r="I24" s="135"/>
      <c r="J24" s="123"/>
      <c r="K24" s="124"/>
      <c r="L24" s="123"/>
      <c r="M24" s="125">
        <f>-T15</f>
        <v>-107</v>
      </c>
      <c r="N24" s="131"/>
      <c r="O24" s="118"/>
      <c r="P24" s="455"/>
      <c r="Q24" s="455"/>
      <c r="R24" s="455"/>
      <c r="S24" s="455"/>
      <c r="T24" s="266"/>
      <c r="U24" s="155"/>
      <c r="V24" s="136"/>
      <c r="W24" s="63"/>
      <c r="X24" s="63"/>
      <c r="Y24" s="62"/>
      <c r="Z24" s="62"/>
      <c r="AA24" s="103"/>
      <c r="AB24" s="103"/>
    </row>
    <row r="25" spans="1:28" s="70" customFormat="1" ht="14.25" x14ac:dyDescent="0.2">
      <c r="A25" s="60"/>
      <c r="B25" s="151"/>
      <c r="C25" s="152"/>
      <c r="D25" s="153"/>
      <c r="E25" s="122"/>
      <c r="F25" s="122"/>
      <c r="G25" s="122"/>
      <c r="H25" s="123"/>
      <c r="I25" s="135"/>
      <c r="J25" s="123"/>
      <c r="K25" s="124"/>
      <c r="L25" s="123"/>
      <c r="M25" s="125"/>
      <c r="N25" s="131"/>
      <c r="O25" s="118"/>
      <c r="P25" s="452">
        <f>SUM(M17:M24)</f>
        <v>2519.4500000000003</v>
      </c>
      <c r="Q25" s="450">
        <f>P25*SUM($L$585:$L$589)</f>
        <v>239.34775000000002</v>
      </c>
      <c r="R25" s="266"/>
      <c r="S25" s="266"/>
      <c r="T25" s="154"/>
      <c r="U25" s="155"/>
      <c r="V25" s="136"/>
      <c r="W25" s="63"/>
      <c r="X25" s="63"/>
      <c r="Y25" s="62"/>
      <c r="Z25" s="62"/>
      <c r="AA25" s="103"/>
      <c r="AB25" s="103"/>
    </row>
    <row r="26" spans="1:28" s="70" customFormat="1" ht="14.25" x14ac:dyDescent="0.2">
      <c r="A26" s="60"/>
      <c r="B26" s="151"/>
      <c r="C26" s="152"/>
      <c r="D26" s="153"/>
      <c r="E26" s="122"/>
      <c r="F26" s="122"/>
      <c r="G26" s="122"/>
      <c r="H26" s="123"/>
      <c r="I26" s="135"/>
      <c r="J26" s="123"/>
      <c r="K26" s="124"/>
      <c r="L26" s="123"/>
      <c r="M26" s="125"/>
      <c r="N26" s="131"/>
      <c r="O26" s="118"/>
      <c r="P26" s="451">
        <f>P25/$M$582</f>
        <v>6.4709516183581719E-3</v>
      </c>
      <c r="Q26" s="452">
        <f>P26*$M$593</f>
        <v>54.634907786338978</v>
      </c>
      <c r="R26" s="452">
        <f>SUM(P25,Q25,Q26)</f>
        <v>2813.432657786339</v>
      </c>
      <c r="S26" s="452">
        <f>R26*1.08</f>
        <v>3038.5072704092463</v>
      </c>
      <c r="T26" s="154"/>
      <c r="U26" s="155"/>
      <c r="V26" s="136"/>
      <c r="W26" s="63"/>
      <c r="X26" s="63"/>
      <c r="Y26" s="62"/>
      <c r="Z26" s="62"/>
      <c r="AA26" s="103"/>
      <c r="AB26" s="103"/>
    </row>
    <row r="27" spans="1:28" s="70" customFormat="1" ht="14.25" x14ac:dyDescent="0.2">
      <c r="A27" s="60"/>
      <c r="B27" s="151"/>
      <c r="C27" s="152"/>
      <c r="D27" s="153"/>
      <c r="E27" s="122"/>
      <c r="F27" s="122"/>
      <c r="G27" s="122"/>
      <c r="H27" s="123"/>
      <c r="I27" s="135"/>
      <c r="J27" s="123"/>
      <c r="K27" s="124"/>
      <c r="L27" s="123"/>
      <c r="M27" s="125"/>
      <c r="N27" s="131"/>
      <c r="O27" s="118"/>
      <c r="P27" s="455"/>
      <c r="Q27" s="455"/>
      <c r="R27" s="455"/>
      <c r="S27" s="455"/>
      <c r="T27" s="154"/>
      <c r="U27" s="155"/>
      <c r="V27" s="136"/>
      <c r="W27" s="63"/>
      <c r="X27" s="63"/>
      <c r="Y27" s="62"/>
      <c r="Z27" s="62"/>
      <c r="AA27" s="103"/>
      <c r="AB27" s="103"/>
    </row>
    <row r="28" spans="1:28" s="70" customFormat="1" ht="15" x14ac:dyDescent="0.2">
      <c r="A28" s="60"/>
      <c r="B28" s="169" t="s">
        <v>64</v>
      </c>
      <c r="C28" s="152"/>
      <c r="D28" s="153"/>
      <c r="E28" s="122"/>
      <c r="F28" s="122"/>
      <c r="G28" s="122"/>
      <c r="H28" s="123"/>
      <c r="I28" s="135"/>
      <c r="J28" s="123"/>
      <c r="K28" s="124"/>
      <c r="L28" s="123"/>
      <c r="M28" s="125"/>
      <c r="N28" s="131"/>
      <c r="O28" s="118"/>
      <c r="P28" s="455"/>
      <c r="Q28" s="455"/>
      <c r="R28" s="455"/>
      <c r="S28" s="455"/>
      <c r="T28" s="394">
        <f>SUM(C30,C31,C33,C33,C36,C36,C39,C42,C44,C46,C48)</f>
        <v>378</v>
      </c>
      <c r="U28" s="155"/>
      <c r="V28" s="136"/>
      <c r="W28" s="63"/>
      <c r="X28" s="63"/>
      <c r="Y28" s="62"/>
      <c r="Z28" s="62"/>
      <c r="AA28" s="103"/>
      <c r="AB28" s="103"/>
    </row>
    <row r="29" spans="1:28" s="70" customFormat="1" ht="14.25" x14ac:dyDescent="0.2">
      <c r="A29" s="60"/>
      <c r="B29" s="165" t="s">
        <v>63</v>
      </c>
      <c r="C29" s="152"/>
      <c r="D29" s="153"/>
      <c r="E29" s="122"/>
      <c r="F29" s="122"/>
      <c r="G29" s="122"/>
      <c r="H29" s="123"/>
      <c r="I29" s="135"/>
      <c r="J29" s="123"/>
      <c r="K29" s="124"/>
      <c r="L29" s="123"/>
      <c r="M29" s="125"/>
      <c r="N29" s="131"/>
      <c r="O29" s="118"/>
      <c r="P29" s="455"/>
      <c r="Q29" s="455"/>
      <c r="R29" s="455"/>
      <c r="S29" s="455"/>
      <c r="T29" s="154"/>
      <c r="U29" s="155"/>
      <c r="V29" s="136"/>
      <c r="W29" s="63"/>
      <c r="X29" s="63"/>
      <c r="Y29" s="62"/>
      <c r="Z29" s="62"/>
      <c r="AA29" s="103"/>
      <c r="AB29" s="103"/>
    </row>
    <row r="30" spans="1:28" s="70" customFormat="1" ht="14.25" x14ac:dyDescent="0.2">
      <c r="A30" s="60"/>
      <c r="B30" s="146" t="s">
        <v>99</v>
      </c>
      <c r="C30" s="61">
        <v>244</v>
      </c>
      <c r="D30" s="72" t="s">
        <v>45</v>
      </c>
      <c r="E30" s="122">
        <v>0.2</v>
      </c>
      <c r="F30" s="122">
        <f>C30*E30</f>
        <v>48.800000000000004</v>
      </c>
      <c r="G30" s="122">
        <f>$H$11*E30</f>
        <v>8</v>
      </c>
      <c r="H30" s="123">
        <f>F30*$H$11</f>
        <v>1952.0000000000002</v>
      </c>
      <c r="I30" s="135">
        <v>13.51</v>
      </c>
      <c r="J30" s="123">
        <f>C30*I30</f>
        <v>3296.44</v>
      </c>
      <c r="K30" s="124">
        <f>SUM(H30,J30)</f>
        <v>5248.4400000000005</v>
      </c>
      <c r="L30" s="123">
        <f>K30/C30</f>
        <v>21.51</v>
      </c>
      <c r="M30" s="125">
        <f>C30*L30</f>
        <v>5248.4400000000005</v>
      </c>
      <c r="N30" s="131">
        <v>0</v>
      </c>
      <c r="O30" s="118">
        <f>M30*N30</f>
        <v>0</v>
      </c>
      <c r="P30" s="455"/>
      <c r="Q30" s="455"/>
      <c r="R30" s="455"/>
      <c r="S30" s="455"/>
      <c r="T30" s="154"/>
      <c r="U30" s="155"/>
      <c r="V30" s="136"/>
      <c r="W30" s="63"/>
      <c r="X30" s="63"/>
      <c r="Y30" s="62"/>
      <c r="Z30" s="62"/>
      <c r="AA30" s="103"/>
      <c r="AB30" s="103"/>
    </row>
    <row r="31" spans="1:28" s="70" customFormat="1" ht="14.25" x14ac:dyDescent="0.2">
      <c r="A31" s="60"/>
      <c r="B31" s="1" t="s">
        <v>100</v>
      </c>
      <c r="C31" s="113">
        <v>23</v>
      </c>
      <c r="D31" s="72" t="s">
        <v>45</v>
      </c>
      <c r="E31" s="122">
        <v>0.2</v>
      </c>
      <c r="F31" s="122">
        <f>C31*E31</f>
        <v>4.6000000000000005</v>
      </c>
      <c r="G31" s="122">
        <f>$H$11*E31</f>
        <v>8</v>
      </c>
      <c r="H31" s="123">
        <f>F31*$H$11</f>
        <v>184.00000000000003</v>
      </c>
      <c r="I31" s="135">
        <v>23.99</v>
      </c>
      <c r="J31" s="123">
        <f>C31*I31</f>
        <v>551.77</v>
      </c>
      <c r="K31" s="124">
        <f>SUM(H31,J31)</f>
        <v>735.77</v>
      </c>
      <c r="L31" s="123">
        <f>K31/C31</f>
        <v>31.99</v>
      </c>
      <c r="M31" s="125">
        <f>C31*L31</f>
        <v>735.77</v>
      </c>
      <c r="N31" s="131">
        <v>0</v>
      </c>
      <c r="O31" s="118">
        <f>M31*N31</f>
        <v>0</v>
      </c>
      <c r="P31" s="455"/>
      <c r="Q31" s="455"/>
      <c r="R31" s="455"/>
      <c r="S31" s="455"/>
      <c r="T31" s="154"/>
      <c r="U31" s="155"/>
      <c r="V31" s="136"/>
      <c r="W31" s="63"/>
      <c r="X31" s="63"/>
      <c r="Y31" s="62"/>
      <c r="Z31" s="62"/>
      <c r="AA31" s="103"/>
      <c r="AB31" s="103"/>
    </row>
    <row r="32" spans="1:28" s="70" customFormat="1" ht="14.25" x14ac:dyDescent="0.2">
      <c r="A32" s="60"/>
      <c r="B32" s="1"/>
      <c r="C32" s="113"/>
      <c r="D32" s="72"/>
      <c r="E32" s="122"/>
      <c r="F32" s="122"/>
      <c r="G32" s="122"/>
      <c r="H32" s="123"/>
      <c r="I32" s="135"/>
      <c r="J32" s="123"/>
      <c r="K32" s="124"/>
      <c r="L32" s="123"/>
      <c r="M32" s="125"/>
      <c r="N32" s="131"/>
      <c r="O32" s="118"/>
      <c r="P32" s="455"/>
      <c r="Q32" s="455"/>
      <c r="R32" s="455"/>
      <c r="S32" s="455"/>
      <c r="T32" s="154"/>
      <c r="U32" s="155"/>
      <c r="V32" s="136"/>
      <c r="W32" s="63"/>
      <c r="X32" s="63"/>
      <c r="Y32" s="62"/>
      <c r="Z32" s="62"/>
      <c r="AA32" s="103"/>
      <c r="AB32" s="103"/>
    </row>
    <row r="33" spans="1:28" s="70" customFormat="1" ht="14.25" x14ac:dyDescent="0.2">
      <c r="A33" s="60"/>
      <c r="B33" s="1" t="s">
        <v>104</v>
      </c>
      <c r="C33" s="113">
        <v>24</v>
      </c>
      <c r="D33" s="72" t="s">
        <v>45</v>
      </c>
      <c r="E33" s="122">
        <v>0.6</v>
      </c>
      <c r="F33" s="122">
        <f t="shared" ref="F33:F48" si="0">C33*E33</f>
        <v>14.399999999999999</v>
      </c>
      <c r="G33" s="122">
        <f t="shared" ref="G33:G48" si="1">$H$11*E33</f>
        <v>24</v>
      </c>
      <c r="H33" s="123">
        <f t="shared" ref="H33:H48" si="2">F33*$H$11</f>
        <v>576</v>
      </c>
      <c r="I33" s="135">
        <v>38</v>
      </c>
      <c r="J33" s="123">
        <f t="shared" ref="J33:J48" si="3">C33*I33</f>
        <v>912</v>
      </c>
      <c r="K33" s="124">
        <f t="shared" ref="K33:K48" si="4">SUM(H33,J33)</f>
        <v>1488</v>
      </c>
      <c r="L33" s="123">
        <f t="shared" ref="L33:L48" si="5">K33/C33</f>
        <v>62</v>
      </c>
      <c r="M33" s="125">
        <f t="shared" ref="M33:M48" si="6">C33*L33</f>
        <v>1488</v>
      </c>
      <c r="N33" s="131">
        <v>0</v>
      </c>
      <c r="O33" s="118">
        <f t="shared" ref="O33:O48" si="7">M33*N33</f>
        <v>0</v>
      </c>
      <c r="P33" s="455"/>
      <c r="Q33" s="455"/>
      <c r="R33" s="455"/>
      <c r="S33" s="455"/>
      <c r="T33" s="154"/>
      <c r="U33" s="155"/>
      <c r="V33" s="136"/>
      <c r="W33" s="63"/>
      <c r="X33" s="63"/>
      <c r="Y33" s="62"/>
      <c r="Z33" s="62"/>
      <c r="AA33" s="103"/>
      <c r="AB33" s="103"/>
    </row>
    <row r="34" spans="1:28" s="70" customFormat="1" ht="14.25" x14ac:dyDescent="0.2">
      <c r="A34" s="60"/>
      <c r="B34" s="1" t="s">
        <v>105</v>
      </c>
      <c r="C34" s="113">
        <v>21</v>
      </c>
      <c r="D34" s="72" t="s">
        <v>46</v>
      </c>
      <c r="E34" s="122">
        <v>0.05</v>
      </c>
      <c r="F34" s="122">
        <f t="shared" si="0"/>
        <v>1.05</v>
      </c>
      <c r="G34" s="122">
        <f t="shared" si="1"/>
        <v>2</v>
      </c>
      <c r="H34" s="123">
        <f t="shared" si="2"/>
        <v>42</v>
      </c>
      <c r="I34" s="135">
        <v>2.5</v>
      </c>
      <c r="J34" s="123">
        <f t="shared" si="3"/>
        <v>52.5</v>
      </c>
      <c r="K34" s="124">
        <f t="shared" si="4"/>
        <v>94.5</v>
      </c>
      <c r="L34" s="123">
        <f t="shared" si="5"/>
        <v>4.5</v>
      </c>
      <c r="M34" s="125">
        <f t="shared" si="6"/>
        <v>94.5</v>
      </c>
      <c r="N34" s="131">
        <v>0</v>
      </c>
      <c r="O34" s="118">
        <f t="shared" si="7"/>
        <v>0</v>
      </c>
      <c r="P34" s="455"/>
      <c r="Q34" s="455"/>
      <c r="R34" s="455"/>
      <c r="S34" s="455"/>
      <c r="T34" s="154"/>
      <c r="U34" s="155"/>
      <c r="V34" s="136"/>
      <c r="W34" s="63"/>
      <c r="X34" s="63"/>
      <c r="Y34" s="62"/>
      <c r="Z34" s="62"/>
      <c r="AA34" s="103"/>
      <c r="AB34" s="103"/>
    </row>
    <row r="35" spans="1:28" s="70" customFormat="1" ht="14.25" x14ac:dyDescent="0.2">
      <c r="A35" s="60"/>
      <c r="B35" s="1"/>
      <c r="C35" s="113"/>
      <c r="D35" s="72"/>
      <c r="E35" s="122"/>
      <c r="F35" s="122"/>
      <c r="G35" s="122"/>
      <c r="H35" s="123"/>
      <c r="I35" s="135"/>
      <c r="J35" s="123"/>
      <c r="K35" s="124"/>
      <c r="L35" s="123"/>
      <c r="M35" s="125"/>
      <c r="N35" s="131"/>
      <c r="O35" s="118"/>
      <c r="P35" s="455"/>
      <c r="Q35" s="455"/>
      <c r="R35" s="455"/>
      <c r="S35" s="455"/>
      <c r="T35" s="154"/>
      <c r="U35" s="155"/>
      <c r="V35" s="136"/>
      <c r="W35" s="63"/>
      <c r="X35" s="63"/>
      <c r="Y35" s="62"/>
      <c r="Z35" s="62"/>
      <c r="AA35" s="103"/>
      <c r="AB35" s="103"/>
    </row>
    <row r="36" spans="1:28" s="70" customFormat="1" ht="14.25" x14ac:dyDescent="0.2">
      <c r="A36" s="60"/>
      <c r="B36" s="1" t="s">
        <v>106</v>
      </c>
      <c r="C36" s="113">
        <v>10</v>
      </c>
      <c r="D36" s="72" t="s">
        <v>45</v>
      </c>
      <c r="E36" s="122">
        <v>0.4</v>
      </c>
      <c r="F36" s="122">
        <f t="shared" si="0"/>
        <v>4</v>
      </c>
      <c r="G36" s="122">
        <f t="shared" si="1"/>
        <v>16</v>
      </c>
      <c r="H36" s="123">
        <f t="shared" si="2"/>
        <v>160</v>
      </c>
      <c r="I36" s="135">
        <v>32</v>
      </c>
      <c r="J36" s="123">
        <f t="shared" si="3"/>
        <v>320</v>
      </c>
      <c r="K36" s="124">
        <f t="shared" si="4"/>
        <v>480</v>
      </c>
      <c r="L36" s="123">
        <f t="shared" si="5"/>
        <v>48</v>
      </c>
      <c r="M36" s="125">
        <f t="shared" si="6"/>
        <v>480</v>
      </c>
      <c r="N36" s="131">
        <v>0</v>
      </c>
      <c r="O36" s="118">
        <f t="shared" si="7"/>
        <v>0</v>
      </c>
      <c r="P36" s="455"/>
      <c r="Q36" s="455"/>
      <c r="R36" s="455"/>
      <c r="S36" s="455"/>
      <c r="T36" s="154"/>
      <c r="U36" s="155"/>
      <c r="V36" s="136"/>
      <c r="W36" s="63"/>
      <c r="X36" s="63"/>
      <c r="Y36" s="62"/>
      <c r="Z36" s="62"/>
      <c r="AA36" s="103"/>
      <c r="AB36" s="103"/>
    </row>
    <row r="37" spans="1:28" s="70" customFormat="1" ht="14.25" x14ac:dyDescent="0.2">
      <c r="A37" s="60"/>
      <c r="B37" s="1" t="s">
        <v>105</v>
      </c>
      <c r="C37" s="113">
        <v>22</v>
      </c>
      <c r="D37" s="72" t="s">
        <v>46</v>
      </c>
      <c r="E37" s="122">
        <v>0.05</v>
      </c>
      <c r="F37" s="122">
        <f t="shared" si="0"/>
        <v>1.1000000000000001</v>
      </c>
      <c r="G37" s="122">
        <f t="shared" si="1"/>
        <v>2</v>
      </c>
      <c r="H37" s="123">
        <f t="shared" si="2"/>
        <v>44</v>
      </c>
      <c r="I37" s="135">
        <v>2.5</v>
      </c>
      <c r="J37" s="123">
        <f t="shared" si="3"/>
        <v>55</v>
      </c>
      <c r="K37" s="124">
        <f t="shared" si="4"/>
        <v>99</v>
      </c>
      <c r="L37" s="123">
        <f t="shared" si="5"/>
        <v>4.5</v>
      </c>
      <c r="M37" s="125">
        <f t="shared" si="6"/>
        <v>99</v>
      </c>
      <c r="N37" s="131">
        <v>0</v>
      </c>
      <c r="O37" s="118">
        <f t="shared" si="7"/>
        <v>0</v>
      </c>
      <c r="P37" s="455"/>
      <c r="Q37" s="455"/>
      <c r="R37" s="455"/>
      <c r="S37" s="455"/>
      <c r="T37" s="154"/>
      <c r="U37" s="155"/>
      <c r="V37" s="136"/>
      <c r="W37" s="63"/>
      <c r="X37" s="63"/>
      <c r="Y37" s="62"/>
      <c r="Z37" s="62"/>
      <c r="AA37" s="103"/>
      <c r="AB37" s="103"/>
    </row>
    <row r="38" spans="1:28" s="70" customFormat="1" ht="14.25" x14ac:dyDescent="0.2">
      <c r="A38" s="60"/>
      <c r="B38" s="1"/>
      <c r="C38" s="113"/>
      <c r="D38" s="72"/>
      <c r="E38" s="122"/>
      <c r="F38" s="122"/>
      <c r="G38" s="122"/>
      <c r="H38" s="123"/>
      <c r="I38" s="135"/>
      <c r="J38" s="123"/>
      <c r="K38" s="124"/>
      <c r="L38" s="123"/>
      <c r="M38" s="125"/>
      <c r="N38" s="131"/>
      <c r="O38" s="118"/>
      <c r="P38" s="455"/>
      <c r="Q38" s="455"/>
      <c r="R38" s="455"/>
      <c r="S38" s="455"/>
      <c r="T38" s="154"/>
      <c r="U38" s="155"/>
      <c r="V38" s="136"/>
      <c r="W38" s="63"/>
      <c r="X38" s="63"/>
      <c r="Y38" s="62"/>
      <c r="Z38" s="62"/>
      <c r="AA38" s="103"/>
      <c r="AB38" s="103"/>
    </row>
    <row r="39" spans="1:28" s="70" customFormat="1" ht="14.25" x14ac:dyDescent="0.2">
      <c r="A39" s="60"/>
      <c r="B39" s="1" t="s">
        <v>107</v>
      </c>
      <c r="C39" s="113">
        <v>17</v>
      </c>
      <c r="D39" s="72" t="s">
        <v>45</v>
      </c>
      <c r="E39" s="122">
        <v>0.35</v>
      </c>
      <c r="F39" s="122">
        <f t="shared" si="0"/>
        <v>5.9499999999999993</v>
      </c>
      <c r="G39" s="122">
        <f t="shared" si="1"/>
        <v>14</v>
      </c>
      <c r="H39" s="123">
        <f t="shared" si="2"/>
        <v>237.99999999999997</v>
      </c>
      <c r="I39" s="135">
        <v>13.51</v>
      </c>
      <c r="J39" s="123">
        <f t="shared" si="3"/>
        <v>229.67</v>
      </c>
      <c r="K39" s="124">
        <f t="shared" si="4"/>
        <v>467.66999999999996</v>
      </c>
      <c r="L39" s="123">
        <f t="shared" si="5"/>
        <v>27.509999999999998</v>
      </c>
      <c r="M39" s="125">
        <f t="shared" si="6"/>
        <v>467.66999999999996</v>
      </c>
      <c r="N39" s="131">
        <v>0</v>
      </c>
      <c r="O39" s="118">
        <f t="shared" si="7"/>
        <v>0</v>
      </c>
      <c r="P39" s="455"/>
      <c r="Q39" s="455"/>
      <c r="R39" s="455"/>
      <c r="S39" s="455"/>
      <c r="T39" s="266">
        <f>SUM(C30,C31,C33,C36,C39)</f>
        <v>318</v>
      </c>
      <c r="U39" s="155"/>
      <c r="V39" s="136"/>
      <c r="W39" s="63"/>
      <c r="X39" s="63"/>
      <c r="Y39" s="62"/>
      <c r="Z39" s="62"/>
      <c r="AA39" s="103"/>
      <c r="AB39" s="103"/>
    </row>
    <row r="40" spans="1:28" s="70" customFormat="1" ht="14.25" x14ac:dyDescent="0.2">
      <c r="A40" s="60"/>
      <c r="B40" s="1"/>
      <c r="C40" s="113"/>
      <c r="D40" s="72"/>
      <c r="E40" s="122"/>
      <c r="F40" s="122"/>
      <c r="G40" s="122"/>
      <c r="H40" s="123"/>
      <c r="I40" s="135"/>
      <c r="J40" s="123"/>
      <c r="K40" s="124"/>
      <c r="L40" s="123"/>
      <c r="M40" s="125"/>
      <c r="N40" s="131"/>
      <c r="O40" s="118"/>
      <c r="P40" s="455"/>
      <c r="Q40" s="455"/>
      <c r="R40" s="455"/>
      <c r="S40" s="455"/>
      <c r="T40" s="154"/>
      <c r="U40" s="155"/>
      <c r="V40" s="136"/>
      <c r="W40" s="63"/>
      <c r="X40" s="63"/>
      <c r="Y40" s="62"/>
      <c r="Z40" s="62"/>
      <c r="AA40" s="103"/>
      <c r="AB40" s="103"/>
    </row>
    <row r="41" spans="1:28" s="70" customFormat="1" ht="14.25" x14ac:dyDescent="0.2">
      <c r="A41" s="60"/>
      <c r="B41" s="165" t="s">
        <v>101</v>
      </c>
      <c r="C41" s="152"/>
      <c r="D41" s="153"/>
      <c r="E41" s="122"/>
      <c r="F41" s="122"/>
      <c r="G41" s="122"/>
      <c r="H41" s="123"/>
      <c r="I41" s="135"/>
      <c r="J41" s="123"/>
      <c r="K41" s="124"/>
      <c r="L41" s="123"/>
      <c r="M41" s="125"/>
      <c r="N41" s="131"/>
      <c r="O41" s="118"/>
      <c r="P41" s="455"/>
      <c r="Q41" s="455"/>
      <c r="R41" s="455"/>
      <c r="S41" s="455"/>
      <c r="T41" s="154"/>
      <c r="U41" s="155"/>
      <c r="V41" s="136"/>
      <c r="W41" s="63"/>
      <c r="X41" s="63"/>
      <c r="Y41" s="62"/>
      <c r="Z41" s="62"/>
      <c r="AA41" s="103"/>
      <c r="AB41" s="103"/>
    </row>
    <row r="42" spans="1:28" s="70" customFormat="1" ht="14.25" x14ac:dyDescent="0.2">
      <c r="A42" s="60"/>
      <c r="B42" s="1" t="s">
        <v>108</v>
      </c>
      <c r="C42" s="152">
        <v>15</v>
      </c>
      <c r="D42" s="153" t="s">
        <v>45</v>
      </c>
      <c r="E42" s="122">
        <v>0.3</v>
      </c>
      <c r="F42" s="122">
        <f t="shared" si="0"/>
        <v>4.5</v>
      </c>
      <c r="G42" s="122">
        <f t="shared" si="1"/>
        <v>12</v>
      </c>
      <c r="H42" s="123">
        <f t="shared" si="2"/>
        <v>180</v>
      </c>
      <c r="I42" s="135">
        <v>13.51</v>
      </c>
      <c r="J42" s="123">
        <f t="shared" si="3"/>
        <v>202.65</v>
      </c>
      <c r="K42" s="124">
        <f t="shared" si="4"/>
        <v>382.65</v>
      </c>
      <c r="L42" s="123">
        <f t="shared" si="5"/>
        <v>25.509999999999998</v>
      </c>
      <c r="M42" s="125">
        <f t="shared" si="6"/>
        <v>382.65</v>
      </c>
      <c r="N42" s="131">
        <v>0</v>
      </c>
      <c r="O42" s="118">
        <f t="shared" si="7"/>
        <v>0</v>
      </c>
      <c r="P42" s="455"/>
      <c r="Q42" s="455"/>
      <c r="R42" s="455"/>
      <c r="S42" s="455"/>
      <c r="T42" s="154"/>
      <c r="U42" s="155"/>
      <c r="V42" s="136"/>
      <c r="W42" s="63"/>
      <c r="X42" s="63"/>
      <c r="Y42" s="62"/>
      <c r="Z42" s="62"/>
      <c r="AA42" s="103"/>
      <c r="AB42" s="103"/>
    </row>
    <row r="43" spans="1:28" s="70" customFormat="1" ht="14.25" x14ac:dyDescent="0.2">
      <c r="A43" s="60"/>
      <c r="B43" s="166"/>
      <c r="C43" s="152"/>
      <c r="D43" s="153"/>
      <c r="E43" s="122"/>
      <c r="F43" s="122"/>
      <c r="G43" s="122"/>
      <c r="H43" s="123"/>
      <c r="I43" s="135"/>
      <c r="J43" s="123"/>
      <c r="K43" s="124"/>
      <c r="L43" s="123"/>
      <c r="M43" s="125"/>
      <c r="N43" s="131"/>
      <c r="O43" s="118"/>
      <c r="P43" s="455"/>
      <c r="Q43" s="455"/>
      <c r="R43" s="455"/>
      <c r="S43" s="455"/>
      <c r="T43" s="154"/>
      <c r="U43" s="155"/>
      <c r="V43" s="136"/>
      <c r="W43" s="63"/>
      <c r="X43" s="63"/>
      <c r="Y43" s="62"/>
      <c r="Z43" s="62"/>
      <c r="AA43" s="103"/>
      <c r="AB43" s="103"/>
    </row>
    <row r="44" spans="1:28" s="70" customFormat="1" ht="14.25" x14ac:dyDescent="0.2">
      <c r="A44" s="60"/>
      <c r="B44" s="1" t="s">
        <v>109</v>
      </c>
      <c r="C44" s="152">
        <v>1</v>
      </c>
      <c r="D44" s="153" t="s">
        <v>45</v>
      </c>
      <c r="E44" s="122">
        <v>0.3</v>
      </c>
      <c r="F44" s="122">
        <f t="shared" si="0"/>
        <v>0.3</v>
      </c>
      <c r="G44" s="122">
        <f t="shared" si="1"/>
        <v>12</v>
      </c>
      <c r="H44" s="123">
        <f t="shared" si="2"/>
        <v>12</v>
      </c>
      <c r="I44" s="135">
        <v>13.51</v>
      </c>
      <c r="J44" s="123">
        <f t="shared" si="3"/>
        <v>13.51</v>
      </c>
      <c r="K44" s="124">
        <f t="shared" si="4"/>
        <v>25.509999999999998</v>
      </c>
      <c r="L44" s="123">
        <f t="shared" si="5"/>
        <v>25.509999999999998</v>
      </c>
      <c r="M44" s="125">
        <f t="shared" si="6"/>
        <v>25.509999999999998</v>
      </c>
      <c r="N44" s="131">
        <v>0</v>
      </c>
      <c r="O44" s="118">
        <f t="shared" si="7"/>
        <v>0</v>
      </c>
      <c r="P44" s="455"/>
      <c r="Q44" s="455"/>
      <c r="R44" s="455"/>
      <c r="S44" s="455"/>
      <c r="T44" s="154"/>
      <c r="U44" s="155"/>
      <c r="V44" s="136"/>
      <c r="W44" s="63"/>
      <c r="X44" s="63"/>
      <c r="Y44" s="62"/>
      <c r="Z44" s="62"/>
      <c r="AA44" s="103"/>
      <c r="AB44" s="103"/>
    </row>
    <row r="45" spans="1:28" s="70" customFormat="1" ht="14.25" x14ac:dyDescent="0.2">
      <c r="A45" s="60"/>
      <c r="B45" s="1"/>
      <c r="C45" s="152"/>
      <c r="D45" s="153"/>
      <c r="E45" s="122"/>
      <c r="F45" s="122"/>
      <c r="G45" s="122"/>
      <c r="H45" s="123"/>
      <c r="I45" s="135"/>
      <c r="J45" s="123"/>
      <c r="K45" s="124"/>
      <c r="L45" s="123"/>
      <c r="M45" s="125"/>
      <c r="N45" s="131"/>
      <c r="O45" s="118"/>
      <c r="P45" s="455"/>
      <c r="Q45" s="455"/>
      <c r="R45" s="455"/>
      <c r="S45" s="455"/>
      <c r="T45" s="154"/>
      <c r="U45" s="155"/>
      <c r="V45" s="136"/>
      <c r="W45" s="63"/>
      <c r="X45" s="63"/>
      <c r="Y45" s="62"/>
      <c r="Z45" s="62"/>
      <c r="AA45" s="103"/>
      <c r="AB45" s="103"/>
    </row>
    <row r="46" spans="1:28" s="70" customFormat="1" ht="14.25" x14ac:dyDescent="0.2">
      <c r="A46" s="60"/>
      <c r="B46" s="1" t="s">
        <v>110</v>
      </c>
      <c r="C46" s="152">
        <v>5</v>
      </c>
      <c r="D46" s="153" t="s">
        <v>45</v>
      </c>
      <c r="E46" s="122">
        <v>0.3</v>
      </c>
      <c r="F46" s="122">
        <f t="shared" si="0"/>
        <v>1.5</v>
      </c>
      <c r="G46" s="122">
        <f t="shared" si="1"/>
        <v>12</v>
      </c>
      <c r="H46" s="123">
        <f t="shared" si="2"/>
        <v>60</v>
      </c>
      <c r="I46" s="135">
        <v>13.51</v>
      </c>
      <c r="J46" s="123">
        <f t="shared" si="3"/>
        <v>67.55</v>
      </c>
      <c r="K46" s="124">
        <f t="shared" si="4"/>
        <v>127.55</v>
      </c>
      <c r="L46" s="123">
        <f t="shared" si="5"/>
        <v>25.509999999999998</v>
      </c>
      <c r="M46" s="125">
        <f t="shared" si="6"/>
        <v>127.54999999999998</v>
      </c>
      <c r="N46" s="131">
        <v>0</v>
      </c>
      <c r="O46" s="118">
        <f t="shared" si="7"/>
        <v>0</v>
      </c>
      <c r="P46" s="455"/>
      <c r="Q46" s="455"/>
      <c r="R46" s="455"/>
      <c r="S46" s="455"/>
      <c r="T46" s="154"/>
      <c r="U46" s="155"/>
      <c r="V46" s="136"/>
      <c r="W46" s="63"/>
      <c r="X46" s="63"/>
      <c r="Y46" s="62"/>
      <c r="Z46" s="62"/>
      <c r="AA46" s="103"/>
      <c r="AB46" s="103"/>
    </row>
    <row r="47" spans="1:28" s="70" customFormat="1" ht="14.25" x14ac:dyDescent="0.2">
      <c r="A47" s="60"/>
      <c r="B47" s="1"/>
      <c r="C47" s="152"/>
      <c r="D47" s="153"/>
      <c r="E47" s="122"/>
      <c r="F47" s="122"/>
      <c r="G47" s="122"/>
      <c r="H47" s="123"/>
      <c r="I47" s="135"/>
      <c r="J47" s="123"/>
      <c r="K47" s="124"/>
      <c r="L47" s="123"/>
      <c r="M47" s="125"/>
      <c r="N47" s="131"/>
      <c r="O47" s="118"/>
      <c r="P47" s="455"/>
      <c r="Q47" s="455"/>
      <c r="R47" s="455"/>
      <c r="S47" s="455"/>
      <c r="T47" s="154"/>
      <c r="U47" s="155"/>
      <c r="V47" s="136"/>
      <c r="W47" s="63"/>
      <c r="X47" s="63"/>
      <c r="Y47" s="62"/>
      <c r="Z47" s="62"/>
      <c r="AA47" s="103"/>
      <c r="AB47" s="103"/>
    </row>
    <row r="48" spans="1:28" s="70" customFormat="1" ht="14.25" x14ac:dyDescent="0.2">
      <c r="A48" s="60"/>
      <c r="B48" s="1" t="s">
        <v>111</v>
      </c>
      <c r="C48" s="152">
        <v>5</v>
      </c>
      <c r="D48" s="153" t="s">
        <v>45</v>
      </c>
      <c r="E48" s="122">
        <v>0.3</v>
      </c>
      <c r="F48" s="122">
        <f t="shared" si="0"/>
        <v>1.5</v>
      </c>
      <c r="G48" s="122">
        <f t="shared" si="1"/>
        <v>12</v>
      </c>
      <c r="H48" s="123">
        <f t="shared" si="2"/>
        <v>60</v>
      </c>
      <c r="I48" s="135">
        <v>13.51</v>
      </c>
      <c r="J48" s="123">
        <f t="shared" si="3"/>
        <v>67.55</v>
      </c>
      <c r="K48" s="124">
        <f t="shared" si="4"/>
        <v>127.55</v>
      </c>
      <c r="L48" s="123">
        <f t="shared" si="5"/>
        <v>25.509999999999998</v>
      </c>
      <c r="M48" s="125">
        <f t="shared" si="6"/>
        <v>127.54999999999998</v>
      </c>
      <c r="N48" s="131">
        <v>0</v>
      </c>
      <c r="O48" s="118">
        <f t="shared" si="7"/>
        <v>0</v>
      </c>
      <c r="P48" s="455"/>
      <c r="Q48" s="455"/>
      <c r="R48" s="455"/>
      <c r="S48" s="455"/>
      <c r="T48" s="266">
        <f>SUM(C42:C48)</f>
        <v>26</v>
      </c>
      <c r="U48" s="155"/>
      <c r="V48" s="136"/>
      <c r="W48" s="63"/>
      <c r="X48" s="63"/>
      <c r="Y48" s="62"/>
      <c r="Z48" s="62"/>
      <c r="AA48" s="103"/>
      <c r="AB48" s="103"/>
    </row>
    <row r="49" spans="1:28" s="70" customFormat="1" ht="14.25" x14ac:dyDescent="0.2">
      <c r="A49" s="60"/>
      <c r="B49" s="1"/>
      <c r="C49" s="152"/>
      <c r="D49" s="153"/>
      <c r="E49" s="122"/>
      <c r="F49" s="122"/>
      <c r="G49" s="122"/>
      <c r="H49" s="123"/>
      <c r="I49" s="135"/>
      <c r="J49" s="123"/>
      <c r="K49" s="124"/>
      <c r="L49" s="123"/>
      <c r="M49" s="125">
        <f>-T28</f>
        <v>-378</v>
      </c>
      <c r="N49" s="131"/>
      <c r="O49" s="118"/>
      <c r="P49" s="455"/>
      <c r="Q49" s="455"/>
      <c r="R49" s="455"/>
      <c r="S49" s="455"/>
      <c r="T49" s="266"/>
      <c r="U49" s="155"/>
      <c r="V49" s="136"/>
      <c r="W49" s="63"/>
      <c r="X49" s="63"/>
      <c r="Y49" s="62"/>
      <c r="Z49" s="62"/>
      <c r="AA49" s="103"/>
      <c r="AB49" s="103"/>
    </row>
    <row r="50" spans="1:28" s="70" customFormat="1" ht="14.25" x14ac:dyDescent="0.2">
      <c r="A50" s="60"/>
      <c r="B50" s="168"/>
      <c r="C50" s="152"/>
      <c r="D50" s="153"/>
      <c r="E50" s="122"/>
      <c r="F50" s="122"/>
      <c r="G50" s="122"/>
      <c r="H50" s="123"/>
      <c r="I50" s="135"/>
      <c r="J50" s="123"/>
      <c r="K50" s="124"/>
      <c r="L50" s="123"/>
      <c r="M50" s="125"/>
      <c r="N50" s="131"/>
      <c r="O50" s="118"/>
      <c r="P50" s="452">
        <f>SUM(M30:M49)</f>
        <v>8898.64</v>
      </c>
      <c r="Q50" s="450">
        <f>P50*SUM($L$585:$L$589)</f>
        <v>845.37079999999992</v>
      </c>
      <c r="R50" s="266"/>
      <c r="S50" s="266"/>
      <c r="T50" s="154"/>
      <c r="U50" s="155"/>
      <c r="V50" s="136"/>
      <c r="W50" s="63"/>
      <c r="X50" s="63"/>
      <c r="Y50" s="62"/>
      <c r="Z50" s="62"/>
      <c r="AA50" s="103"/>
      <c r="AB50" s="103"/>
    </row>
    <row r="51" spans="1:28" s="70" customFormat="1" ht="14.25" x14ac:dyDescent="0.2">
      <c r="A51" s="60"/>
      <c r="B51" s="168"/>
      <c r="C51" s="152"/>
      <c r="D51" s="153"/>
      <c r="E51" s="122"/>
      <c r="F51" s="122"/>
      <c r="G51" s="122"/>
      <c r="H51" s="123"/>
      <c r="I51" s="135"/>
      <c r="J51" s="123"/>
      <c r="K51" s="124"/>
      <c r="L51" s="123"/>
      <c r="M51" s="125"/>
      <c r="N51" s="131"/>
      <c r="O51" s="118"/>
      <c r="P51" s="451">
        <f>P50/$M$582</f>
        <v>2.285525368996676E-2</v>
      </c>
      <c r="Q51" s="452">
        <f>P51*$M$593</f>
        <v>192.96924956789277</v>
      </c>
      <c r="R51" s="452">
        <f>SUM(P50,Q50,Q51)</f>
        <v>9936.9800495678919</v>
      </c>
      <c r="S51" s="452">
        <f>R51*1.08</f>
        <v>10731.938453533325</v>
      </c>
      <c r="T51" s="154"/>
      <c r="U51" s="155"/>
      <c r="V51" s="136"/>
      <c r="W51" s="63"/>
      <c r="X51" s="63"/>
      <c r="Y51" s="62"/>
      <c r="Z51" s="62"/>
      <c r="AA51" s="103"/>
      <c r="AB51" s="103"/>
    </row>
    <row r="52" spans="1:28" s="70" customFormat="1" ht="14.25" x14ac:dyDescent="0.2">
      <c r="A52" s="60"/>
      <c r="B52" s="168"/>
      <c r="C52" s="152"/>
      <c r="D52" s="153"/>
      <c r="E52" s="122"/>
      <c r="F52" s="122"/>
      <c r="G52" s="122"/>
      <c r="H52" s="123"/>
      <c r="I52" s="135"/>
      <c r="J52" s="123"/>
      <c r="K52" s="124"/>
      <c r="L52" s="123"/>
      <c r="M52" s="125"/>
      <c r="N52" s="131"/>
      <c r="O52" s="118"/>
      <c r="P52" s="455"/>
      <c r="Q52" s="455"/>
      <c r="R52" s="455"/>
      <c r="S52" s="455"/>
      <c r="T52" s="154"/>
      <c r="U52" s="155"/>
      <c r="V52" s="136"/>
      <c r="W52" s="63"/>
      <c r="X52" s="63"/>
      <c r="Y52" s="62"/>
      <c r="Z52" s="62"/>
      <c r="AA52" s="103"/>
      <c r="AB52" s="103"/>
    </row>
    <row r="53" spans="1:28" s="70" customFormat="1" ht="15" x14ac:dyDescent="0.2">
      <c r="A53" s="60"/>
      <c r="B53" s="169" t="s">
        <v>67</v>
      </c>
      <c r="C53" s="152"/>
      <c r="D53" s="153"/>
      <c r="E53" s="122"/>
      <c r="F53" s="122"/>
      <c r="G53" s="122"/>
      <c r="H53" s="123"/>
      <c r="I53" s="135"/>
      <c r="J53" s="123"/>
      <c r="K53" s="124"/>
      <c r="L53" s="123"/>
      <c r="M53" s="125"/>
      <c r="N53" s="131"/>
      <c r="O53" s="118"/>
      <c r="P53" s="455"/>
      <c r="Q53" s="455"/>
      <c r="R53" s="455"/>
      <c r="S53" s="455"/>
      <c r="T53" s="394">
        <f>SUM(C55,C57,C59,C61,C67)</f>
        <v>356</v>
      </c>
      <c r="U53" s="155"/>
      <c r="V53" s="136"/>
      <c r="W53" s="63"/>
      <c r="X53" s="63"/>
      <c r="Y53" s="62"/>
      <c r="Z53" s="62"/>
      <c r="AA53" s="103"/>
      <c r="AB53" s="103"/>
    </row>
    <row r="54" spans="1:28" s="70" customFormat="1" ht="14.25" x14ac:dyDescent="0.2">
      <c r="A54" s="60"/>
      <c r="B54" s="165" t="s">
        <v>63</v>
      </c>
      <c r="C54" s="152"/>
      <c r="D54" s="153"/>
      <c r="E54" s="122"/>
      <c r="F54" s="122"/>
      <c r="G54" s="122"/>
      <c r="H54" s="123"/>
      <c r="I54" s="135"/>
      <c r="J54" s="123"/>
      <c r="K54" s="124"/>
      <c r="L54" s="123"/>
      <c r="M54" s="125"/>
      <c r="N54" s="131"/>
      <c r="O54" s="118"/>
      <c r="P54" s="455"/>
      <c r="Q54" s="455"/>
      <c r="R54" s="455"/>
      <c r="S54" s="455"/>
      <c r="T54" s="154"/>
      <c r="U54" s="155"/>
      <c r="V54" s="136"/>
      <c r="W54" s="63"/>
      <c r="X54" s="63"/>
      <c r="Y54" s="62"/>
      <c r="Z54" s="62"/>
      <c r="AA54" s="103"/>
      <c r="AB54" s="103"/>
    </row>
    <row r="55" spans="1:28" s="70" customFormat="1" ht="14.25" x14ac:dyDescent="0.2">
      <c r="A55" s="60"/>
      <c r="B55" s="146" t="s">
        <v>99</v>
      </c>
      <c r="C55" s="61">
        <v>279</v>
      </c>
      <c r="D55" s="72" t="s">
        <v>45</v>
      </c>
      <c r="E55" s="122">
        <v>0.2</v>
      </c>
      <c r="F55" s="122">
        <f>C55*E55</f>
        <v>55.800000000000004</v>
      </c>
      <c r="G55" s="122">
        <f>$H$11*E55</f>
        <v>8</v>
      </c>
      <c r="H55" s="123">
        <f>F55*$H$11</f>
        <v>2232</v>
      </c>
      <c r="I55" s="135">
        <v>13.51</v>
      </c>
      <c r="J55" s="123">
        <f>C55*I55</f>
        <v>3769.29</v>
      </c>
      <c r="K55" s="124">
        <f>SUM(H55,J55)</f>
        <v>6001.29</v>
      </c>
      <c r="L55" s="123">
        <f>K55/C55</f>
        <v>21.51</v>
      </c>
      <c r="M55" s="125">
        <f>C55*L55</f>
        <v>6001.2900000000009</v>
      </c>
      <c r="N55" s="131">
        <v>0</v>
      </c>
      <c r="O55" s="118">
        <f>M55*N55</f>
        <v>0</v>
      </c>
      <c r="P55" s="455"/>
      <c r="Q55" s="455"/>
      <c r="R55" s="455"/>
      <c r="S55" s="455"/>
      <c r="T55" s="154"/>
      <c r="U55" s="155"/>
      <c r="V55" s="136"/>
      <c r="W55" s="63"/>
      <c r="X55" s="63"/>
      <c r="Y55" s="62"/>
      <c r="Z55" s="62"/>
      <c r="AA55" s="103"/>
      <c r="AB55" s="103"/>
    </row>
    <row r="56" spans="1:28" s="70" customFormat="1" ht="14.25" x14ac:dyDescent="0.2">
      <c r="A56" s="60"/>
      <c r="B56" s="146" t="s">
        <v>112</v>
      </c>
      <c r="C56" s="61">
        <v>149</v>
      </c>
      <c r="D56" s="72" t="s">
        <v>45</v>
      </c>
      <c r="E56" s="122">
        <v>0.15</v>
      </c>
      <c r="F56" s="122">
        <f>C56*E56</f>
        <v>22.349999999999998</v>
      </c>
      <c r="G56" s="122">
        <f>$H$11*E56</f>
        <v>6</v>
      </c>
      <c r="H56" s="123">
        <f>F56*$H$11</f>
        <v>893.99999999999989</v>
      </c>
      <c r="I56" s="135">
        <v>0</v>
      </c>
      <c r="J56" s="123">
        <f>C56*I56</f>
        <v>0</v>
      </c>
      <c r="K56" s="124">
        <f>SUM(H56,J56)</f>
        <v>893.99999999999989</v>
      </c>
      <c r="L56" s="123">
        <f>K56/C56</f>
        <v>5.9999999999999991</v>
      </c>
      <c r="M56" s="125">
        <f>C56*L56</f>
        <v>893.99999999999989</v>
      </c>
      <c r="N56" s="131">
        <v>0</v>
      </c>
      <c r="O56" s="118">
        <f>M56*N56</f>
        <v>0</v>
      </c>
      <c r="P56" s="455"/>
      <c r="Q56" s="455"/>
      <c r="R56" s="455"/>
      <c r="S56" s="455"/>
      <c r="T56" s="154"/>
      <c r="U56" s="155"/>
      <c r="V56" s="136"/>
      <c r="W56" s="63"/>
      <c r="X56" s="63"/>
      <c r="Y56" s="62"/>
      <c r="Z56" s="62"/>
      <c r="AA56" s="103"/>
      <c r="AB56" s="103"/>
    </row>
    <row r="57" spans="1:28" s="70" customFormat="1" ht="14.25" x14ac:dyDescent="0.2">
      <c r="A57" s="60"/>
      <c r="B57" s="1" t="s">
        <v>100</v>
      </c>
      <c r="C57" s="113">
        <v>17</v>
      </c>
      <c r="D57" s="72" t="s">
        <v>45</v>
      </c>
      <c r="E57" s="122">
        <v>0.2</v>
      </c>
      <c r="F57" s="122">
        <f>C57*E57</f>
        <v>3.4000000000000004</v>
      </c>
      <c r="G57" s="122">
        <f>$H$11*E57</f>
        <v>8</v>
      </c>
      <c r="H57" s="123">
        <f>F57*$H$11</f>
        <v>136</v>
      </c>
      <c r="I57" s="135">
        <v>23.99</v>
      </c>
      <c r="J57" s="123">
        <f>C57*I57</f>
        <v>407.83</v>
      </c>
      <c r="K57" s="124">
        <f>SUM(H57,J57)</f>
        <v>543.82999999999993</v>
      </c>
      <c r="L57" s="123">
        <f>K57/C57</f>
        <v>31.989999999999995</v>
      </c>
      <c r="M57" s="125">
        <f>C57*L57</f>
        <v>543.82999999999993</v>
      </c>
      <c r="N57" s="131">
        <v>0</v>
      </c>
      <c r="O57" s="118">
        <f>M57*N57</f>
        <v>0</v>
      </c>
      <c r="P57" s="455"/>
      <c r="Q57" s="455"/>
      <c r="R57" s="455"/>
      <c r="S57" s="455"/>
      <c r="T57" s="154"/>
      <c r="U57" s="155"/>
      <c r="V57" s="136"/>
      <c r="W57" s="63"/>
      <c r="X57" s="63"/>
      <c r="Y57" s="62"/>
      <c r="Z57" s="62"/>
      <c r="AA57" s="103"/>
      <c r="AB57" s="103"/>
    </row>
    <row r="58" spans="1:28" s="70" customFormat="1" ht="14.25" x14ac:dyDescent="0.2">
      <c r="A58" s="60"/>
      <c r="B58" s="168"/>
      <c r="C58" s="152"/>
      <c r="D58" s="153"/>
      <c r="E58" s="122"/>
      <c r="F58" s="122"/>
      <c r="G58" s="122"/>
      <c r="H58" s="123"/>
      <c r="I58" s="135"/>
      <c r="J58" s="123"/>
      <c r="K58" s="124"/>
      <c r="L58" s="123"/>
      <c r="M58" s="125"/>
      <c r="N58" s="131"/>
      <c r="O58" s="118"/>
      <c r="P58" s="455"/>
      <c r="Q58" s="455"/>
      <c r="R58" s="455"/>
      <c r="S58" s="455"/>
      <c r="T58" s="154"/>
      <c r="U58" s="155"/>
      <c r="V58" s="136"/>
      <c r="W58" s="63"/>
      <c r="X58" s="63"/>
      <c r="Y58" s="62"/>
      <c r="Z58" s="62"/>
      <c r="AA58" s="103"/>
      <c r="AB58" s="103"/>
    </row>
    <row r="59" spans="1:28" s="70" customFormat="1" ht="14.25" x14ac:dyDescent="0.2">
      <c r="A59" s="60"/>
      <c r="B59" s="1" t="s">
        <v>107</v>
      </c>
      <c r="C59" s="113">
        <v>34</v>
      </c>
      <c r="D59" s="72" t="s">
        <v>45</v>
      </c>
      <c r="E59" s="122">
        <v>0.35</v>
      </c>
      <c r="F59" s="122">
        <f>C59*E59</f>
        <v>11.899999999999999</v>
      </c>
      <c r="G59" s="122">
        <f>$H$11*E59</f>
        <v>14</v>
      </c>
      <c r="H59" s="123">
        <f>F59*$H$11</f>
        <v>475.99999999999994</v>
      </c>
      <c r="I59" s="135">
        <v>13.51</v>
      </c>
      <c r="J59" s="123">
        <f>C59*I59</f>
        <v>459.34</v>
      </c>
      <c r="K59" s="124">
        <f>SUM(H59,J59)</f>
        <v>935.33999999999992</v>
      </c>
      <c r="L59" s="123">
        <f>K59/C59</f>
        <v>27.509999999999998</v>
      </c>
      <c r="M59" s="125">
        <f>C59*L59</f>
        <v>935.33999999999992</v>
      </c>
      <c r="N59" s="131">
        <v>0</v>
      </c>
      <c r="O59" s="118">
        <f>M59*N59</f>
        <v>0</v>
      </c>
      <c r="P59" s="455"/>
      <c r="Q59" s="455"/>
      <c r="R59" s="455"/>
      <c r="S59" s="455"/>
      <c r="T59" s="154"/>
      <c r="U59" s="155"/>
      <c r="V59" s="136"/>
      <c r="W59" s="63"/>
      <c r="X59" s="63"/>
      <c r="Y59" s="62"/>
      <c r="Z59" s="62"/>
      <c r="AA59" s="103"/>
      <c r="AB59" s="103"/>
    </row>
    <row r="60" spans="1:28" s="70" customFormat="1" ht="14.25" x14ac:dyDescent="0.2">
      <c r="A60" s="60"/>
      <c r="B60" s="1"/>
      <c r="C60" s="113"/>
      <c r="D60" s="72"/>
      <c r="E60" s="122"/>
      <c r="F60" s="122"/>
      <c r="G60" s="122"/>
      <c r="H60" s="123"/>
      <c r="I60" s="135"/>
      <c r="J60" s="123"/>
      <c r="K60" s="124"/>
      <c r="L60" s="123"/>
      <c r="M60" s="125"/>
      <c r="N60" s="131"/>
      <c r="O60" s="118"/>
      <c r="P60" s="455"/>
      <c r="Q60" s="455"/>
      <c r="R60" s="455"/>
      <c r="S60" s="455"/>
      <c r="T60" s="154"/>
      <c r="U60" s="155"/>
      <c r="V60" s="136"/>
      <c r="W60" s="63"/>
      <c r="X60" s="63"/>
      <c r="Y60" s="62"/>
      <c r="Z60" s="62"/>
      <c r="AA60" s="103"/>
      <c r="AB60" s="103"/>
    </row>
    <row r="61" spans="1:28" s="70" customFormat="1" ht="25.5" x14ac:dyDescent="0.2">
      <c r="A61" s="60"/>
      <c r="B61" s="1" t="s">
        <v>113</v>
      </c>
      <c r="C61" s="113">
        <v>12</v>
      </c>
      <c r="D61" s="72" t="s">
        <v>45</v>
      </c>
      <c r="E61" s="122">
        <v>0.4</v>
      </c>
      <c r="F61" s="122">
        <f>C61*E61</f>
        <v>4.8000000000000007</v>
      </c>
      <c r="G61" s="122">
        <f>$H$11*E61</f>
        <v>16</v>
      </c>
      <c r="H61" s="123">
        <f>F61*$H$11</f>
        <v>192.00000000000003</v>
      </c>
      <c r="I61" s="135">
        <v>16</v>
      </c>
      <c r="J61" s="123">
        <f>C61*I61</f>
        <v>192</v>
      </c>
      <c r="K61" s="124">
        <f>SUM(H61,J61)</f>
        <v>384</v>
      </c>
      <c r="L61" s="123">
        <f>K61/C61</f>
        <v>32</v>
      </c>
      <c r="M61" s="125">
        <f>C61*L61</f>
        <v>384</v>
      </c>
      <c r="N61" s="131">
        <v>0</v>
      </c>
      <c r="O61" s="118">
        <f>M61*N61</f>
        <v>0</v>
      </c>
      <c r="P61" s="455"/>
      <c r="Q61" s="455"/>
      <c r="R61" s="455"/>
      <c r="S61" s="455"/>
      <c r="T61" s="154"/>
      <c r="U61" s="155"/>
      <c r="V61" s="136"/>
      <c r="W61" s="63"/>
      <c r="X61" s="63"/>
      <c r="Y61" s="62"/>
      <c r="Z61" s="62"/>
      <c r="AA61" s="103"/>
      <c r="AB61" s="103"/>
    </row>
    <row r="62" spans="1:28" s="70" customFormat="1" ht="14.25" x14ac:dyDescent="0.2">
      <c r="A62" s="60"/>
      <c r="B62" s="1" t="s">
        <v>105</v>
      </c>
      <c r="C62" s="113">
        <v>18</v>
      </c>
      <c r="D62" s="72" t="s">
        <v>46</v>
      </c>
      <c r="E62" s="122">
        <v>0.1</v>
      </c>
      <c r="F62" s="122">
        <f>C62*E62</f>
        <v>1.8</v>
      </c>
      <c r="G62" s="122">
        <f>$H$11*E62</f>
        <v>4</v>
      </c>
      <c r="H62" s="123">
        <f>F62*$H$11</f>
        <v>72</v>
      </c>
      <c r="I62" s="135">
        <v>2.5</v>
      </c>
      <c r="J62" s="123">
        <f>C62*I62</f>
        <v>45</v>
      </c>
      <c r="K62" s="124">
        <f>SUM(H62,J62)</f>
        <v>117</v>
      </c>
      <c r="L62" s="123">
        <f>K62/C62</f>
        <v>6.5</v>
      </c>
      <c r="M62" s="125">
        <f>C62*L62</f>
        <v>117</v>
      </c>
      <c r="N62" s="131">
        <v>0</v>
      </c>
      <c r="O62" s="118">
        <f>M62*N62</f>
        <v>0</v>
      </c>
      <c r="P62" s="455"/>
      <c r="Q62" s="455"/>
      <c r="R62" s="455"/>
      <c r="S62" s="455"/>
      <c r="T62" s="265">
        <f>SUM(C55,C57,C59,C61)</f>
        <v>342</v>
      </c>
      <c r="U62" s="155"/>
      <c r="V62" s="136"/>
      <c r="W62" s="63"/>
      <c r="X62" s="63"/>
      <c r="Y62" s="62"/>
      <c r="Z62" s="62"/>
      <c r="AA62" s="103"/>
      <c r="AB62" s="103"/>
    </row>
    <row r="63" spans="1:28" s="70" customFormat="1" ht="14.25" x14ac:dyDescent="0.2">
      <c r="A63" s="60"/>
      <c r="B63" s="168"/>
      <c r="C63" s="152"/>
      <c r="D63" s="153"/>
      <c r="E63" s="122"/>
      <c r="F63" s="122"/>
      <c r="G63" s="122"/>
      <c r="H63" s="123"/>
      <c r="I63" s="135"/>
      <c r="J63" s="123"/>
      <c r="K63" s="124"/>
      <c r="L63" s="123"/>
      <c r="M63" s="125"/>
      <c r="N63" s="131"/>
      <c r="O63" s="118"/>
      <c r="P63" s="455"/>
      <c r="Q63" s="455"/>
      <c r="R63" s="455"/>
      <c r="S63" s="455"/>
      <c r="T63" s="154"/>
      <c r="U63" s="155"/>
      <c r="V63" s="136"/>
      <c r="W63" s="63"/>
      <c r="X63" s="63"/>
      <c r="Y63" s="62"/>
      <c r="Z63" s="62"/>
      <c r="AA63" s="103"/>
      <c r="AB63" s="103"/>
    </row>
    <row r="64" spans="1:28" s="70" customFormat="1" ht="14.25" x14ac:dyDescent="0.2">
      <c r="A64" s="60"/>
      <c r="B64" s="165" t="s">
        <v>101</v>
      </c>
      <c r="C64" s="113"/>
      <c r="D64" s="72"/>
      <c r="E64" s="122"/>
      <c r="F64" s="122"/>
      <c r="G64" s="122"/>
      <c r="H64" s="123"/>
      <c r="I64" s="135"/>
      <c r="J64" s="123"/>
      <c r="K64" s="124"/>
      <c r="L64" s="123"/>
      <c r="M64" s="125"/>
      <c r="N64" s="131"/>
      <c r="O64" s="118"/>
      <c r="P64" s="455"/>
      <c r="Q64" s="455"/>
      <c r="R64" s="455"/>
      <c r="S64" s="455"/>
      <c r="T64" s="154"/>
      <c r="U64" s="155"/>
      <c r="V64" s="136"/>
      <c r="W64" s="63"/>
      <c r="X64" s="63"/>
      <c r="Y64" s="62"/>
      <c r="Z64" s="62"/>
      <c r="AA64" s="103"/>
      <c r="AB64" s="103"/>
    </row>
    <row r="65" spans="1:28" s="70" customFormat="1" ht="14.25" x14ac:dyDescent="0.2">
      <c r="A65" s="60"/>
      <c r="B65" s="151" t="s">
        <v>102</v>
      </c>
      <c r="C65" s="157" t="s">
        <v>89</v>
      </c>
      <c r="D65" s="153"/>
      <c r="E65" s="122"/>
      <c r="F65" s="122"/>
      <c r="G65" s="122"/>
      <c r="H65" s="123"/>
      <c r="I65" s="135"/>
      <c r="J65" s="123"/>
      <c r="K65" s="124"/>
      <c r="L65" s="123"/>
      <c r="M65" s="125"/>
      <c r="N65" s="131"/>
      <c r="O65" s="118"/>
      <c r="P65" s="455"/>
      <c r="Q65" s="455"/>
      <c r="R65" s="455"/>
      <c r="S65" s="455"/>
      <c r="T65" s="154"/>
      <c r="U65" s="155"/>
      <c r="V65" s="136"/>
      <c r="W65" s="63"/>
      <c r="X65" s="63"/>
      <c r="Y65" s="62"/>
      <c r="Z65" s="62"/>
      <c r="AA65" s="103"/>
      <c r="AB65" s="103"/>
    </row>
    <row r="66" spans="1:28" s="70" customFormat="1" ht="14.25" x14ac:dyDescent="0.2">
      <c r="A66" s="60"/>
      <c r="B66" s="168"/>
      <c r="C66" s="152"/>
      <c r="D66" s="153"/>
      <c r="E66" s="122"/>
      <c r="F66" s="122"/>
      <c r="G66" s="122"/>
      <c r="H66" s="123"/>
      <c r="I66" s="135"/>
      <c r="J66" s="123"/>
      <c r="K66" s="124"/>
      <c r="L66" s="123"/>
      <c r="M66" s="125"/>
      <c r="N66" s="131"/>
      <c r="O66" s="118"/>
      <c r="P66" s="455"/>
      <c r="Q66" s="455"/>
      <c r="R66" s="455"/>
      <c r="S66" s="455"/>
      <c r="T66" s="154"/>
      <c r="U66" s="155"/>
      <c r="V66" s="136"/>
      <c r="W66" s="63"/>
      <c r="X66" s="63"/>
      <c r="Y66" s="62"/>
      <c r="Z66" s="62"/>
      <c r="AA66" s="103"/>
      <c r="AB66" s="103"/>
    </row>
    <row r="67" spans="1:28" s="70" customFormat="1" ht="14.25" x14ac:dyDescent="0.2">
      <c r="A67" s="60"/>
      <c r="B67" s="1" t="s">
        <v>110</v>
      </c>
      <c r="C67" s="152">
        <v>14</v>
      </c>
      <c r="D67" s="153" t="s">
        <v>45</v>
      </c>
      <c r="E67" s="122">
        <v>0.3</v>
      </c>
      <c r="F67" s="122">
        <f>C67*E67</f>
        <v>4.2</v>
      </c>
      <c r="G67" s="122">
        <f>$H$11*E67</f>
        <v>12</v>
      </c>
      <c r="H67" s="123">
        <f>F67*$H$11</f>
        <v>168</v>
      </c>
      <c r="I67" s="135">
        <v>13.51</v>
      </c>
      <c r="J67" s="123">
        <f>C67*I67</f>
        <v>189.14</v>
      </c>
      <c r="K67" s="124">
        <f>SUM(H67,J67)</f>
        <v>357.14</v>
      </c>
      <c r="L67" s="123">
        <f>K67/C67</f>
        <v>25.509999999999998</v>
      </c>
      <c r="M67" s="125">
        <f>C67*L67</f>
        <v>357.14</v>
      </c>
      <c r="N67" s="131">
        <v>0</v>
      </c>
      <c r="O67" s="118">
        <f>M67*N67</f>
        <v>0</v>
      </c>
      <c r="P67" s="455"/>
      <c r="Q67" s="455"/>
      <c r="R67" s="455"/>
      <c r="S67" s="455"/>
      <c r="T67" s="265">
        <f>C67</f>
        <v>14</v>
      </c>
      <c r="U67" s="155"/>
      <c r="V67" s="136"/>
      <c r="W67" s="63"/>
      <c r="X67" s="63"/>
      <c r="Y67" s="62"/>
      <c r="Z67" s="62"/>
      <c r="AA67" s="103"/>
      <c r="AB67" s="103"/>
    </row>
    <row r="68" spans="1:28" s="70" customFormat="1" ht="14.25" x14ac:dyDescent="0.2">
      <c r="A68" s="60"/>
      <c r="B68" s="1"/>
      <c r="C68" s="152"/>
      <c r="D68" s="153"/>
      <c r="E68" s="122"/>
      <c r="F68" s="122"/>
      <c r="G68" s="122"/>
      <c r="H68" s="123"/>
      <c r="I68" s="135"/>
      <c r="J68" s="123"/>
      <c r="K68" s="124"/>
      <c r="L68" s="123"/>
      <c r="M68" s="125">
        <f>-T53</f>
        <v>-356</v>
      </c>
      <c r="N68" s="131"/>
      <c r="O68" s="118"/>
      <c r="P68" s="455"/>
      <c r="Q68" s="455"/>
      <c r="R68" s="455"/>
      <c r="S68" s="455"/>
      <c r="T68" s="265"/>
      <c r="U68" s="155"/>
      <c r="V68" s="136"/>
      <c r="W68" s="63"/>
      <c r="X68" s="63"/>
      <c r="Y68" s="62"/>
      <c r="Z68" s="62"/>
      <c r="AA68" s="103"/>
      <c r="AB68" s="103"/>
    </row>
    <row r="69" spans="1:28" s="70" customFormat="1" ht="14.25" x14ac:dyDescent="0.2">
      <c r="A69" s="60"/>
      <c r="B69" s="151"/>
      <c r="C69" s="152"/>
      <c r="D69" s="153"/>
      <c r="E69" s="122"/>
      <c r="F69" s="122"/>
      <c r="G69" s="122"/>
      <c r="H69" s="123"/>
      <c r="I69" s="135"/>
      <c r="J69" s="123"/>
      <c r="K69" s="124"/>
      <c r="L69" s="123"/>
      <c r="M69" s="125"/>
      <c r="N69" s="131"/>
      <c r="O69" s="118"/>
      <c r="P69" s="452">
        <f>SUM(M55:M68)</f>
        <v>8876.6</v>
      </c>
      <c r="Q69" s="450">
        <f>P69*SUM($L$585:$L$589)</f>
        <v>843.27700000000004</v>
      </c>
      <c r="R69" s="266"/>
      <c r="S69" s="266"/>
      <c r="T69" s="154"/>
      <c r="U69" s="155"/>
      <c r="V69" s="136"/>
      <c r="W69" s="63"/>
      <c r="X69" s="63"/>
      <c r="Y69" s="62"/>
      <c r="Z69" s="62"/>
      <c r="AA69" s="103"/>
      <c r="AB69" s="103"/>
    </row>
    <row r="70" spans="1:28" s="70" customFormat="1" ht="14.25" x14ac:dyDescent="0.2">
      <c r="A70" s="60"/>
      <c r="B70" s="151"/>
      <c r="C70" s="152"/>
      <c r="D70" s="153"/>
      <c r="E70" s="122"/>
      <c r="F70" s="122"/>
      <c r="G70" s="122"/>
      <c r="H70" s="123"/>
      <c r="I70" s="135"/>
      <c r="J70" s="123"/>
      <c r="K70" s="124"/>
      <c r="L70" s="123"/>
      <c r="M70" s="125"/>
      <c r="N70" s="131"/>
      <c r="O70" s="118"/>
      <c r="P70" s="451">
        <f>P69/$M$582</f>
        <v>2.2798646186873384E-2</v>
      </c>
      <c r="Q70" s="452">
        <f>P70*$M$593</f>
        <v>192.49130661700633</v>
      </c>
      <c r="R70" s="452">
        <f>SUM(P69,Q69,Q70)</f>
        <v>9912.368306617007</v>
      </c>
      <c r="S70" s="452">
        <f>R70*1.08</f>
        <v>10705.357771146368</v>
      </c>
      <c r="T70" s="154"/>
      <c r="U70" s="155"/>
      <c r="V70" s="136"/>
      <c r="W70" s="63"/>
      <c r="X70" s="63"/>
      <c r="Y70" s="62"/>
      <c r="Z70" s="62"/>
      <c r="AA70" s="103"/>
      <c r="AB70" s="103"/>
    </row>
    <row r="71" spans="1:28" s="70" customFormat="1" ht="14.25" x14ac:dyDescent="0.2">
      <c r="A71" s="60"/>
      <c r="B71" s="151"/>
      <c r="C71" s="152"/>
      <c r="D71" s="153"/>
      <c r="E71" s="122"/>
      <c r="F71" s="122"/>
      <c r="G71" s="122"/>
      <c r="H71" s="123"/>
      <c r="I71" s="135"/>
      <c r="J71" s="123"/>
      <c r="K71" s="124"/>
      <c r="L71" s="123"/>
      <c r="M71" s="125"/>
      <c r="N71" s="131"/>
      <c r="O71" s="118"/>
      <c r="P71" s="455"/>
      <c r="Q71" s="455"/>
      <c r="R71" s="455"/>
      <c r="S71" s="455"/>
      <c r="T71" s="154"/>
      <c r="U71" s="155"/>
      <c r="V71" s="136"/>
      <c r="W71" s="63"/>
      <c r="X71" s="63"/>
      <c r="Y71" s="62"/>
      <c r="Z71" s="62"/>
      <c r="AA71" s="103"/>
      <c r="AB71" s="103"/>
    </row>
    <row r="72" spans="1:28" s="70" customFormat="1" ht="15" x14ac:dyDescent="0.2">
      <c r="A72" s="60"/>
      <c r="B72" s="169" t="s">
        <v>68</v>
      </c>
      <c r="C72" s="152"/>
      <c r="D72" s="153"/>
      <c r="E72" s="122"/>
      <c r="F72" s="122"/>
      <c r="G72" s="122"/>
      <c r="H72" s="123"/>
      <c r="I72" s="135"/>
      <c r="J72" s="123"/>
      <c r="K72" s="124"/>
      <c r="L72" s="123"/>
      <c r="M72" s="125"/>
      <c r="N72" s="131"/>
      <c r="O72" s="118"/>
      <c r="P72" s="455"/>
      <c r="Q72" s="455"/>
      <c r="R72" s="455"/>
      <c r="S72" s="455"/>
      <c r="T72" s="394">
        <f>SUM(C74,C75,C77,C80)</f>
        <v>126</v>
      </c>
      <c r="U72" s="155"/>
      <c r="V72" s="136"/>
      <c r="W72" s="63"/>
      <c r="X72" s="63"/>
      <c r="Y72" s="62"/>
      <c r="Z72" s="62"/>
      <c r="AA72" s="103"/>
      <c r="AB72" s="103"/>
    </row>
    <row r="73" spans="1:28" s="70" customFormat="1" ht="14.25" x14ac:dyDescent="0.2">
      <c r="A73" s="60"/>
      <c r="B73" s="165" t="s">
        <v>63</v>
      </c>
      <c r="C73" s="152"/>
      <c r="D73" s="153"/>
      <c r="E73" s="122"/>
      <c r="F73" s="122"/>
      <c r="G73" s="122"/>
      <c r="H73" s="123"/>
      <c r="I73" s="135"/>
      <c r="J73" s="123"/>
      <c r="K73" s="124"/>
      <c r="L73" s="123"/>
      <c r="M73" s="125"/>
      <c r="N73" s="131"/>
      <c r="O73" s="118"/>
      <c r="P73" s="455"/>
      <c r="Q73" s="455"/>
      <c r="R73" s="455"/>
      <c r="S73" s="455"/>
      <c r="T73" s="154"/>
      <c r="U73" s="155"/>
      <c r="V73" s="136"/>
      <c r="W73" s="63"/>
      <c r="X73" s="63"/>
      <c r="Y73" s="62"/>
      <c r="Z73" s="62"/>
      <c r="AA73" s="103"/>
      <c r="AB73" s="103"/>
    </row>
    <row r="74" spans="1:28" s="70" customFormat="1" ht="14.25" x14ac:dyDescent="0.2">
      <c r="A74" s="60"/>
      <c r="B74" s="146" t="s">
        <v>99</v>
      </c>
      <c r="C74" s="61">
        <v>75</v>
      </c>
      <c r="D74" s="72" t="s">
        <v>45</v>
      </c>
      <c r="E74" s="122">
        <v>0.2</v>
      </c>
      <c r="F74" s="122">
        <f>C74*E74</f>
        <v>15</v>
      </c>
      <c r="G74" s="122">
        <f>$H$11*E74</f>
        <v>8</v>
      </c>
      <c r="H74" s="123">
        <f>F74*$H$11</f>
        <v>600</v>
      </c>
      <c r="I74" s="135">
        <v>13.51</v>
      </c>
      <c r="J74" s="123">
        <f>C74*I74</f>
        <v>1013.25</v>
      </c>
      <c r="K74" s="124">
        <f>SUM(H74,J74)</f>
        <v>1613.25</v>
      </c>
      <c r="L74" s="123">
        <f>K74/C74</f>
        <v>21.51</v>
      </c>
      <c r="M74" s="125">
        <f>C74*L74</f>
        <v>1613.2500000000002</v>
      </c>
      <c r="N74" s="131">
        <v>0</v>
      </c>
      <c r="O74" s="118">
        <f>M74*N74</f>
        <v>0</v>
      </c>
      <c r="P74" s="455"/>
      <c r="Q74" s="455"/>
      <c r="R74" s="455"/>
      <c r="S74" s="455"/>
      <c r="T74" s="154"/>
      <c r="U74" s="155"/>
      <c r="V74" s="136"/>
      <c r="W74" s="63"/>
      <c r="X74" s="63"/>
      <c r="Y74" s="62"/>
      <c r="Z74" s="62"/>
      <c r="AA74" s="103"/>
      <c r="AB74" s="103"/>
    </row>
    <row r="75" spans="1:28" s="70" customFormat="1" ht="14.25" x14ac:dyDescent="0.2">
      <c r="A75" s="60"/>
      <c r="B75" s="1" t="s">
        <v>100</v>
      </c>
      <c r="C75" s="113">
        <v>15</v>
      </c>
      <c r="D75" s="72" t="s">
        <v>45</v>
      </c>
      <c r="E75" s="122">
        <v>0.2</v>
      </c>
      <c r="F75" s="122">
        <f>C75*E75</f>
        <v>3</v>
      </c>
      <c r="G75" s="122">
        <f>$H$11*E75</f>
        <v>8</v>
      </c>
      <c r="H75" s="123">
        <f>F75*$H$11</f>
        <v>120</v>
      </c>
      <c r="I75" s="135">
        <v>23.99</v>
      </c>
      <c r="J75" s="123">
        <f>C75*I75</f>
        <v>359.84999999999997</v>
      </c>
      <c r="K75" s="124">
        <f>SUM(H75,J75)</f>
        <v>479.84999999999997</v>
      </c>
      <c r="L75" s="123">
        <f>K75/C75</f>
        <v>31.99</v>
      </c>
      <c r="M75" s="125">
        <f>C75*L75</f>
        <v>479.84999999999997</v>
      </c>
      <c r="N75" s="131">
        <v>0</v>
      </c>
      <c r="O75" s="118">
        <f>M75*N75</f>
        <v>0</v>
      </c>
      <c r="P75" s="455"/>
      <c r="Q75" s="455"/>
      <c r="R75" s="455"/>
      <c r="S75" s="455"/>
      <c r="T75" s="154"/>
      <c r="U75" s="155"/>
      <c r="V75" s="136"/>
      <c r="W75" s="63"/>
      <c r="X75" s="63"/>
      <c r="Y75" s="62"/>
      <c r="Z75" s="62"/>
      <c r="AA75" s="103"/>
      <c r="AB75" s="103"/>
    </row>
    <row r="76" spans="1:28" s="70" customFormat="1" ht="14.25" x14ac:dyDescent="0.2">
      <c r="A76" s="60"/>
      <c r="B76" s="151"/>
      <c r="C76" s="152"/>
      <c r="D76" s="153"/>
      <c r="E76" s="122"/>
      <c r="F76" s="122"/>
      <c r="G76" s="122"/>
      <c r="H76" s="123"/>
      <c r="I76" s="135"/>
      <c r="J76" s="123"/>
      <c r="K76" s="124"/>
      <c r="L76" s="123"/>
      <c r="M76" s="125"/>
      <c r="N76" s="131"/>
      <c r="O76" s="118"/>
      <c r="P76" s="455"/>
      <c r="Q76" s="455"/>
      <c r="R76" s="455"/>
      <c r="S76" s="455"/>
      <c r="T76" s="154"/>
      <c r="U76" s="155"/>
      <c r="V76" s="136"/>
      <c r="W76" s="63"/>
      <c r="X76" s="63"/>
      <c r="Y76" s="62"/>
      <c r="Z76" s="62"/>
      <c r="AA76" s="103"/>
      <c r="AB76" s="103"/>
    </row>
    <row r="77" spans="1:28" s="70" customFormat="1" ht="14.25" x14ac:dyDescent="0.2">
      <c r="A77" s="60"/>
      <c r="B77" s="151" t="s">
        <v>107</v>
      </c>
      <c r="C77" s="113">
        <v>30</v>
      </c>
      <c r="D77" s="72" t="s">
        <v>45</v>
      </c>
      <c r="E77" s="122">
        <v>0.35</v>
      </c>
      <c r="F77" s="122">
        <f>C77*E77</f>
        <v>10.5</v>
      </c>
      <c r="G77" s="122">
        <f>$H$11*E77</f>
        <v>14</v>
      </c>
      <c r="H77" s="123">
        <f>F77*$H$11</f>
        <v>420</v>
      </c>
      <c r="I77" s="135">
        <v>13.51</v>
      </c>
      <c r="J77" s="123">
        <f>C77*I77</f>
        <v>405.3</v>
      </c>
      <c r="K77" s="124">
        <f>SUM(H77,J77)</f>
        <v>825.3</v>
      </c>
      <c r="L77" s="123">
        <f>K77/C77</f>
        <v>27.509999999999998</v>
      </c>
      <c r="M77" s="125">
        <f>C77*L77</f>
        <v>825.3</v>
      </c>
      <c r="N77" s="131">
        <v>0</v>
      </c>
      <c r="O77" s="118">
        <f>M77*N77</f>
        <v>0</v>
      </c>
      <c r="P77" s="455"/>
      <c r="Q77" s="455"/>
      <c r="R77" s="455"/>
      <c r="S77" s="455"/>
      <c r="T77" s="266">
        <f>SUM(C77,C75,C74)</f>
        <v>120</v>
      </c>
      <c r="U77" s="155"/>
      <c r="V77" s="136"/>
      <c r="W77" s="63"/>
      <c r="X77" s="63"/>
      <c r="Y77" s="62"/>
      <c r="Z77" s="62"/>
      <c r="AA77" s="103"/>
      <c r="AB77" s="103"/>
    </row>
    <row r="78" spans="1:28" s="70" customFormat="1" ht="14.25" x14ac:dyDescent="0.2">
      <c r="A78" s="60"/>
      <c r="B78" s="151"/>
      <c r="C78" s="152"/>
      <c r="D78" s="153"/>
      <c r="E78" s="122"/>
      <c r="F78" s="122"/>
      <c r="G78" s="122"/>
      <c r="H78" s="123"/>
      <c r="I78" s="135"/>
      <c r="J78" s="123"/>
      <c r="K78" s="124"/>
      <c r="L78" s="123"/>
      <c r="M78" s="125"/>
      <c r="N78" s="131"/>
      <c r="O78" s="118"/>
      <c r="P78" s="455"/>
      <c r="Q78" s="455"/>
      <c r="R78" s="455"/>
      <c r="S78" s="455"/>
      <c r="T78" s="154"/>
      <c r="U78" s="155"/>
      <c r="V78" s="136"/>
      <c r="W78" s="63"/>
      <c r="X78" s="63"/>
      <c r="Y78" s="62"/>
      <c r="Z78" s="62"/>
      <c r="AA78" s="103"/>
      <c r="AB78" s="103"/>
    </row>
    <row r="79" spans="1:28" s="70" customFormat="1" ht="14.25" x14ac:dyDescent="0.2">
      <c r="A79" s="60"/>
      <c r="B79" s="165" t="s">
        <v>101</v>
      </c>
      <c r="C79" s="152"/>
      <c r="D79" s="153"/>
      <c r="E79" s="122"/>
      <c r="F79" s="122"/>
      <c r="G79" s="122"/>
      <c r="H79" s="123"/>
      <c r="I79" s="135"/>
      <c r="J79" s="123"/>
      <c r="K79" s="124"/>
      <c r="L79" s="123"/>
      <c r="M79" s="125"/>
      <c r="N79" s="131"/>
      <c r="O79" s="118"/>
      <c r="P79" s="455"/>
      <c r="Q79" s="455"/>
      <c r="R79" s="455"/>
      <c r="S79" s="455"/>
      <c r="T79" s="154"/>
      <c r="U79" s="155"/>
      <c r="V79" s="136"/>
      <c r="W79" s="63"/>
      <c r="X79" s="63"/>
      <c r="Y79" s="62"/>
      <c r="Z79" s="62"/>
      <c r="AA79" s="103"/>
      <c r="AB79" s="103"/>
    </row>
    <row r="80" spans="1:28" s="70" customFormat="1" ht="14.25" x14ac:dyDescent="0.2">
      <c r="A80" s="60"/>
      <c r="B80" s="1" t="s">
        <v>110</v>
      </c>
      <c r="C80" s="152">
        <v>6</v>
      </c>
      <c r="D80" s="153" t="s">
        <v>45</v>
      </c>
      <c r="E80" s="122">
        <v>0.3</v>
      </c>
      <c r="F80" s="122">
        <f>C80*E80</f>
        <v>1.7999999999999998</v>
      </c>
      <c r="G80" s="122">
        <f>$H$11*E80</f>
        <v>12</v>
      </c>
      <c r="H80" s="123">
        <f>F80*$H$11</f>
        <v>72</v>
      </c>
      <c r="I80" s="135">
        <v>13.51</v>
      </c>
      <c r="J80" s="123">
        <f>C80*I80</f>
        <v>81.06</v>
      </c>
      <c r="K80" s="124">
        <f>SUM(H80,J80)</f>
        <v>153.06</v>
      </c>
      <c r="L80" s="123">
        <f>K80/C80</f>
        <v>25.51</v>
      </c>
      <c r="M80" s="125">
        <f>C80*L80</f>
        <v>153.06</v>
      </c>
      <c r="N80" s="131">
        <v>0</v>
      </c>
      <c r="O80" s="118">
        <f>M80*N80</f>
        <v>0</v>
      </c>
      <c r="P80" s="455"/>
      <c r="Q80" s="455"/>
      <c r="R80" s="455"/>
      <c r="S80" s="455"/>
      <c r="T80" s="154"/>
      <c r="U80" s="155"/>
      <c r="V80" s="136"/>
      <c r="W80" s="63"/>
      <c r="X80" s="63"/>
      <c r="Y80" s="62"/>
      <c r="Z80" s="62"/>
      <c r="AA80" s="103"/>
      <c r="AB80" s="103"/>
    </row>
    <row r="81" spans="1:28" s="70" customFormat="1" ht="14.25" x14ac:dyDescent="0.2">
      <c r="A81" s="60"/>
      <c r="B81" s="1"/>
      <c r="C81" s="152"/>
      <c r="D81" s="153"/>
      <c r="E81" s="122"/>
      <c r="F81" s="122"/>
      <c r="G81" s="122"/>
      <c r="H81" s="123"/>
      <c r="I81" s="135"/>
      <c r="J81" s="123"/>
      <c r="K81" s="124"/>
      <c r="L81" s="123"/>
      <c r="M81" s="125">
        <f>-T72</f>
        <v>-126</v>
      </c>
      <c r="N81" s="131"/>
      <c r="O81" s="118"/>
      <c r="P81" s="455"/>
      <c r="Q81" s="455"/>
      <c r="R81" s="455"/>
      <c r="S81" s="455"/>
      <c r="T81" s="154"/>
      <c r="U81" s="155"/>
      <c r="V81" s="136"/>
      <c r="W81" s="63"/>
      <c r="X81" s="63"/>
      <c r="Y81" s="62"/>
      <c r="Z81" s="62"/>
      <c r="AA81" s="103"/>
      <c r="AB81" s="103"/>
    </row>
    <row r="82" spans="1:28" s="70" customFormat="1" ht="14.25" x14ac:dyDescent="0.2">
      <c r="A82" s="60"/>
      <c r="B82" s="151"/>
      <c r="C82" s="152"/>
      <c r="D82" s="153"/>
      <c r="E82" s="122"/>
      <c r="F82" s="122"/>
      <c r="G82" s="122"/>
      <c r="H82" s="123"/>
      <c r="I82" s="135"/>
      <c r="J82" s="123"/>
      <c r="K82" s="124"/>
      <c r="L82" s="123"/>
      <c r="M82" s="125"/>
      <c r="N82" s="131"/>
      <c r="O82" s="118"/>
      <c r="P82" s="452">
        <f>SUM(M74:M81)</f>
        <v>2945.4600000000005</v>
      </c>
      <c r="Q82" s="450">
        <f>P82*SUM($L$585:$L$589)</f>
        <v>279.81870000000004</v>
      </c>
      <c r="R82" s="266"/>
      <c r="S82" s="266"/>
      <c r="T82" s="154"/>
      <c r="U82" s="155"/>
      <c r="V82" s="136"/>
      <c r="W82" s="63"/>
      <c r="X82" s="63"/>
      <c r="Y82" s="62"/>
      <c r="Z82" s="62"/>
      <c r="AA82" s="103"/>
      <c r="AB82" s="103"/>
    </row>
    <row r="83" spans="1:28" s="70" customFormat="1" ht="14.25" x14ac:dyDescent="0.2">
      <c r="A83" s="60"/>
      <c r="B83" s="151"/>
      <c r="C83" s="152"/>
      <c r="D83" s="153"/>
      <c r="E83" s="122"/>
      <c r="F83" s="122"/>
      <c r="G83" s="122"/>
      <c r="H83" s="123"/>
      <c r="I83" s="135"/>
      <c r="J83" s="123"/>
      <c r="K83" s="124"/>
      <c r="L83" s="123"/>
      <c r="M83" s="125"/>
      <c r="N83" s="131"/>
      <c r="O83" s="118"/>
      <c r="P83" s="451">
        <f>P82/$M$582</f>
        <v>7.5651150663078297E-3</v>
      </c>
      <c r="Q83" s="452">
        <f>P83*$M$593</f>
        <v>63.873041929131368</v>
      </c>
      <c r="R83" s="452">
        <f>SUM(P82,Q82,Q83)</f>
        <v>3289.1517419291322</v>
      </c>
      <c r="S83" s="452">
        <f>R83*1.08</f>
        <v>3552.283881283463</v>
      </c>
      <c r="T83" s="154"/>
      <c r="U83" s="155"/>
      <c r="V83" s="136"/>
      <c r="W83" s="63"/>
      <c r="X83" s="63"/>
      <c r="Y83" s="62"/>
      <c r="Z83" s="62"/>
      <c r="AA83" s="103"/>
      <c r="AB83" s="103"/>
    </row>
    <row r="84" spans="1:28" s="70" customFormat="1" ht="14.25" x14ac:dyDescent="0.2">
      <c r="A84" s="60"/>
      <c r="B84" s="151"/>
      <c r="C84" s="152"/>
      <c r="D84" s="153"/>
      <c r="E84" s="122"/>
      <c r="F84" s="122"/>
      <c r="G84" s="122"/>
      <c r="H84" s="123"/>
      <c r="I84" s="135"/>
      <c r="J84" s="123"/>
      <c r="K84" s="124"/>
      <c r="L84" s="123"/>
      <c r="M84" s="125"/>
      <c r="N84" s="131"/>
      <c r="O84" s="118"/>
      <c r="P84" s="455"/>
      <c r="Q84" s="455"/>
      <c r="R84" s="455"/>
      <c r="S84" s="455"/>
      <c r="T84" s="154"/>
      <c r="U84" s="155"/>
      <c r="V84" s="136"/>
      <c r="W84" s="63"/>
      <c r="X84" s="63"/>
      <c r="Y84" s="62"/>
      <c r="Z84" s="62"/>
      <c r="AA84" s="103"/>
      <c r="AB84" s="103"/>
    </row>
    <row r="85" spans="1:28" s="70" customFormat="1" ht="15" x14ac:dyDescent="0.2">
      <c r="A85" s="60"/>
      <c r="B85" s="169" t="s">
        <v>69</v>
      </c>
      <c r="C85" s="152"/>
      <c r="D85" s="153"/>
      <c r="E85" s="122"/>
      <c r="F85" s="122"/>
      <c r="G85" s="122"/>
      <c r="H85" s="123"/>
      <c r="I85" s="135"/>
      <c r="J85" s="123"/>
      <c r="K85" s="124"/>
      <c r="L85" s="123"/>
      <c r="M85" s="125"/>
      <c r="N85" s="131"/>
      <c r="O85" s="118"/>
      <c r="P85" s="455"/>
      <c r="Q85" s="455"/>
      <c r="R85" s="455"/>
      <c r="S85" s="455"/>
      <c r="T85" s="394">
        <f>SUM(C87,C88,C90,C93)</f>
        <v>94</v>
      </c>
      <c r="U85" s="155"/>
      <c r="V85" s="136"/>
      <c r="W85" s="63"/>
      <c r="X85" s="63"/>
      <c r="Y85" s="62"/>
      <c r="Z85" s="62"/>
      <c r="AA85" s="103"/>
      <c r="AB85" s="103"/>
    </row>
    <row r="86" spans="1:28" s="70" customFormat="1" ht="14.25" x14ac:dyDescent="0.2">
      <c r="A86" s="60"/>
      <c r="B86" s="165" t="s">
        <v>63</v>
      </c>
      <c r="C86" s="152"/>
      <c r="D86" s="153"/>
      <c r="E86" s="122"/>
      <c r="F86" s="122"/>
      <c r="G86" s="122"/>
      <c r="H86" s="123"/>
      <c r="I86" s="135"/>
      <c r="J86" s="123"/>
      <c r="K86" s="124"/>
      <c r="L86" s="123"/>
      <c r="M86" s="125"/>
      <c r="N86" s="131"/>
      <c r="O86" s="118"/>
      <c r="P86" s="455"/>
      <c r="Q86" s="455"/>
      <c r="R86" s="455"/>
      <c r="S86" s="455"/>
      <c r="T86" s="154"/>
      <c r="U86" s="155"/>
      <c r="V86" s="136"/>
      <c r="W86" s="63"/>
      <c r="X86" s="63"/>
      <c r="Y86" s="62"/>
      <c r="Z86" s="62"/>
      <c r="AA86" s="103"/>
      <c r="AB86" s="103"/>
    </row>
    <row r="87" spans="1:28" s="70" customFormat="1" ht="14.25" x14ac:dyDescent="0.2">
      <c r="A87" s="60"/>
      <c r="B87" s="146" t="s">
        <v>99</v>
      </c>
      <c r="C87" s="61">
        <v>43</v>
      </c>
      <c r="D87" s="72" t="s">
        <v>45</v>
      </c>
      <c r="E87" s="122">
        <v>0.2</v>
      </c>
      <c r="F87" s="122">
        <f>C87*E87</f>
        <v>8.6</v>
      </c>
      <c r="G87" s="122">
        <f>$H$11*E87</f>
        <v>8</v>
      </c>
      <c r="H87" s="123">
        <f>F87*$H$11</f>
        <v>344</v>
      </c>
      <c r="I87" s="135">
        <v>13.51</v>
      </c>
      <c r="J87" s="123">
        <f>C87*I87</f>
        <v>580.92999999999995</v>
      </c>
      <c r="K87" s="124">
        <f>SUM(H87,J87)</f>
        <v>924.93</v>
      </c>
      <c r="L87" s="123">
        <f>K87/C87</f>
        <v>21.509999999999998</v>
      </c>
      <c r="M87" s="125">
        <f>C87*L87</f>
        <v>924.93</v>
      </c>
      <c r="N87" s="131">
        <v>0</v>
      </c>
      <c r="O87" s="118">
        <f>M87*N87</f>
        <v>0</v>
      </c>
      <c r="P87" s="455"/>
      <c r="Q87" s="455"/>
      <c r="R87" s="455"/>
      <c r="S87" s="455"/>
      <c r="T87" s="154"/>
      <c r="U87" s="155"/>
      <c r="V87" s="136"/>
      <c r="W87" s="63"/>
      <c r="X87" s="63"/>
      <c r="Y87" s="62"/>
      <c r="Z87" s="62"/>
      <c r="AA87" s="103"/>
      <c r="AB87" s="103"/>
    </row>
    <row r="88" spans="1:28" s="70" customFormat="1" ht="14.25" x14ac:dyDescent="0.2">
      <c r="A88" s="60"/>
      <c r="B88" s="1" t="s">
        <v>100</v>
      </c>
      <c r="C88" s="113">
        <v>15</v>
      </c>
      <c r="D88" s="72" t="s">
        <v>45</v>
      </c>
      <c r="E88" s="122">
        <v>0.2</v>
      </c>
      <c r="F88" s="122">
        <f>C88*E88</f>
        <v>3</v>
      </c>
      <c r="G88" s="122">
        <f>$H$11*E88</f>
        <v>8</v>
      </c>
      <c r="H88" s="123">
        <f>F88*$H$11</f>
        <v>120</v>
      </c>
      <c r="I88" s="135">
        <v>23.99</v>
      </c>
      <c r="J88" s="123">
        <f>C88*I88</f>
        <v>359.84999999999997</v>
      </c>
      <c r="K88" s="124">
        <f>SUM(H88,J88)</f>
        <v>479.84999999999997</v>
      </c>
      <c r="L88" s="123">
        <f>K88/C88</f>
        <v>31.99</v>
      </c>
      <c r="M88" s="125">
        <f>C88*L88</f>
        <v>479.84999999999997</v>
      </c>
      <c r="N88" s="131">
        <v>0</v>
      </c>
      <c r="O88" s="118">
        <f>M88*N88</f>
        <v>0</v>
      </c>
      <c r="P88" s="455"/>
      <c r="Q88" s="455"/>
      <c r="R88" s="455"/>
      <c r="S88" s="455"/>
      <c r="T88" s="154"/>
      <c r="U88" s="155"/>
      <c r="V88" s="136"/>
      <c r="W88" s="63"/>
      <c r="X88" s="63"/>
      <c r="Y88" s="62"/>
      <c r="Z88" s="62"/>
      <c r="AA88" s="103"/>
      <c r="AB88" s="103"/>
    </row>
    <row r="89" spans="1:28" s="70" customFormat="1" ht="14.25" x14ac:dyDescent="0.2">
      <c r="A89" s="60"/>
      <c r="B89" s="151"/>
      <c r="C89" s="152"/>
      <c r="D89" s="153"/>
      <c r="E89" s="122"/>
      <c r="F89" s="122"/>
      <c r="G89" s="122"/>
      <c r="H89" s="123"/>
      <c r="I89" s="135"/>
      <c r="J89" s="123"/>
      <c r="K89" s="124"/>
      <c r="L89" s="123"/>
      <c r="M89" s="125"/>
      <c r="N89" s="131"/>
      <c r="O89" s="118"/>
      <c r="P89" s="455"/>
      <c r="Q89" s="455"/>
      <c r="R89" s="455"/>
      <c r="S89" s="455"/>
      <c r="T89" s="154"/>
      <c r="U89" s="155"/>
      <c r="V89" s="136"/>
      <c r="W89" s="63"/>
      <c r="X89" s="63"/>
      <c r="Y89" s="62"/>
      <c r="Z89" s="62"/>
      <c r="AA89" s="103"/>
      <c r="AB89" s="103"/>
    </row>
    <row r="90" spans="1:28" s="70" customFormat="1" ht="14.25" x14ac:dyDescent="0.2">
      <c r="A90" s="60"/>
      <c r="B90" s="151" t="s">
        <v>107</v>
      </c>
      <c r="C90" s="113">
        <v>30</v>
      </c>
      <c r="D90" s="72" t="s">
        <v>45</v>
      </c>
      <c r="E90" s="122">
        <v>0.35</v>
      </c>
      <c r="F90" s="122">
        <f>C90*E90</f>
        <v>10.5</v>
      </c>
      <c r="G90" s="122">
        <f>$H$11*E90</f>
        <v>14</v>
      </c>
      <c r="H90" s="123">
        <f>F90*$H$11</f>
        <v>420</v>
      </c>
      <c r="I90" s="135">
        <v>13.51</v>
      </c>
      <c r="J90" s="123">
        <f>C90*I90</f>
        <v>405.3</v>
      </c>
      <c r="K90" s="124">
        <f>SUM(H90,J90)</f>
        <v>825.3</v>
      </c>
      <c r="L90" s="123">
        <f>K90/C90</f>
        <v>27.509999999999998</v>
      </c>
      <c r="M90" s="125">
        <f>C90*L90</f>
        <v>825.3</v>
      </c>
      <c r="N90" s="131">
        <v>0</v>
      </c>
      <c r="O90" s="118">
        <f>M90*N90</f>
        <v>0</v>
      </c>
      <c r="P90" s="455"/>
      <c r="Q90" s="455"/>
      <c r="R90" s="455"/>
      <c r="S90" s="455"/>
      <c r="T90" s="266">
        <f>SUM(C87:C90)</f>
        <v>88</v>
      </c>
      <c r="U90" s="155"/>
      <c r="V90" s="136"/>
      <c r="W90" s="63"/>
      <c r="X90" s="63"/>
      <c r="Y90" s="62"/>
      <c r="Z90" s="62"/>
      <c r="AA90" s="103"/>
      <c r="AB90" s="103"/>
    </row>
    <row r="91" spans="1:28" s="70" customFormat="1" ht="14.25" x14ac:dyDescent="0.2">
      <c r="A91" s="60"/>
      <c r="B91" s="151"/>
      <c r="C91" s="152"/>
      <c r="D91" s="153"/>
      <c r="E91" s="122"/>
      <c r="F91" s="122"/>
      <c r="G91" s="122"/>
      <c r="H91" s="123"/>
      <c r="I91" s="135"/>
      <c r="J91" s="123"/>
      <c r="K91" s="124"/>
      <c r="L91" s="123"/>
      <c r="M91" s="125"/>
      <c r="N91" s="131"/>
      <c r="O91" s="118"/>
      <c r="P91" s="455"/>
      <c r="Q91" s="455"/>
      <c r="R91" s="455"/>
      <c r="S91" s="455"/>
      <c r="T91" s="154"/>
      <c r="U91" s="155"/>
      <c r="V91" s="136"/>
      <c r="W91" s="63"/>
      <c r="X91" s="63"/>
      <c r="Y91" s="62"/>
      <c r="Z91" s="62"/>
      <c r="AA91" s="103"/>
      <c r="AB91" s="103"/>
    </row>
    <row r="92" spans="1:28" s="70" customFormat="1" ht="14.25" x14ac:dyDescent="0.2">
      <c r="A92" s="60"/>
      <c r="B92" s="165" t="s">
        <v>101</v>
      </c>
      <c r="C92" s="152"/>
      <c r="D92" s="153"/>
      <c r="E92" s="122"/>
      <c r="F92" s="122"/>
      <c r="G92" s="122"/>
      <c r="H92" s="123"/>
      <c r="I92" s="135"/>
      <c r="J92" s="123"/>
      <c r="K92" s="124"/>
      <c r="L92" s="123"/>
      <c r="M92" s="125"/>
      <c r="N92" s="131"/>
      <c r="O92" s="118"/>
      <c r="P92" s="455"/>
      <c r="Q92" s="455"/>
      <c r="R92" s="455"/>
      <c r="S92" s="455"/>
      <c r="T92" s="154"/>
      <c r="U92" s="155"/>
      <c r="V92" s="136"/>
      <c r="W92" s="63"/>
      <c r="X92" s="63"/>
      <c r="Y92" s="62"/>
      <c r="Z92" s="62"/>
      <c r="AA92" s="103"/>
      <c r="AB92" s="103"/>
    </row>
    <row r="93" spans="1:28" s="70" customFormat="1" ht="14.25" x14ac:dyDescent="0.2">
      <c r="A93" s="60"/>
      <c r="B93" s="1" t="s">
        <v>110</v>
      </c>
      <c r="C93" s="152">
        <v>6</v>
      </c>
      <c r="D93" s="153" t="s">
        <v>45</v>
      </c>
      <c r="E93" s="122">
        <v>0.3</v>
      </c>
      <c r="F93" s="122">
        <f>C93*E93</f>
        <v>1.7999999999999998</v>
      </c>
      <c r="G93" s="122">
        <f>$H$11*E93</f>
        <v>12</v>
      </c>
      <c r="H93" s="123">
        <f>F93*$H$11</f>
        <v>72</v>
      </c>
      <c r="I93" s="135">
        <v>13.51</v>
      </c>
      <c r="J93" s="123">
        <f>C93*I93</f>
        <v>81.06</v>
      </c>
      <c r="K93" s="124">
        <f>SUM(H93,J93)</f>
        <v>153.06</v>
      </c>
      <c r="L93" s="123">
        <f>K93/C93</f>
        <v>25.51</v>
      </c>
      <c r="M93" s="125">
        <f>C93*L93</f>
        <v>153.06</v>
      </c>
      <c r="N93" s="131">
        <v>0</v>
      </c>
      <c r="O93" s="118">
        <f>M93*N93</f>
        <v>0</v>
      </c>
      <c r="P93" s="455"/>
      <c r="Q93" s="455"/>
      <c r="R93" s="455"/>
      <c r="S93" s="455"/>
      <c r="T93" s="154"/>
      <c r="U93" s="155"/>
      <c r="V93" s="136"/>
      <c r="W93" s="63"/>
      <c r="X93" s="63"/>
      <c r="Y93" s="62"/>
      <c r="Z93" s="62"/>
      <c r="AA93" s="103"/>
      <c r="AB93" s="103"/>
    </row>
    <row r="94" spans="1:28" s="70" customFormat="1" ht="14.25" x14ac:dyDescent="0.2">
      <c r="A94" s="60"/>
      <c r="B94" s="1"/>
      <c r="C94" s="152"/>
      <c r="D94" s="153"/>
      <c r="E94" s="122"/>
      <c r="F94" s="122"/>
      <c r="G94" s="122"/>
      <c r="H94" s="123"/>
      <c r="I94" s="135"/>
      <c r="J94" s="123"/>
      <c r="K94" s="124"/>
      <c r="L94" s="123"/>
      <c r="M94" s="125">
        <f>-T85</f>
        <v>-94</v>
      </c>
      <c r="N94" s="131"/>
      <c r="O94" s="118"/>
      <c r="P94" s="455"/>
      <c r="Q94" s="455"/>
      <c r="R94" s="455"/>
      <c r="S94" s="455"/>
      <c r="T94" s="154"/>
      <c r="U94" s="155"/>
      <c r="V94" s="136"/>
      <c r="W94" s="63"/>
      <c r="X94" s="63"/>
      <c r="Y94" s="62"/>
      <c r="Z94" s="62"/>
      <c r="AA94" s="103"/>
      <c r="AB94" s="103"/>
    </row>
    <row r="95" spans="1:28" s="70" customFormat="1" ht="14.25" x14ac:dyDescent="0.2">
      <c r="A95" s="60"/>
      <c r="B95" s="168"/>
      <c r="C95" s="152"/>
      <c r="D95" s="153"/>
      <c r="E95" s="122"/>
      <c r="F95" s="122"/>
      <c r="G95" s="122"/>
      <c r="H95" s="123"/>
      <c r="I95" s="135"/>
      <c r="J95" s="123"/>
      <c r="K95" s="124"/>
      <c r="L95" s="123"/>
      <c r="M95" s="125"/>
      <c r="N95" s="131"/>
      <c r="O95" s="118"/>
      <c r="P95" s="452">
        <f>SUM(M87:M94)</f>
        <v>2289.14</v>
      </c>
      <c r="Q95" s="450">
        <f>P95*SUM($L$585:$L$589)</f>
        <v>217.4683</v>
      </c>
      <c r="R95" s="266"/>
      <c r="S95" s="266"/>
      <c r="T95" s="154"/>
      <c r="U95" s="155"/>
      <c r="V95" s="136"/>
      <c r="W95" s="63"/>
      <c r="X95" s="63"/>
      <c r="Y95" s="62"/>
      <c r="Z95" s="62"/>
      <c r="AA95" s="103"/>
      <c r="AB95" s="103"/>
    </row>
    <row r="96" spans="1:28" s="70" customFormat="1" ht="14.25" x14ac:dyDescent="0.2">
      <c r="A96" s="60"/>
      <c r="B96" s="168"/>
      <c r="C96" s="152"/>
      <c r="D96" s="153"/>
      <c r="E96" s="122"/>
      <c r="F96" s="122"/>
      <c r="G96" s="122"/>
      <c r="H96" s="123"/>
      <c r="I96" s="135"/>
      <c r="J96" s="123"/>
      <c r="K96" s="124"/>
      <c r="L96" s="123"/>
      <c r="M96" s="125"/>
      <c r="N96" s="131"/>
      <c r="O96" s="118"/>
      <c r="P96" s="451">
        <f>P95/$M$582</f>
        <v>5.8794237582204143E-3</v>
      </c>
      <c r="Q96" s="452">
        <f>P96*$M$593</f>
        <v>49.640577431590224</v>
      </c>
      <c r="R96" s="452">
        <f>SUM(P95,Q95,Q96)</f>
        <v>2556.2488774315902</v>
      </c>
      <c r="S96" s="452">
        <f>R96*1.08</f>
        <v>2760.7487876261175</v>
      </c>
      <c r="T96" s="154"/>
      <c r="U96" s="155"/>
      <c r="V96" s="136"/>
      <c r="W96" s="63"/>
      <c r="X96" s="63"/>
      <c r="Y96" s="62"/>
      <c r="Z96" s="62"/>
      <c r="AA96" s="103"/>
      <c r="AB96" s="103"/>
    </row>
    <row r="97" spans="1:28" s="70" customFormat="1" ht="14.25" x14ac:dyDescent="0.2">
      <c r="A97" s="60"/>
      <c r="B97" s="168"/>
      <c r="C97" s="152"/>
      <c r="D97" s="153"/>
      <c r="E97" s="122"/>
      <c r="F97" s="122"/>
      <c r="G97" s="122"/>
      <c r="H97" s="123"/>
      <c r="I97" s="135"/>
      <c r="J97" s="123"/>
      <c r="K97" s="124"/>
      <c r="L97" s="123"/>
      <c r="M97" s="125"/>
      <c r="N97" s="131"/>
      <c r="O97" s="118"/>
      <c r="P97" s="455"/>
      <c r="Q97" s="455"/>
      <c r="R97" s="455"/>
      <c r="S97" s="455"/>
      <c r="T97" s="154"/>
      <c r="U97" s="155"/>
      <c r="V97" s="136"/>
      <c r="W97" s="63"/>
      <c r="X97" s="63"/>
      <c r="Y97" s="62"/>
      <c r="Z97" s="62"/>
      <c r="AA97" s="103"/>
      <c r="AB97" s="103"/>
    </row>
    <row r="98" spans="1:28" s="70" customFormat="1" ht="15" x14ac:dyDescent="0.2">
      <c r="A98" s="60"/>
      <c r="B98" s="169" t="s">
        <v>70</v>
      </c>
      <c r="C98" s="152"/>
      <c r="D98" s="153"/>
      <c r="E98" s="122"/>
      <c r="F98" s="122"/>
      <c r="G98" s="122"/>
      <c r="H98" s="123"/>
      <c r="I98" s="135"/>
      <c r="J98" s="123"/>
      <c r="K98" s="124"/>
      <c r="L98" s="123"/>
      <c r="M98" s="125"/>
      <c r="N98" s="131"/>
      <c r="O98" s="118"/>
      <c r="P98" s="455"/>
      <c r="Q98" s="455"/>
      <c r="R98" s="455"/>
      <c r="S98" s="455"/>
      <c r="T98" s="394">
        <f>SUM(C100,C101,C103,C106)</f>
        <v>86</v>
      </c>
      <c r="U98" s="155"/>
      <c r="V98" s="136"/>
      <c r="W98" s="63"/>
      <c r="X98" s="63"/>
      <c r="Y98" s="62"/>
      <c r="Z98" s="62"/>
      <c r="AA98" s="103"/>
      <c r="AB98" s="103"/>
    </row>
    <row r="99" spans="1:28" s="70" customFormat="1" ht="14.25" x14ac:dyDescent="0.2">
      <c r="A99" s="60"/>
      <c r="B99" s="165" t="s">
        <v>63</v>
      </c>
      <c r="C99" s="152"/>
      <c r="D99" s="153"/>
      <c r="E99" s="122"/>
      <c r="F99" s="122"/>
      <c r="G99" s="122"/>
      <c r="H99" s="123"/>
      <c r="I99" s="135"/>
      <c r="J99" s="123"/>
      <c r="K99" s="124"/>
      <c r="L99" s="123"/>
      <c r="M99" s="125"/>
      <c r="N99" s="131"/>
      <c r="O99" s="118"/>
      <c r="P99" s="455"/>
      <c r="Q99" s="455"/>
      <c r="R99" s="455"/>
      <c r="S99" s="455"/>
      <c r="T99" s="154"/>
      <c r="U99" s="155"/>
      <c r="V99" s="136"/>
      <c r="W99" s="63"/>
      <c r="X99" s="63"/>
      <c r="Y99" s="62"/>
      <c r="Z99" s="62"/>
      <c r="AA99" s="103"/>
      <c r="AB99" s="103"/>
    </row>
    <row r="100" spans="1:28" s="70" customFormat="1" ht="14.25" x14ac:dyDescent="0.2">
      <c r="A100" s="60"/>
      <c r="B100" s="146" t="s">
        <v>99</v>
      </c>
      <c r="C100" s="61">
        <v>35</v>
      </c>
      <c r="D100" s="72" t="s">
        <v>45</v>
      </c>
      <c r="E100" s="122">
        <v>0.2</v>
      </c>
      <c r="F100" s="122">
        <f>C100*E100</f>
        <v>7</v>
      </c>
      <c r="G100" s="122">
        <f>$H$11*E100</f>
        <v>8</v>
      </c>
      <c r="H100" s="123">
        <f>F100*$H$11</f>
        <v>280</v>
      </c>
      <c r="I100" s="135">
        <v>13.51</v>
      </c>
      <c r="J100" s="123">
        <f>C100*I100</f>
        <v>472.84999999999997</v>
      </c>
      <c r="K100" s="124">
        <f>SUM(H100,J100)</f>
        <v>752.84999999999991</v>
      </c>
      <c r="L100" s="123">
        <f>K100/C100</f>
        <v>21.509999999999998</v>
      </c>
      <c r="M100" s="125">
        <f>C100*L100</f>
        <v>752.84999999999991</v>
      </c>
      <c r="N100" s="131">
        <v>0</v>
      </c>
      <c r="O100" s="118">
        <f>M100*N100</f>
        <v>0</v>
      </c>
      <c r="P100" s="455"/>
      <c r="Q100" s="455"/>
      <c r="R100" s="455"/>
      <c r="S100" s="455"/>
      <c r="T100" s="154"/>
      <c r="U100" s="155"/>
      <c r="V100" s="136"/>
      <c r="W100" s="63"/>
      <c r="X100" s="63"/>
      <c r="Y100" s="62"/>
      <c r="Z100" s="62"/>
      <c r="AA100" s="103"/>
      <c r="AB100" s="103"/>
    </row>
    <row r="101" spans="1:28" s="70" customFormat="1" ht="14.25" x14ac:dyDescent="0.2">
      <c r="A101" s="60"/>
      <c r="B101" s="1" t="s">
        <v>100</v>
      </c>
      <c r="C101" s="113">
        <v>15</v>
      </c>
      <c r="D101" s="72" t="s">
        <v>45</v>
      </c>
      <c r="E101" s="122">
        <v>0.2</v>
      </c>
      <c r="F101" s="122">
        <f>C101*E101</f>
        <v>3</v>
      </c>
      <c r="G101" s="122">
        <f>$H$11*E101</f>
        <v>8</v>
      </c>
      <c r="H101" s="123">
        <f>F101*$H$11</f>
        <v>120</v>
      </c>
      <c r="I101" s="135">
        <v>23.99</v>
      </c>
      <c r="J101" s="123">
        <f>C101*I101</f>
        <v>359.84999999999997</v>
      </c>
      <c r="K101" s="124">
        <f>SUM(H101,J101)</f>
        <v>479.84999999999997</v>
      </c>
      <c r="L101" s="123">
        <f>K101/C101</f>
        <v>31.99</v>
      </c>
      <c r="M101" s="125">
        <f>C101*L101</f>
        <v>479.84999999999997</v>
      </c>
      <c r="N101" s="131">
        <v>0</v>
      </c>
      <c r="O101" s="118">
        <f>M101*N101</f>
        <v>0</v>
      </c>
      <c r="P101" s="455"/>
      <c r="Q101" s="455"/>
      <c r="R101" s="455"/>
      <c r="S101" s="455"/>
      <c r="T101" s="154"/>
      <c r="U101" s="155"/>
      <c r="V101" s="136"/>
      <c r="W101" s="63"/>
      <c r="X101" s="63"/>
      <c r="Y101" s="62"/>
      <c r="Z101" s="62"/>
      <c r="AA101" s="103"/>
      <c r="AB101" s="103"/>
    </row>
    <row r="102" spans="1:28" s="70" customFormat="1" ht="14.25" x14ac:dyDescent="0.2">
      <c r="A102" s="60"/>
      <c r="B102" s="151"/>
      <c r="C102" s="152"/>
      <c r="D102" s="153"/>
      <c r="E102" s="122"/>
      <c r="F102" s="122"/>
      <c r="G102" s="122"/>
      <c r="H102" s="123"/>
      <c r="I102" s="135"/>
      <c r="J102" s="123"/>
      <c r="K102" s="124"/>
      <c r="L102" s="123"/>
      <c r="M102" s="125"/>
      <c r="N102" s="131"/>
      <c r="O102" s="118"/>
      <c r="P102" s="455"/>
      <c r="Q102" s="455"/>
      <c r="R102" s="455"/>
      <c r="S102" s="455"/>
      <c r="T102" s="154"/>
      <c r="U102" s="155"/>
      <c r="V102" s="136"/>
      <c r="W102" s="63"/>
      <c r="X102" s="63"/>
      <c r="Y102" s="62"/>
      <c r="Z102" s="62"/>
      <c r="AA102" s="103"/>
      <c r="AB102" s="103"/>
    </row>
    <row r="103" spans="1:28" s="70" customFormat="1" ht="14.25" x14ac:dyDescent="0.2">
      <c r="A103" s="60"/>
      <c r="B103" s="151" t="s">
        <v>107</v>
      </c>
      <c r="C103" s="113">
        <v>30</v>
      </c>
      <c r="D103" s="72" t="s">
        <v>45</v>
      </c>
      <c r="E103" s="122">
        <v>0.35</v>
      </c>
      <c r="F103" s="122">
        <f>C103*E103</f>
        <v>10.5</v>
      </c>
      <c r="G103" s="122">
        <f>$H$11*E103</f>
        <v>14</v>
      </c>
      <c r="H103" s="123">
        <f>F103*$H$11</f>
        <v>420</v>
      </c>
      <c r="I103" s="135">
        <v>13.51</v>
      </c>
      <c r="J103" s="123">
        <f>C103*I103</f>
        <v>405.3</v>
      </c>
      <c r="K103" s="124">
        <f>SUM(H103,J103)</f>
        <v>825.3</v>
      </c>
      <c r="L103" s="123">
        <f>K103/C103</f>
        <v>27.509999999999998</v>
      </c>
      <c r="M103" s="125">
        <f>C103*L103</f>
        <v>825.3</v>
      </c>
      <c r="N103" s="131">
        <v>0</v>
      </c>
      <c r="O103" s="118">
        <f>M103*N103</f>
        <v>0</v>
      </c>
      <c r="P103" s="455"/>
      <c r="Q103" s="455"/>
      <c r="R103" s="455"/>
      <c r="S103" s="455"/>
      <c r="T103" s="266">
        <f>SUM(C100:C103)</f>
        <v>80</v>
      </c>
      <c r="U103" s="155"/>
      <c r="V103" s="136"/>
      <c r="W103" s="63"/>
      <c r="X103" s="63"/>
      <c r="Y103" s="62"/>
      <c r="Z103" s="62"/>
      <c r="AA103" s="103"/>
      <c r="AB103" s="103"/>
    </row>
    <row r="104" spans="1:28" s="70" customFormat="1" ht="14.25" x14ac:dyDescent="0.2">
      <c r="A104" s="60"/>
      <c r="B104" s="151"/>
      <c r="C104" s="152"/>
      <c r="D104" s="153"/>
      <c r="E104" s="122"/>
      <c r="F104" s="122"/>
      <c r="G104" s="122"/>
      <c r="H104" s="123"/>
      <c r="I104" s="135"/>
      <c r="J104" s="123"/>
      <c r="K104" s="124"/>
      <c r="L104" s="123"/>
      <c r="M104" s="125"/>
      <c r="N104" s="131"/>
      <c r="O104" s="118"/>
      <c r="P104" s="455"/>
      <c r="Q104" s="455"/>
      <c r="R104" s="455"/>
      <c r="S104" s="455"/>
      <c r="T104" s="154"/>
      <c r="U104" s="155"/>
      <c r="V104" s="136"/>
      <c r="W104" s="63"/>
      <c r="X104" s="63"/>
      <c r="Y104" s="62"/>
      <c r="Z104" s="62"/>
      <c r="AA104" s="103"/>
      <c r="AB104" s="103"/>
    </row>
    <row r="105" spans="1:28" s="70" customFormat="1" ht="14.25" x14ac:dyDescent="0.2">
      <c r="A105" s="60"/>
      <c r="B105" s="165" t="s">
        <v>101</v>
      </c>
      <c r="C105" s="152"/>
      <c r="D105" s="153"/>
      <c r="E105" s="122"/>
      <c r="F105" s="122"/>
      <c r="G105" s="122"/>
      <c r="H105" s="123"/>
      <c r="I105" s="135"/>
      <c r="J105" s="123"/>
      <c r="K105" s="124"/>
      <c r="L105" s="123"/>
      <c r="M105" s="125"/>
      <c r="N105" s="131"/>
      <c r="O105" s="118"/>
      <c r="P105" s="455"/>
      <c r="Q105" s="455"/>
      <c r="R105" s="455"/>
      <c r="S105" s="455"/>
      <c r="T105" s="154"/>
      <c r="U105" s="155"/>
      <c r="V105" s="136"/>
      <c r="W105" s="63"/>
      <c r="X105" s="63"/>
      <c r="Y105" s="62"/>
      <c r="Z105" s="62"/>
      <c r="AA105" s="103"/>
      <c r="AB105" s="103"/>
    </row>
    <row r="106" spans="1:28" s="70" customFormat="1" ht="14.25" x14ac:dyDescent="0.2">
      <c r="A106" s="60"/>
      <c r="B106" s="1" t="s">
        <v>110</v>
      </c>
      <c r="C106" s="152">
        <v>6</v>
      </c>
      <c r="D106" s="153" t="s">
        <v>45</v>
      </c>
      <c r="E106" s="122">
        <v>0.3</v>
      </c>
      <c r="F106" s="122">
        <f>C106*E106</f>
        <v>1.7999999999999998</v>
      </c>
      <c r="G106" s="122">
        <f>$H$11*E106</f>
        <v>12</v>
      </c>
      <c r="H106" s="123">
        <f>F106*$H$11</f>
        <v>72</v>
      </c>
      <c r="I106" s="135">
        <v>13.51</v>
      </c>
      <c r="J106" s="123">
        <f>C106*I106</f>
        <v>81.06</v>
      </c>
      <c r="K106" s="124">
        <f>SUM(H106,J106)</f>
        <v>153.06</v>
      </c>
      <c r="L106" s="123">
        <f>K106/C106</f>
        <v>25.51</v>
      </c>
      <c r="M106" s="125">
        <f>C106*L106</f>
        <v>153.06</v>
      </c>
      <c r="N106" s="131">
        <v>0</v>
      </c>
      <c r="O106" s="118">
        <f>M106*N106</f>
        <v>0</v>
      </c>
      <c r="P106" s="455"/>
      <c r="Q106" s="455"/>
      <c r="R106" s="455"/>
      <c r="S106" s="455"/>
      <c r="T106" s="154"/>
      <c r="U106" s="155"/>
      <c r="V106" s="136"/>
      <c r="W106" s="63"/>
      <c r="X106" s="63"/>
      <c r="Y106" s="62"/>
      <c r="Z106" s="62"/>
      <c r="AA106" s="103"/>
      <c r="AB106" s="103"/>
    </row>
    <row r="107" spans="1:28" s="70" customFormat="1" ht="14.25" x14ac:dyDescent="0.2">
      <c r="A107" s="60"/>
      <c r="B107" s="1"/>
      <c r="C107" s="152"/>
      <c r="D107" s="153"/>
      <c r="E107" s="122"/>
      <c r="F107" s="122"/>
      <c r="G107" s="122"/>
      <c r="H107" s="123"/>
      <c r="I107" s="135"/>
      <c r="J107" s="123"/>
      <c r="K107" s="124"/>
      <c r="L107" s="123"/>
      <c r="M107" s="125">
        <f>-T98</f>
        <v>-86</v>
      </c>
      <c r="N107" s="131"/>
      <c r="O107" s="118"/>
      <c r="P107" s="455"/>
      <c r="Q107" s="455"/>
      <c r="R107" s="455"/>
      <c r="S107" s="455"/>
      <c r="T107" s="154"/>
      <c r="U107" s="155"/>
      <c r="V107" s="136"/>
      <c r="W107" s="63"/>
      <c r="X107" s="63"/>
      <c r="Y107" s="62"/>
      <c r="Z107" s="62"/>
      <c r="AA107" s="103"/>
      <c r="AB107" s="103"/>
    </row>
    <row r="108" spans="1:28" s="70" customFormat="1" ht="14.25" x14ac:dyDescent="0.2">
      <c r="A108" s="60"/>
      <c r="B108" s="168"/>
      <c r="C108" s="152"/>
      <c r="D108" s="153"/>
      <c r="E108" s="122"/>
      <c r="F108" s="122"/>
      <c r="G108" s="122"/>
      <c r="H108" s="123"/>
      <c r="I108" s="135"/>
      <c r="J108" s="123"/>
      <c r="K108" s="124"/>
      <c r="L108" s="123"/>
      <c r="M108" s="125"/>
      <c r="N108" s="131"/>
      <c r="O108" s="118"/>
      <c r="P108" s="452">
        <f>SUM(M100:M107)</f>
        <v>2125.06</v>
      </c>
      <c r="Q108" s="450">
        <f>P108*SUM($L$585:$L$589)</f>
        <v>201.88069999999999</v>
      </c>
      <c r="R108" s="266"/>
      <c r="S108" s="266"/>
      <c r="T108" s="154"/>
      <c r="U108" s="155"/>
      <c r="V108" s="136"/>
      <c r="W108" s="63"/>
      <c r="X108" s="63"/>
      <c r="Y108" s="62"/>
      <c r="Z108" s="62"/>
      <c r="AA108" s="103"/>
      <c r="AB108" s="103"/>
    </row>
    <row r="109" spans="1:28" s="70" customFormat="1" ht="14.25" x14ac:dyDescent="0.2">
      <c r="A109" s="60"/>
      <c r="B109" s="168"/>
      <c r="C109" s="152"/>
      <c r="D109" s="153"/>
      <c r="E109" s="122"/>
      <c r="F109" s="122"/>
      <c r="G109" s="122"/>
      <c r="H109" s="123"/>
      <c r="I109" s="135"/>
      <c r="J109" s="123"/>
      <c r="K109" s="124"/>
      <c r="L109" s="123"/>
      <c r="M109" s="125"/>
      <c r="N109" s="131"/>
      <c r="O109" s="118"/>
      <c r="P109" s="451">
        <f>P108/$M$582</f>
        <v>5.4580009311985611E-3</v>
      </c>
      <c r="Q109" s="452">
        <f>P109*$M$593</f>
        <v>46.082461307204944</v>
      </c>
      <c r="R109" s="452">
        <f>SUM(P108,Q108,Q109)</f>
        <v>2373.0231613072051</v>
      </c>
      <c r="S109" s="452">
        <f>R109*1.08</f>
        <v>2562.8650142117817</v>
      </c>
      <c r="T109" s="154"/>
      <c r="U109" s="155"/>
      <c r="V109" s="136"/>
      <c r="W109" s="63"/>
      <c r="X109" s="63"/>
      <c r="Y109" s="62"/>
      <c r="Z109" s="62"/>
      <c r="AA109" s="103"/>
      <c r="AB109" s="103"/>
    </row>
    <row r="110" spans="1:28" s="70" customFormat="1" ht="14.25" x14ac:dyDescent="0.2">
      <c r="A110" s="60"/>
      <c r="B110" s="168"/>
      <c r="C110" s="152"/>
      <c r="D110" s="153"/>
      <c r="E110" s="122"/>
      <c r="F110" s="122"/>
      <c r="G110" s="122"/>
      <c r="H110" s="123"/>
      <c r="I110" s="135"/>
      <c r="J110" s="123"/>
      <c r="K110" s="124"/>
      <c r="L110" s="123"/>
      <c r="M110" s="125"/>
      <c r="N110" s="131"/>
      <c r="O110" s="118"/>
      <c r="P110" s="455"/>
      <c r="Q110" s="455"/>
      <c r="R110" s="455"/>
      <c r="S110" s="455"/>
      <c r="T110" s="154"/>
      <c r="U110" s="155"/>
      <c r="V110" s="136"/>
      <c r="W110" s="63"/>
      <c r="X110" s="63"/>
      <c r="Y110" s="62"/>
      <c r="Z110" s="62"/>
      <c r="AA110" s="103"/>
      <c r="AB110" s="103"/>
    </row>
    <row r="111" spans="1:28" s="70" customFormat="1" ht="15" x14ac:dyDescent="0.2">
      <c r="A111" s="60"/>
      <c r="B111" s="169" t="s">
        <v>71</v>
      </c>
      <c r="C111" s="152"/>
      <c r="D111" s="153"/>
      <c r="E111" s="122"/>
      <c r="F111" s="122"/>
      <c r="G111" s="122"/>
      <c r="H111" s="123"/>
      <c r="I111" s="135"/>
      <c r="J111" s="123"/>
      <c r="K111" s="124"/>
      <c r="L111" s="123"/>
      <c r="M111" s="125"/>
      <c r="N111" s="131"/>
      <c r="O111" s="118"/>
      <c r="P111" s="455"/>
      <c r="Q111" s="455"/>
      <c r="R111" s="455"/>
      <c r="S111" s="455"/>
      <c r="T111" s="394">
        <f>SUM(C113,C114,C116,C119)</f>
        <v>95</v>
      </c>
      <c r="U111" s="155"/>
      <c r="V111" s="136"/>
      <c r="W111" s="63"/>
      <c r="X111" s="63"/>
      <c r="Y111" s="62"/>
      <c r="Z111" s="62"/>
      <c r="AA111" s="103"/>
      <c r="AB111" s="103"/>
    </row>
    <row r="112" spans="1:28" s="70" customFormat="1" ht="14.25" x14ac:dyDescent="0.2">
      <c r="A112" s="60"/>
      <c r="B112" s="165" t="s">
        <v>63</v>
      </c>
      <c r="C112" s="152"/>
      <c r="D112" s="153"/>
      <c r="E112" s="122"/>
      <c r="F112" s="122"/>
      <c r="G112" s="122"/>
      <c r="H112" s="123"/>
      <c r="I112" s="135"/>
      <c r="J112" s="123"/>
      <c r="K112" s="124"/>
      <c r="L112" s="123"/>
      <c r="M112" s="125"/>
      <c r="N112" s="131"/>
      <c r="O112" s="118"/>
      <c r="P112" s="455"/>
      <c r="Q112" s="455"/>
      <c r="R112" s="455"/>
      <c r="S112" s="455"/>
      <c r="T112" s="154"/>
      <c r="U112" s="155"/>
      <c r="V112" s="136"/>
      <c r="W112" s="63"/>
      <c r="X112" s="63"/>
      <c r="Y112" s="62"/>
      <c r="Z112" s="62"/>
      <c r="AA112" s="103"/>
      <c r="AB112" s="103"/>
    </row>
    <row r="113" spans="1:28" s="70" customFormat="1" ht="14.25" x14ac:dyDescent="0.2">
      <c r="A113" s="60"/>
      <c r="B113" s="146" t="s">
        <v>99</v>
      </c>
      <c r="C113" s="61">
        <v>44</v>
      </c>
      <c r="D113" s="72" t="s">
        <v>45</v>
      </c>
      <c r="E113" s="122">
        <v>0.2</v>
      </c>
      <c r="F113" s="122">
        <f>C113*E113</f>
        <v>8.8000000000000007</v>
      </c>
      <c r="G113" s="122">
        <f>$H$11*E113</f>
        <v>8</v>
      </c>
      <c r="H113" s="123">
        <f>F113*$H$11</f>
        <v>352</v>
      </c>
      <c r="I113" s="135">
        <v>13.51</v>
      </c>
      <c r="J113" s="123">
        <f>C113*I113</f>
        <v>594.43999999999994</v>
      </c>
      <c r="K113" s="124">
        <f>SUM(H113,J113)</f>
        <v>946.43999999999994</v>
      </c>
      <c r="L113" s="123">
        <f>K113/C113</f>
        <v>21.509999999999998</v>
      </c>
      <c r="M113" s="125">
        <f>C113*L113</f>
        <v>946.43999999999994</v>
      </c>
      <c r="N113" s="131">
        <v>0</v>
      </c>
      <c r="O113" s="118">
        <f>M113*N113</f>
        <v>0</v>
      </c>
      <c r="P113" s="455"/>
      <c r="Q113" s="455"/>
      <c r="R113" s="455"/>
      <c r="S113" s="455"/>
      <c r="T113" s="154"/>
      <c r="U113" s="155"/>
      <c r="V113" s="136"/>
      <c r="W113" s="63"/>
      <c r="X113" s="63"/>
      <c r="Y113" s="62"/>
      <c r="Z113" s="62"/>
      <c r="AA113" s="103"/>
      <c r="AB113" s="103"/>
    </row>
    <row r="114" spans="1:28" s="70" customFormat="1" ht="14.25" x14ac:dyDescent="0.2">
      <c r="A114" s="60"/>
      <c r="B114" s="1" t="s">
        <v>100</v>
      </c>
      <c r="C114" s="113">
        <v>15</v>
      </c>
      <c r="D114" s="72" t="s">
        <v>45</v>
      </c>
      <c r="E114" s="122">
        <v>0.2</v>
      </c>
      <c r="F114" s="122">
        <f>C114*E114</f>
        <v>3</v>
      </c>
      <c r="G114" s="122">
        <f>$H$11*E114</f>
        <v>8</v>
      </c>
      <c r="H114" s="123">
        <f>F114*$H$11</f>
        <v>120</v>
      </c>
      <c r="I114" s="135">
        <v>23.99</v>
      </c>
      <c r="J114" s="123">
        <f>C114*I114</f>
        <v>359.84999999999997</v>
      </c>
      <c r="K114" s="124">
        <f>SUM(H114,J114)</f>
        <v>479.84999999999997</v>
      </c>
      <c r="L114" s="123">
        <f>K114/C114</f>
        <v>31.99</v>
      </c>
      <c r="M114" s="125">
        <f>C114*L114</f>
        <v>479.84999999999997</v>
      </c>
      <c r="N114" s="131">
        <v>0</v>
      </c>
      <c r="O114" s="118">
        <f>M114*N114</f>
        <v>0</v>
      </c>
      <c r="P114" s="455"/>
      <c r="Q114" s="455"/>
      <c r="R114" s="455"/>
      <c r="S114" s="455"/>
      <c r="T114" s="154"/>
      <c r="U114" s="155"/>
      <c r="V114" s="136"/>
      <c r="W114" s="63"/>
      <c r="X114" s="63"/>
      <c r="Y114" s="62"/>
      <c r="Z114" s="62"/>
      <c r="AA114" s="103"/>
      <c r="AB114" s="103"/>
    </row>
    <row r="115" spans="1:28" s="70" customFormat="1" ht="14.25" x14ac:dyDescent="0.2">
      <c r="A115" s="60"/>
      <c r="B115" s="151"/>
      <c r="C115" s="152"/>
      <c r="D115" s="153"/>
      <c r="E115" s="122"/>
      <c r="F115" s="122"/>
      <c r="G115" s="122"/>
      <c r="H115" s="123"/>
      <c r="I115" s="135"/>
      <c r="J115" s="123"/>
      <c r="K115" s="124"/>
      <c r="L115" s="123"/>
      <c r="M115" s="125"/>
      <c r="N115" s="131"/>
      <c r="O115" s="118"/>
      <c r="P115" s="455"/>
      <c r="Q115" s="455"/>
      <c r="R115" s="455"/>
      <c r="S115" s="455"/>
      <c r="T115" s="154"/>
      <c r="U115" s="155"/>
      <c r="V115" s="136"/>
      <c r="W115" s="63"/>
      <c r="X115" s="63"/>
      <c r="Y115" s="62"/>
      <c r="Z115" s="62"/>
      <c r="AA115" s="103"/>
      <c r="AB115" s="103"/>
    </row>
    <row r="116" spans="1:28" s="70" customFormat="1" ht="14.25" x14ac:dyDescent="0.2">
      <c r="A116" s="60"/>
      <c r="B116" s="151" t="s">
        <v>107</v>
      </c>
      <c r="C116" s="113">
        <v>30</v>
      </c>
      <c r="D116" s="72" t="s">
        <v>45</v>
      </c>
      <c r="E116" s="122">
        <v>0.35</v>
      </c>
      <c r="F116" s="122">
        <f>C116*E116</f>
        <v>10.5</v>
      </c>
      <c r="G116" s="122">
        <f>$H$11*E116</f>
        <v>14</v>
      </c>
      <c r="H116" s="123">
        <f>F116*$H$11</f>
        <v>420</v>
      </c>
      <c r="I116" s="135">
        <v>13.51</v>
      </c>
      <c r="J116" s="123">
        <f>C116*I116</f>
        <v>405.3</v>
      </c>
      <c r="K116" s="124">
        <f>SUM(H116,J116)</f>
        <v>825.3</v>
      </c>
      <c r="L116" s="123">
        <f>K116/C116</f>
        <v>27.509999999999998</v>
      </c>
      <c r="M116" s="125">
        <f>C116*L116</f>
        <v>825.3</v>
      </c>
      <c r="N116" s="131">
        <v>0</v>
      </c>
      <c r="O116" s="118">
        <f>M116*N116</f>
        <v>0</v>
      </c>
      <c r="P116" s="455"/>
      <c r="Q116" s="455"/>
      <c r="R116" s="455"/>
      <c r="S116" s="455"/>
      <c r="T116" s="266">
        <f>SUM(C113:C116)</f>
        <v>89</v>
      </c>
      <c r="U116" s="155"/>
      <c r="V116" s="136"/>
      <c r="W116" s="63"/>
      <c r="X116" s="63"/>
      <c r="Y116" s="62"/>
      <c r="Z116" s="62"/>
      <c r="AA116" s="103"/>
      <c r="AB116" s="103"/>
    </row>
    <row r="117" spans="1:28" s="70" customFormat="1" ht="14.25" x14ac:dyDescent="0.2">
      <c r="A117" s="60"/>
      <c r="B117" s="151"/>
      <c r="C117" s="152"/>
      <c r="D117" s="153"/>
      <c r="E117" s="122"/>
      <c r="F117" s="122"/>
      <c r="G117" s="122"/>
      <c r="H117" s="123"/>
      <c r="I117" s="135"/>
      <c r="J117" s="123"/>
      <c r="K117" s="124"/>
      <c r="L117" s="123"/>
      <c r="M117" s="125"/>
      <c r="N117" s="131"/>
      <c r="O117" s="118"/>
      <c r="P117" s="455"/>
      <c r="Q117" s="455"/>
      <c r="R117" s="455"/>
      <c r="S117" s="455"/>
      <c r="T117" s="154"/>
      <c r="U117" s="155"/>
      <c r="V117" s="136"/>
      <c r="W117" s="63"/>
      <c r="X117" s="63"/>
      <c r="Y117" s="62"/>
      <c r="Z117" s="62"/>
      <c r="AA117" s="103"/>
      <c r="AB117" s="103"/>
    </row>
    <row r="118" spans="1:28" s="70" customFormat="1" ht="14.25" x14ac:dyDescent="0.2">
      <c r="A118" s="60"/>
      <c r="B118" s="165" t="s">
        <v>101</v>
      </c>
      <c r="C118" s="152"/>
      <c r="D118" s="153"/>
      <c r="E118" s="122"/>
      <c r="F118" s="122"/>
      <c r="G118" s="122"/>
      <c r="H118" s="123"/>
      <c r="I118" s="135"/>
      <c r="J118" s="123"/>
      <c r="K118" s="124"/>
      <c r="L118" s="123"/>
      <c r="M118" s="125"/>
      <c r="N118" s="131"/>
      <c r="O118" s="118"/>
      <c r="P118" s="455"/>
      <c r="Q118" s="455"/>
      <c r="R118" s="455"/>
      <c r="S118" s="455"/>
      <c r="T118" s="154"/>
      <c r="U118" s="155"/>
      <c r="V118" s="136"/>
      <c r="W118" s="63"/>
      <c r="X118" s="63"/>
      <c r="Y118" s="62"/>
      <c r="Z118" s="62"/>
      <c r="AA118" s="103"/>
      <c r="AB118" s="103"/>
    </row>
    <row r="119" spans="1:28" s="70" customFormat="1" ht="14.25" x14ac:dyDescent="0.2">
      <c r="A119" s="60"/>
      <c r="B119" s="1" t="s">
        <v>110</v>
      </c>
      <c r="C119" s="152">
        <v>6</v>
      </c>
      <c r="D119" s="153" t="s">
        <v>45</v>
      </c>
      <c r="E119" s="122">
        <v>0.3</v>
      </c>
      <c r="F119" s="122">
        <f>C119*E119</f>
        <v>1.7999999999999998</v>
      </c>
      <c r="G119" s="122">
        <f>$H$11*E119</f>
        <v>12</v>
      </c>
      <c r="H119" s="123">
        <f>F119*$H$11</f>
        <v>72</v>
      </c>
      <c r="I119" s="135">
        <v>13.51</v>
      </c>
      <c r="J119" s="123">
        <f>C119*I119</f>
        <v>81.06</v>
      </c>
      <c r="K119" s="124">
        <f>SUM(H119,J119)</f>
        <v>153.06</v>
      </c>
      <c r="L119" s="123">
        <f>K119/C119</f>
        <v>25.51</v>
      </c>
      <c r="M119" s="125">
        <f>C119*L119</f>
        <v>153.06</v>
      </c>
      <c r="N119" s="131">
        <v>0</v>
      </c>
      <c r="O119" s="118">
        <f>M119*N119</f>
        <v>0</v>
      </c>
      <c r="P119" s="455"/>
      <c r="Q119" s="455"/>
      <c r="R119" s="455"/>
      <c r="S119" s="455"/>
      <c r="T119" s="154"/>
      <c r="U119" s="155"/>
      <c r="V119" s="136"/>
      <c r="W119" s="63"/>
      <c r="X119" s="63"/>
      <c r="Y119" s="62"/>
      <c r="Z119" s="62"/>
      <c r="AA119" s="103"/>
      <c r="AB119" s="103"/>
    </row>
    <row r="120" spans="1:28" s="70" customFormat="1" ht="14.25" x14ac:dyDescent="0.2">
      <c r="A120" s="60"/>
      <c r="B120" s="1"/>
      <c r="C120" s="152"/>
      <c r="D120" s="153"/>
      <c r="E120" s="122"/>
      <c r="F120" s="122"/>
      <c r="G120" s="122"/>
      <c r="H120" s="123"/>
      <c r="I120" s="135"/>
      <c r="J120" s="123"/>
      <c r="K120" s="124"/>
      <c r="L120" s="123"/>
      <c r="M120" s="125">
        <f>-T111</f>
        <v>-95</v>
      </c>
      <c r="N120" s="131"/>
      <c r="O120" s="118"/>
      <c r="P120" s="455"/>
      <c r="Q120" s="455"/>
      <c r="R120" s="455"/>
      <c r="S120" s="455"/>
      <c r="T120" s="154"/>
      <c r="U120" s="155"/>
      <c r="V120" s="136"/>
      <c r="W120" s="63"/>
      <c r="X120" s="63"/>
      <c r="Y120" s="62"/>
      <c r="Z120" s="62"/>
      <c r="AA120" s="103"/>
      <c r="AB120" s="103"/>
    </row>
    <row r="121" spans="1:28" s="70" customFormat="1" ht="14.25" x14ac:dyDescent="0.2">
      <c r="A121" s="60"/>
      <c r="B121" s="168"/>
      <c r="C121" s="152"/>
      <c r="D121" s="153"/>
      <c r="E121" s="122"/>
      <c r="F121" s="122"/>
      <c r="G121" s="122"/>
      <c r="H121" s="123"/>
      <c r="I121" s="135"/>
      <c r="J121" s="123"/>
      <c r="K121" s="124"/>
      <c r="L121" s="123"/>
      <c r="M121" s="125"/>
      <c r="N121" s="131"/>
      <c r="O121" s="118"/>
      <c r="P121" s="452">
        <f>SUM(M113:M120)</f>
        <v>2309.65</v>
      </c>
      <c r="Q121" s="450">
        <f>P121*SUM($L$585:$L$589)</f>
        <v>219.41675000000001</v>
      </c>
      <c r="R121" s="266"/>
      <c r="S121" s="266"/>
      <c r="T121" s="154"/>
      <c r="U121" s="155"/>
      <c r="V121" s="136"/>
      <c r="W121" s="63"/>
      <c r="X121" s="63"/>
      <c r="Y121" s="62"/>
      <c r="Z121" s="62"/>
      <c r="AA121" s="103"/>
      <c r="AB121" s="103"/>
    </row>
    <row r="122" spans="1:28" s="70" customFormat="1" ht="14.25" x14ac:dyDescent="0.2">
      <c r="A122" s="60"/>
      <c r="B122" s="168"/>
      <c r="C122" s="152"/>
      <c r="D122" s="153"/>
      <c r="E122" s="122"/>
      <c r="F122" s="122"/>
      <c r="G122" s="122"/>
      <c r="H122" s="123"/>
      <c r="I122" s="135"/>
      <c r="J122" s="123"/>
      <c r="K122" s="124"/>
      <c r="L122" s="123"/>
      <c r="M122" s="125"/>
      <c r="N122" s="131"/>
      <c r="O122" s="118"/>
      <c r="P122" s="451">
        <f>P121/$M$582</f>
        <v>5.9321016115981466E-3</v>
      </c>
      <c r="Q122" s="452">
        <f>P122*$M$593</f>
        <v>50.085341947138389</v>
      </c>
      <c r="R122" s="452">
        <f>SUM(P121,Q121,Q122)</f>
        <v>2579.1520919471382</v>
      </c>
      <c r="S122" s="452">
        <f>R122*1.08</f>
        <v>2785.4842593029093</v>
      </c>
      <c r="T122" s="154"/>
      <c r="U122" s="155"/>
      <c r="V122" s="136"/>
      <c r="W122" s="63"/>
      <c r="X122" s="63"/>
      <c r="Y122" s="62"/>
      <c r="Z122" s="62"/>
      <c r="AA122" s="103"/>
      <c r="AB122" s="103"/>
    </row>
    <row r="123" spans="1:28" s="70" customFormat="1" ht="15" x14ac:dyDescent="0.2">
      <c r="A123" s="60"/>
      <c r="B123" s="169" t="s">
        <v>62</v>
      </c>
      <c r="C123" s="152"/>
      <c r="D123" s="153"/>
      <c r="E123" s="122"/>
      <c r="F123" s="122"/>
      <c r="G123" s="122"/>
      <c r="H123" s="123"/>
      <c r="I123" s="135"/>
      <c r="J123" s="123"/>
      <c r="K123" s="124"/>
      <c r="L123" s="123"/>
      <c r="M123" s="125"/>
      <c r="N123" s="131"/>
      <c r="O123" s="118"/>
      <c r="P123" s="455"/>
      <c r="Q123" s="455"/>
      <c r="R123" s="455"/>
      <c r="S123" s="455"/>
      <c r="T123" s="394">
        <f>SUM(C125,C126,C128,C130,C133)</f>
        <v>331</v>
      </c>
      <c r="U123" s="155"/>
      <c r="V123" s="136"/>
      <c r="W123" s="63"/>
      <c r="X123" s="63"/>
      <c r="Y123" s="62"/>
      <c r="Z123" s="62"/>
      <c r="AA123" s="103"/>
      <c r="AB123" s="103"/>
    </row>
    <row r="124" spans="1:28" s="70" customFormat="1" ht="14.25" x14ac:dyDescent="0.2">
      <c r="A124" s="60"/>
      <c r="B124" s="165" t="s">
        <v>63</v>
      </c>
      <c r="C124" s="152"/>
      <c r="D124" s="153"/>
      <c r="E124" s="122"/>
      <c r="F124" s="122"/>
      <c r="G124" s="122"/>
      <c r="H124" s="123"/>
      <c r="I124" s="135"/>
      <c r="J124" s="123"/>
      <c r="K124" s="124"/>
      <c r="L124" s="123"/>
      <c r="M124" s="125"/>
      <c r="N124" s="131"/>
      <c r="O124" s="118"/>
      <c r="P124" s="455"/>
      <c r="Q124" s="455"/>
      <c r="R124" s="455"/>
      <c r="S124" s="455"/>
      <c r="T124" s="154"/>
      <c r="U124" s="155"/>
      <c r="V124" s="136"/>
      <c r="W124" s="63"/>
      <c r="X124" s="63"/>
      <c r="Y124" s="62"/>
      <c r="Z124" s="62"/>
      <c r="AA124" s="103"/>
      <c r="AB124" s="103"/>
    </row>
    <row r="125" spans="1:28" s="70" customFormat="1" ht="14.25" x14ac:dyDescent="0.2">
      <c r="A125" s="60"/>
      <c r="B125" s="146" t="s">
        <v>99</v>
      </c>
      <c r="C125" s="61">
        <v>56</v>
      </c>
      <c r="D125" s="72" t="s">
        <v>45</v>
      </c>
      <c r="E125" s="122">
        <v>0.2</v>
      </c>
      <c r="F125" s="122">
        <f>C125*E125</f>
        <v>11.200000000000001</v>
      </c>
      <c r="G125" s="122">
        <f>$H$11*E125</f>
        <v>8</v>
      </c>
      <c r="H125" s="123">
        <f>F125*$H$11</f>
        <v>448.00000000000006</v>
      </c>
      <c r="I125" s="135">
        <v>13.51</v>
      </c>
      <c r="J125" s="123">
        <f>C125*I125</f>
        <v>756.56</v>
      </c>
      <c r="K125" s="124">
        <f>SUM(H125,J125)</f>
        <v>1204.56</v>
      </c>
      <c r="L125" s="123">
        <f>K125/C125</f>
        <v>21.509999999999998</v>
      </c>
      <c r="M125" s="125">
        <f>C125*L125</f>
        <v>1204.56</v>
      </c>
      <c r="N125" s="131">
        <v>0</v>
      </c>
      <c r="O125" s="118">
        <f>M125*N125</f>
        <v>0</v>
      </c>
      <c r="P125" s="455"/>
      <c r="Q125" s="455"/>
      <c r="R125" s="455"/>
      <c r="S125" s="455"/>
      <c r="T125" s="154"/>
      <c r="U125" s="155"/>
      <c r="V125" s="136"/>
      <c r="W125" s="63"/>
      <c r="X125" s="63"/>
      <c r="Y125" s="62"/>
      <c r="Z125" s="62"/>
      <c r="AA125" s="103"/>
      <c r="AB125" s="103"/>
    </row>
    <row r="126" spans="1:28" s="70" customFormat="1" ht="14.25" x14ac:dyDescent="0.2">
      <c r="A126" s="60"/>
      <c r="B126" s="1" t="s">
        <v>100</v>
      </c>
      <c r="C126" s="113">
        <v>16</v>
      </c>
      <c r="D126" s="72" t="s">
        <v>45</v>
      </c>
      <c r="E126" s="122">
        <v>0.2</v>
      </c>
      <c r="F126" s="122">
        <f>C126*E126</f>
        <v>3.2</v>
      </c>
      <c r="G126" s="122">
        <f>$H$11*E126</f>
        <v>8</v>
      </c>
      <c r="H126" s="123">
        <f>F126*$H$11</f>
        <v>128</v>
      </c>
      <c r="I126" s="135">
        <v>23.99</v>
      </c>
      <c r="J126" s="123">
        <f>C126*I126</f>
        <v>383.84</v>
      </c>
      <c r="K126" s="124">
        <f>SUM(H126,J126)</f>
        <v>511.84</v>
      </c>
      <c r="L126" s="123">
        <f>K126/C126</f>
        <v>31.99</v>
      </c>
      <c r="M126" s="125">
        <f>C126*L126</f>
        <v>511.84</v>
      </c>
      <c r="N126" s="131">
        <v>0</v>
      </c>
      <c r="O126" s="118">
        <f>M126*N126</f>
        <v>0</v>
      </c>
      <c r="P126" s="455"/>
      <c r="Q126" s="455"/>
      <c r="R126" s="455"/>
      <c r="S126" s="455"/>
      <c r="T126" s="154"/>
      <c r="U126" s="155"/>
      <c r="V126" s="136"/>
      <c r="W126" s="63"/>
      <c r="X126" s="63"/>
      <c r="Y126" s="62"/>
      <c r="Z126" s="62"/>
      <c r="AA126" s="103"/>
      <c r="AB126" s="103"/>
    </row>
    <row r="127" spans="1:28" s="70" customFormat="1" ht="14.25" x14ac:dyDescent="0.2">
      <c r="A127" s="60"/>
      <c r="B127" s="151"/>
      <c r="C127" s="152"/>
      <c r="D127" s="153"/>
      <c r="E127" s="122"/>
      <c r="F127" s="122"/>
      <c r="G127" s="122"/>
      <c r="H127" s="123"/>
      <c r="I127" s="135"/>
      <c r="J127" s="123"/>
      <c r="K127" s="124"/>
      <c r="L127" s="123"/>
      <c r="M127" s="125"/>
      <c r="N127" s="131"/>
      <c r="O127" s="118"/>
      <c r="P127" s="455"/>
      <c r="Q127" s="455"/>
      <c r="R127" s="455"/>
      <c r="S127" s="455"/>
      <c r="T127" s="154"/>
      <c r="U127" s="155"/>
      <c r="V127" s="136"/>
      <c r="W127" s="63"/>
      <c r="X127" s="63"/>
      <c r="Y127" s="62"/>
      <c r="Z127" s="62"/>
      <c r="AA127" s="103"/>
      <c r="AB127" s="103"/>
    </row>
    <row r="128" spans="1:28" s="70" customFormat="1" ht="14.25" x14ac:dyDescent="0.2">
      <c r="A128" s="60"/>
      <c r="B128" s="151" t="s">
        <v>107</v>
      </c>
      <c r="C128" s="113">
        <v>12</v>
      </c>
      <c r="D128" s="72" t="s">
        <v>45</v>
      </c>
      <c r="E128" s="122">
        <v>0.35</v>
      </c>
      <c r="F128" s="122">
        <f>C128*E128</f>
        <v>4.1999999999999993</v>
      </c>
      <c r="G128" s="122">
        <f>$H$11*E128</f>
        <v>14</v>
      </c>
      <c r="H128" s="123">
        <f>F128*$H$11</f>
        <v>167.99999999999997</v>
      </c>
      <c r="I128" s="135">
        <v>13.51</v>
      </c>
      <c r="J128" s="123">
        <f>C128*I128</f>
        <v>162.12</v>
      </c>
      <c r="K128" s="124">
        <f>SUM(H128,J128)</f>
        <v>330.12</v>
      </c>
      <c r="L128" s="123">
        <f>K128/C128</f>
        <v>27.51</v>
      </c>
      <c r="M128" s="125">
        <f>C128*L128</f>
        <v>330.12</v>
      </c>
      <c r="N128" s="131">
        <v>0</v>
      </c>
      <c r="O128" s="118">
        <f>M128*N128</f>
        <v>0</v>
      </c>
      <c r="P128" s="455"/>
      <c r="Q128" s="455"/>
      <c r="R128" s="455"/>
      <c r="S128" s="455"/>
      <c r="T128" s="266">
        <f>SUM(C125:C128)</f>
        <v>84</v>
      </c>
      <c r="U128" s="155"/>
      <c r="V128" s="136"/>
      <c r="W128" s="63"/>
      <c r="X128" s="63"/>
      <c r="Y128" s="62"/>
      <c r="Z128" s="62"/>
      <c r="AA128" s="103"/>
      <c r="AB128" s="103"/>
    </row>
    <row r="129" spans="1:28" s="70" customFormat="1" ht="14.25" x14ac:dyDescent="0.2">
      <c r="A129" s="60"/>
      <c r="B129" s="151"/>
      <c r="C129" s="113"/>
      <c r="D129" s="72"/>
      <c r="E129" s="122"/>
      <c r="F129" s="122"/>
      <c r="G129" s="122"/>
      <c r="H129" s="123"/>
      <c r="I129" s="135"/>
      <c r="J129" s="123"/>
      <c r="K129" s="124"/>
      <c r="L129" s="123"/>
      <c r="M129" s="125"/>
      <c r="N129" s="131"/>
      <c r="O129" s="118"/>
      <c r="P129" s="455"/>
      <c r="Q129" s="455"/>
      <c r="R129" s="455"/>
      <c r="S129" s="455"/>
      <c r="T129" s="266"/>
      <c r="U129" s="155"/>
      <c r="V129" s="136"/>
      <c r="W129" s="63"/>
      <c r="X129" s="63"/>
      <c r="Y129" s="62"/>
      <c r="Z129" s="62"/>
      <c r="AA129" s="103"/>
      <c r="AB129" s="103"/>
    </row>
    <row r="130" spans="1:28" s="70" customFormat="1" ht="14.25" x14ac:dyDescent="0.2">
      <c r="A130" s="60"/>
      <c r="B130" s="151" t="s">
        <v>376</v>
      </c>
      <c r="C130" s="113">
        <v>244</v>
      </c>
      <c r="D130" s="72" t="s">
        <v>45</v>
      </c>
      <c r="E130" s="122">
        <v>0.3</v>
      </c>
      <c r="F130" s="122">
        <f>C130*E130</f>
        <v>73.2</v>
      </c>
      <c r="G130" s="122">
        <f>$H$11*E130</f>
        <v>12</v>
      </c>
      <c r="H130" s="123">
        <f>F130*$H$11</f>
        <v>2928</v>
      </c>
      <c r="I130" s="135">
        <v>16</v>
      </c>
      <c r="J130" s="123">
        <f>C130*I130</f>
        <v>3904</v>
      </c>
      <c r="K130" s="124">
        <f>SUM(H130,J130)</f>
        <v>6832</v>
      </c>
      <c r="L130" s="123">
        <f>K130/C130</f>
        <v>28</v>
      </c>
      <c r="M130" s="125">
        <f>C130*L130</f>
        <v>6832</v>
      </c>
      <c r="N130" s="131">
        <v>0</v>
      </c>
      <c r="O130" s="118">
        <f>M130*N130</f>
        <v>0</v>
      </c>
      <c r="P130" s="455"/>
      <c r="Q130" s="455"/>
      <c r="R130" s="455"/>
      <c r="S130" s="455"/>
      <c r="T130" s="266"/>
      <c r="U130" s="155"/>
      <c r="V130" s="136"/>
      <c r="W130" s="63"/>
      <c r="X130" s="63"/>
      <c r="Y130" s="62"/>
      <c r="Z130" s="62"/>
      <c r="AA130" s="103"/>
      <c r="AB130" s="103"/>
    </row>
    <row r="131" spans="1:28" s="70" customFormat="1" ht="14.25" x14ac:dyDescent="0.2">
      <c r="A131" s="60"/>
      <c r="B131" s="151"/>
      <c r="C131" s="152"/>
      <c r="D131" s="153"/>
      <c r="E131" s="122"/>
      <c r="F131" s="122"/>
      <c r="G131" s="122"/>
      <c r="H131" s="123"/>
      <c r="I131" s="135"/>
      <c r="J131" s="123"/>
      <c r="K131" s="124"/>
      <c r="L131" s="123"/>
      <c r="M131" s="125"/>
      <c r="N131" s="131"/>
      <c r="O131" s="118"/>
      <c r="P131" s="455"/>
      <c r="Q131" s="455"/>
      <c r="R131" s="455"/>
      <c r="S131" s="455"/>
      <c r="T131" s="154"/>
      <c r="U131" s="155"/>
      <c r="V131" s="136"/>
      <c r="W131" s="63"/>
      <c r="X131" s="63"/>
      <c r="Y131" s="62"/>
      <c r="Z131" s="62"/>
      <c r="AA131" s="103"/>
      <c r="AB131" s="103"/>
    </row>
    <row r="132" spans="1:28" s="70" customFormat="1" ht="14.25" x14ac:dyDescent="0.2">
      <c r="A132" s="60"/>
      <c r="B132" s="165" t="s">
        <v>101</v>
      </c>
      <c r="C132" s="152"/>
      <c r="D132" s="153"/>
      <c r="E132" s="122"/>
      <c r="F132" s="122"/>
      <c r="G132" s="122"/>
      <c r="H132" s="123"/>
      <c r="I132" s="135"/>
      <c r="J132" s="123"/>
      <c r="K132" s="124"/>
      <c r="L132" s="123"/>
      <c r="M132" s="125"/>
      <c r="N132" s="131"/>
      <c r="O132" s="118"/>
      <c r="P132" s="455"/>
      <c r="Q132" s="455"/>
      <c r="R132" s="455"/>
      <c r="S132" s="455"/>
      <c r="T132" s="154"/>
      <c r="U132" s="155"/>
      <c r="V132" s="136"/>
      <c r="W132" s="63"/>
      <c r="X132" s="63"/>
      <c r="Y132" s="62"/>
      <c r="Z132" s="62"/>
      <c r="AA132" s="103"/>
      <c r="AB132" s="103"/>
    </row>
    <row r="133" spans="1:28" s="70" customFormat="1" ht="14.25" x14ac:dyDescent="0.2">
      <c r="A133" s="60"/>
      <c r="B133" s="1" t="s">
        <v>110</v>
      </c>
      <c r="C133" s="152">
        <v>3</v>
      </c>
      <c r="D133" s="153" t="s">
        <v>45</v>
      </c>
      <c r="E133" s="122">
        <v>0.3</v>
      </c>
      <c r="F133" s="122">
        <f>C133*E133</f>
        <v>0.89999999999999991</v>
      </c>
      <c r="G133" s="122">
        <f>$H$11*E133</f>
        <v>12</v>
      </c>
      <c r="H133" s="123">
        <f>F133*$H$11</f>
        <v>36</v>
      </c>
      <c r="I133" s="135">
        <v>13.51</v>
      </c>
      <c r="J133" s="123">
        <f>C133*I133</f>
        <v>40.53</v>
      </c>
      <c r="K133" s="124">
        <f>SUM(H133,J133)</f>
        <v>76.53</v>
      </c>
      <c r="L133" s="123">
        <f>K133/C133</f>
        <v>25.51</v>
      </c>
      <c r="M133" s="125">
        <f>C133*L133</f>
        <v>76.53</v>
      </c>
      <c r="N133" s="131">
        <v>0</v>
      </c>
      <c r="O133" s="118">
        <f>M133*N133</f>
        <v>0</v>
      </c>
      <c r="P133" s="455"/>
      <c r="Q133" s="455"/>
      <c r="R133" s="455"/>
      <c r="S133" s="455"/>
      <c r="T133" s="154"/>
      <c r="U133" s="155"/>
      <c r="V133" s="136"/>
      <c r="W133" s="63"/>
      <c r="X133" s="63"/>
      <c r="Y133" s="62"/>
      <c r="Z133" s="62"/>
      <c r="AA133" s="103"/>
      <c r="AB133" s="103"/>
    </row>
    <row r="134" spans="1:28" s="70" customFormat="1" ht="14.25" x14ac:dyDescent="0.2">
      <c r="A134" s="60"/>
      <c r="B134" s="1"/>
      <c r="C134" s="152"/>
      <c r="D134" s="153"/>
      <c r="E134" s="122"/>
      <c r="F134" s="122"/>
      <c r="G134" s="122"/>
      <c r="H134" s="123"/>
      <c r="I134" s="135"/>
      <c r="J134" s="123"/>
      <c r="K134" s="124"/>
      <c r="L134" s="123"/>
      <c r="M134" s="125">
        <f>-T123</f>
        <v>-331</v>
      </c>
      <c r="N134" s="131"/>
      <c r="O134" s="118"/>
      <c r="P134" s="455"/>
      <c r="Q134" s="455"/>
      <c r="R134" s="455"/>
      <c r="S134" s="455"/>
      <c r="T134" s="154"/>
      <c r="U134" s="155"/>
      <c r="V134" s="136"/>
      <c r="W134" s="63"/>
      <c r="X134" s="63"/>
      <c r="Y134" s="62"/>
      <c r="Z134" s="62"/>
      <c r="AA134" s="103"/>
      <c r="AB134" s="103"/>
    </row>
    <row r="135" spans="1:28" s="70" customFormat="1" ht="14.25" x14ac:dyDescent="0.2">
      <c r="A135" s="60"/>
      <c r="B135" s="168"/>
      <c r="C135" s="152"/>
      <c r="D135" s="153"/>
      <c r="E135" s="122"/>
      <c r="F135" s="122"/>
      <c r="G135" s="122"/>
      <c r="H135" s="123"/>
      <c r="I135" s="135"/>
      <c r="J135" s="123"/>
      <c r="K135" s="124"/>
      <c r="L135" s="123"/>
      <c r="M135" s="125"/>
      <c r="N135" s="131"/>
      <c r="O135" s="118"/>
      <c r="P135" s="452">
        <f>SUM(M125:M134)</f>
        <v>8624.0500000000011</v>
      </c>
      <c r="Q135" s="450">
        <f>P135*SUM($L$585:$L$589)</f>
        <v>819.28475000000014</v>
      </c>
      <c r="R135" s="266"/>
      <c r="S135" s="266"/>
      <c r="T135" s="154"/>
      <c r="U135" s="155"/>
      <c r="V135" s="136"/>
      <c r="W135" s="63"/>
      <c r="X135" s="63"/>
      <c r="Y135" s="62"/>
      <c r="Z135" s="62"/>
      <c r="AA135" s="103"/>
      <c r="AB135" s="103"/>
    </row>
    <row r="136" spans="1:28" s="70" customFormat="1" ht="14.25" x14ac:dyDescent="0.2">
      <c r="A136" s="60"/>
      <c r="B136" s="168"/>
      <c r="C136" s="152"/>
      <c r="D136" s="153"/>
      <c r="E136" s="122"/>
      <c r="F136" s="122"/>
      <c r="G136" s="122"/>
      <c r="H136" s="123"/>
      <c r="I136" s="135"/>
      <c r="J136" s="123"/>
      <c r="K136" s="124"/>
      <c r="L136" s="123"/>
      <c r="M136" s="125"/>
      <c r="N136" s="131"/>
      <c r="O136" s="118"/>
      <c r="P136" s="451">
        <f>P135/$M$582</f>
        <v>2.2149997143940857E-2</v>
      </c>
      <c r="Q136" s="452">
        <f>P136*$M$593</f>
        <v>187.0146962610001</v>
      </c>
      <c r="R136" s="452">
        <f>SUM(P135,Q135,Q136)</f>
        <v>9630.3494462610015</v>
      </c>
      <c r="S136" s="452">
        <f>R136*1.08</f>
        <v>10400.777401961883</v>
      </c>
      <c r="T136" s="154"/>
      <c r="U136" s="155"/>
      <c r="V136" s="136"/>
      <c r="W136" s="63"/>
      <c r="X136" s="63"/>
      <c r="Y136" s="62"/>
      <c r="Z136" s="62"/>
      <c r="AA136" s="103"/>
      <c r="AB136" s="103"/>
    </row>
    <row r="137" spans="1:28" s="70" customFormat="1" ht="14.25" x14ac:dyDescent="0.2">
      <c r="A137" s="60"/>
      <c r="B137" s="168"/>
      <c r="C137" s="152"/>
      <c r="D137" s="153"/>
      <c r="E137" s="122"/>
      <c r="F137" s="122"/>
      <c r="G137" s="122"/>
      <c r="H137" s="123"/>
      <c r="I137" s="135"/>
      <c r="J137" s="123"/>
      <c r="K137" s="124"/>
      <c r="L137" s="123"/>
      <c r="M137" s="125"/>
      <c r="N137" s="131"/>
      <c r="O137" s="118"/>
      <c r="P137" s="455"/>
      <c r="Q137" s="455"/>
      <c r="R137" s="455"/>
      <c r="S137" s="455"/>
      <c r="T137" s="154"/>
      <c r="U137" s="155"/>
      <c r="V137" s="136"/>
      <c r="W137" s="63"/>
      <c r="X137" s="63"/>
      <c r="Y137" s="62"/>
      <c r="Z137" s="62"/>
      <c r="AA137" s="103"/>
      <c r="AB137" s="103"/>
    </row>
    <row r="138" spans="1:28" s="70" customFormat="1" ht="15" x14ac:dyDescent="0.2">
      <c r="A138" s="60"/>
      <c r="B138" s="169" t="s">
        <v>97</v>
      </c>
      <c r="C138" s="152"/>
      <c r="D138" s="153"/>
      <c r="E138" s="122"/>
      <c r="F138" s="122"/>
      <c r="G138" s="122"/>
      <c r="H138" s="123"/>
      <c r="I138" s="135"/>
      <c r="J138" s="123"/>
      <c r="K138" s="124"/>
      <c r="L138" s="123"/>
      <c r="M138" s="125"/>
      <c r="N138" s="131"/>
      <c r="O138" s="118"/>
      <c r="P138" s="455"/>
      <c r="Q138" s="455"/>
      <c r="R138" s="455"/>
      <c r="S138" s="455"/>
      <c r="T138" s="394">
        <f>SUM(C140)</f>
        <v>73</v>
      </c>
      <c r="U138" s="155"/>
      <c r="V138" s="136"/>
      <c r="W138" s="63"/>
      <c r="X138" s="63"/>
      <c r="Y138" s="62"/>
      <c r="Z138" s="62"/>
      <c r="AA138" s="103"/>
      <c r="AB138" s="103"/>
    </row>
    <row r="139" spans="1:28" s="70" customFormat="1" ht="14.25" x14ac:dyDescent="0.2">
      <c r="A139" s="60"/>
      <c r="B139" s="165" t="s">
        <v>63</v>
      </c>
      <c r="C139" s="152"/>
      <c r="D139" s="153"/>
      <c r="E139" s="122"/>
      <c r="F139" s="122"/>
      <c r="G139" s="122"/>
      <c r="H139" s="123"/>
      <c r="I139" s="135"/>
      <c r="J139" s="123"/>
      <c r="K139" s="124"/>
      <c r="L139" s="123"/>
      <c r="M139" s="125"/>
      <c r="N139" s="131"/>
      <c r="O139" s="118"/>
      <c r="P139" s="455"/>
      <c r="Q139" s="455"/>
      <c r="R139" s="455"/>
      <c r="S139" s="455"/>
      <c r="T139" s="154"/>
      <c r="U139" s="155"/>
      <c r="V139" s="136"/>
      <c r="W139" s="63"/>
      <c r="X139" s="63"/>
      <c r="Y139" s="62"/>
      <c r="Z139" s="62"/>
      <c r="AA139" s="103"/>
      <c r="AB139" s="103"/>
    </row>
    <row r="140" spans="1:28" s="70" customFormat="1" ht="14.25" x14ac:dyDescent="0.2">
      <c r="A140" s="60"/>
      <c r="B140" s="151" t="s">
        <v>107</v>
      </c>
      <c r="C140" s="113">
        <v>73</v>
      </c>
      <c r="D140" s="72" t="s">
        <v>45</v>
      </c>
      <c r="E140" s="122">
        <v>0.35</v>
      </c>
      <c r="F140" s="122">
        <f>C140*E140</f>
        <v>25.549999999999997</v>
      </c>
      <c r="G140" s="122">
        <f>$H$11*E140</f>
        <v>14</v>
      </c>
      <c r="H140" s="123">
        <f>F140*$H$11</f>
        <v>1021.9999999999999</v>
      </c>
      <c r="I140" s="135">
        <v>13.51</v>
      </c>
      <c r="J140" s="123">
        <f>C140*I140</f>
        <v>986.23</v>
      </c>
      <c r="K140" s="124">
        <f>SUM(H140,J140)</f>
        <v>2008.23</v>
      </c>
      <c r="L140" s="123">
        <f>K140/C140</f>
        <v>27.51</v>
      </c>
      <c r="M140" s="125">
        <f>C140*L140</f>
        <v>2008.23</v>
      </c>
      <c r="N140" s="131">
        <v>0</v>
      </c>
      <c r="O140" s="118">
        <f>M140*N140</f>
        <v>0</v>
      </c>
      <c r="P140" s="455"/>
      <c r="Q140" s="455"/>
      <c r="R140" s="455"/>
      <c r="S140" s="455"/>
      <c r="T140" s="154"/>
      <c r="U140" s="155"/>
      <c r="V140" s="136"/>
      <c r="W140" s="63"/>
      <c r="X140" s="63"/>
      <c r="Y140" s="62"/>
      <c r="Z140" s="62"/>
      <c r="AA140" s="103"/>
      <c r="AB140" s="103"/>
    </row>
    <row r="141" spans="1:28" s="70" customFormat="1" ht="14.25" x14ac:dyDescent="0.2">
      <c r="A141" s="60"/>
      <c r="B141" s="151"/>
      <c r="C141" s="113"/>
      <c r="D141" s="72"/>
      <c r="E141" s="122"/>
      <c r="F141" s="122"/>
      <c r="G141" s="122"/>
      <c r="H141" s="123"/>
      <c r="I141" s="135"/>
      <c r="J141" s="123"/>
      <c r="K141" s="124"/>
      <c r="L141" s="123"/>
      <c r="M141" s="125">
        <f>-T138</f>
        <v>-73</v>
      </c>
      <c r="N141" s="131"/>
      <c r="O141" s="118"/>
      <c r="P141" s="455"/>
      <c r="Q141" s="455"/>
      <c r="R141" s="455"/>
      <c r="S141" s="455"/>
      <c r="T141" s="154"/>
      <c r="U141" s="155"/>
      <c r="V141" s="136"/>
      <c r="W141" s="63"/>
      <c r="X141" s="63"/>
      <c r="Y141" s="62"/>
      <c r="Z141" s="62"/>
      <c r="AA141" s="103"/>
      <c r="AB141" s="103"/>
    </row>
    <row r="142" spans="1:28" s="70" customFormat="1" ht="14.25" x14ac:dyDescent="0.2">
      <c r="A142" s="60"/>
      <c r="B142" s="168"/>
      <c r="C142" s="152"/>
      <c r="D142" s="153"/>
      <c r="E142" s="122"/>
      <c r="F142" s="122"/>
      <c r="G142" s="122"/>
      <c r="H142" s="123"/>
      <c r="I142" s="135"/>
      <c r="J142" s="123"/>
      <c r="K142" s="124"/>
      <c r="L142" s="123"/>
      <c r="M142" s="125"/>
      <c r="N142" s="131"/>
      <c r="O142" s="118"/>
      <c r="P142" s="452">
        <f>SUM(M140:M141)</f>
        <v>1935.23</v>
      </c>
      <c r="Q142" s="450">
        <f>P142*SUM($L$585:$L$589)</f>
        <v>183.84685000000002</v>
      </c>
      <c r="R142" s="266"/>
      <c r="S142" s="266"/>
      <c r="T142" s="154"/>
      <c r="U142" s="155"/>
      <c r="V142" s="136"/>
      <c r="W142" s="63"/>
      <c r="X142" s="63"/>
      <c r="Y142" s="62"/>
      <c r="Z142" s="62"/>
      <c r="AA142" s="103"/>
      <c r="AB142" s="103"/>
    </row>
    <row r="143" spans="1:28" s="70" customFormat="1" ht="14.25" x14ac:dyDescent="0.2">
      <c r="A143" s="60"/>
      <c r="B143" s="151"/>
      <c r="C143" s="152"/>
      <c r="D143" s="153"/>
      <c r="E143" s="122"/>
      <c r="F143" s="122"/>
      <c r="G143" s="122"/>
      <c r="H143" s="123"/>
      <c r="I143" s="135"/>
      <c r="J143" s="123"/>
      <c r="K143" s="124"/>
      <c r="L143" s="123"/>
      <c r="M143" s="125"/>
      <c r="N143" s="131"/>
      <c r="O143" s="118"/>
      <c r="P143" s="451">
        <f>P142/$M$582</f>
        <v>4.9704418426225099E-3</v>
      </c>
      <c r="Q143" s="452">
        <f>P143*$M$593</f>
        <v>41.965949947550762</v>
      </c>
      <c r="R143" s="452">
        <f>SUM(P142,Q142,Q143)</f>
        <v>2161.0427999475505</v>
      </c>
      <c r="S143" s="452">
        <f>R143*1.08</f>
        <v>2333.9262239433547</v>
      </c>
      <c r="T143" s="154"/>
      <c r="U143" s="155"/>
      <c r="V143" s="136"/>
      <c r="W143" s="63"/>
      <c r="X143" s="63"/>
      <c r="Y143" s="62"/>
      <c r="Z143" s="62"/>
      <c r="AA143" s="103"/>
      <c r="AB143" s="103"/>
    </row>
    <row r="144" spans="1:28" s="70" customFormat="1" ht="14.25" x14ac:dyDescent="0.2">
      <c r="A144" s="60"/>
      <c r="B144" s="168"/>
      <c r="C144" s="152"/>
      <c r="D144" s="153"/>
      <c r="E144" s="122"/>
      <c r="F144" s="122"/>
      <c r="G144" s="122"/>
      <c r="H144" s="123"/>
      <c r="I144" s="135"/>
      <c r="J144" s="123"/>
      <c r="K144" s="124"/>
      <c r="L144" s="123"/>
      <c r="M144" s="125"/>
      <c r="N144" s="131"/>
      <c r="O144" s="118"/>
      <c r="P144" s="455"/>
      <c r="Q144" s="455"/>
      <c r="R144" s="455"/>
      <c r="S144" s="455"/>
      <c r="T144" s="154"/>
      <c r="U144" s="155"/>
      <c r="V144" s="136"/>
      <c r="W144" s="63"/>
      <c r="X144" s="63"/>
      <c r="Y144" s="62"/>
      <c r="Z144" s="62"/>
      <c r="AA144" s="103"/>
      <c r="AB144" s="103"/>
    </row>
    <row r="145" spans="1:28" s="70" customFormat="1" ht="15" x14ac:dyDescent="0.2">
      <c r="A145" s="60"/>
      <c r="B145" s="169" t="s">
        <v>66</v>
      </c>
      <c r="C145" s="152"/>
      <c r="D145" s="153"/>
      <c r="E145" s="122"/>
      <c r="F145" s="122"/>
      <c r="G145" s="122"/>
      <c r="H145" s="123"/>
      <c r="I145" s="135"/>
      <c r="J145" s="123"/>
      <c r="K145" s="124"/>
      <c r="L145" s="123"/>
      <c r="M145" s="125"/>
      <c r="N145" s="131"/>
      <c r="O145" s="118"/>
      <c r="P145" s="455"/>
      <c r="Q145" s="455"/>
      <c r="R145" s="455"/>
      <c r="S145" s="455"/>
      <c r="T145" s="394">
        <f>SUM(C147,C148,C149,C152,C153,C154,C155,C155,C156)</f>
        <v>1159</v>
      </c>
      <c r="U145" s="155"/>
      <c r="V145" s="136"/>
      <c r="W145" s="63"/>
      <c r="X145" s="63"/>
      <c r="Y145" s="62"/>
      <c r="Z145" s="62"/>
      <c r="AA145" s="103"/>
      <c r="AB145" s="103"/>
    </row>
    <row r="146" spans="1:28" s="70" customFormat="1" ht="14.25" x14ac:dyDescent="0.2">
      <c r="A146" s="60"/>
      <c r="B146" s="165" t="s">
        <v>72</v>
      </c>
      <c r="C146" s="152"/>
      <c r="D146" s="153"/>
      <c r="E146" s="122"/>
      <c r="F146" s="122"/>
      <c r="G146" s="122"/>
      <c r="H146" s="123"/>
      <c r="I146" s="135"/>
      <c r="J146" s="123"/>
      <c r="K146" s="124"/>
      <c r="L146" s="123"/>
      <c r="M146" s="125"/>
      <c r="N146" s="131"/>
      <c r="O146" s="118"/>
      <c r="P146" s="455"/>
      <c r="Q146" s="455"/>
      <c r="R146" s="455"/>
      <c r="S146" s="455"/>
      <c r="T146" s="154"/>
      <c r="U146" s="155"/>
      <c r="V146" s="136"/>
      <c r="W146" s="63"/>
      <c r="X146" s="63"/>
      <c r="Y146" s="62"/>
      <c r="Z146" s="62"/>
      <c r="AA146" s="103"/>
      <c r="AB146" s="103"/>
    </row>
    <row r="147" spans="1:28" s="70" customFormat="1" ht="14.25" x14ac:dyDescent="0.2">
      <c r="A147" s="60"/>
      <c r="B147" s="146" t="s">
        <v>115</v>
      </c>
      <c r="C147" s="152">
        <v>92</v>
      </c>
      <c r="D147" s="153" t="s">
        <v>45</v>
      </c>
      <c r="E147" s="122">
        <v>0.2</v>
      </c>
      <c r="F147" s="122">
        <f t="shared" ref="F147:F158" si="8">C147*E147</f>
        <v>18.400000000000002</v>
      </c>
      <c r="G147" s="122">
        <f t="shared" ref="G147:G158" si="9">$H$11*E147</f>
        <v>8</v>
      </c>
      <c r="H147" s="123">
        <f t="shared" ref="H147:H158" si="10">F147*$H$11</f>
        <v>736.00000000000011</v>
      </c>
      <c r="I147" s="135">
        <v>13.51</v>
      </c>
      <c r="J147" s="123">
        <f t="shared" ref="J147:J158" si="11">C147*I147</f>
        <v>1242.92</v>
      </c>
      <c r="K147" s="124">
        <f t="shared" ref="K147:K158" si="12">SUM(H147,J147)</f>
        <v>1978.92</v>
      </c>
      <c r="L147" s="123">
        <f t="shared" ref="L147:L158" si="13">K147/C147</f>
        <v>21.51</v>
      </c>
      <c r="M147" s="125">
        <f t="shared" ref="M147:M158" si="14">C147*L147</f>
        <v>1978.92</v>
      </c>
      <c r="N147" s="131">
        <v>0</v>
      </c>
      <c r="O147" s="118">
        <f t="shared" ref="O147:O158" si="15">M147*N147</f>
        <v>0</v>
      </c>
      <c r="P147" s="455"/>
      <c r="Q147" s="455"/>
      <c r="R147" s="455"/>
      <c r="S147" s="455"/>
      <c r="T147" s="154"/>
      <c r="U147" s="155"/>
      <c r="V147" s="136"/>
      <c r="W147" s="63"/>
      <c r="X147" s="63"/>
      <c r="Y147" s="62"/>
      <c r="Z147" s="62"/>
      <c r="AA147" s="103"/>
      <c r="AB147" s="103"/>
    </row>
    <row r="148" spans="1:28" s="70" customFormat="1" ht="14.25" x14ac:dyDescent="0.2">
      <c r="A148" s="60"/>
      <c r="B148" s="146" t="s">
        <v>114</v>
      </c>
      <c r="C148" s="152">
        <v>254</v>
      </c>
      <c r="D148" s="153" t="s">
        <v>45</v>
      </c>
      <c r="E148" s="390">
        <v>0.2</v>
      </c>
      <c r="F148" s="122">
        <f t="shared" si="8"/>
        <v>50.800000000000004</v>
      </c>
      <c r="G148" s="122">
        <f t="shared" si="9"/>
        <v>8</v>
      </c>
      <c r="H148" s="123">
        <f t="shared" si="10"/>
        <v>2032.0000000000002</v>
      </c>
      <c r="I148" s="135">
        <v>23.99</v>
      </c>
      <c r="J148" s="123">
        <f t="shared" si="11"/>
        <v>6093.46</v>
      </c>
      <c r="K148" s="124">
        <f t="shared" si="12"/>
        <v>8125.46</v>
      </c>
      <c r="L148" s="123">
        <f t="shared" si="13"/>
        <v>31.99</v>
      </c>
      <c r="M148" s="125">
        <f t="shared" si="14"/>
        <v>8125.46</v>
      </c>
      <c r="N148" s="131">
        <v>0</v>
      </c>
      <c r="O148" s="118">
        <f t="shared" si="15"/>
        <v>0</v>
      </c>
      <c r="P148" s="455"/>
      <c r="Q148" s="455"/>
      <c r="R148" s="455"/>
      <c r="S148" s="455"/>
      <c r="T148" s="154"/>
      <c r="U148" s="155"/>
      <c r="V148" s="136"/>
      <c r="W148" s="63"/>
      <c r="X148" s="63"/>
      <c r="Y148" s="62"/>
      <c r="Z148" s="62"/>
      <c r="AA148" s="103"/>
      <c r="AB148" s="103"/>
    </row>
    <row r="149" spans="1:28" s="70" customFormat="1" ht="14.25" x14ac:dyDescent="0.2">
      <c r="A149" s="60"/>
      <c r="B149" s="146" t="s">
        <v>116</v>
      </c>
      <c r="C149" s="152">
        <v>414</v>
      </c>
      <c r="D149" s="153" t="s">
        <v>45</v>
      </c>
      <c r="E149" s="122">
        <v>0.2</v>
      </c>
      <c r="F149" s="122">
        <f t="shared" si="8"/>
        <v>82.800000000000011</v>
      </c>
      <c r="G149" s="122">
        <f t="shared" si="9"/>
        <v>8</v>
      </c>
      <c r="H149" s="123">
        <f t="shared" si="10"/>
        <v>3312.0000000000005</v>
      </c>
      <c r="I149" s="135">
        <v>16</v>
      </c>
      <c r="J149" s="123">
        <f t="shared" si="11"/>
        <v>6624</v>
      </c>
      <c r="K149" s="124">
        <f t="shared" si="12"/>
        <v>9936</v>
      </c>
      <c r="L149" s="123">
        <f t="shared" si="13"/>
        <v>24</v>
      </c>
      <c r="M149" s="125">
        <f t="shared" si="14"/>
        <v>9936</v>
      </c>
      <c r="N149" s="131">
        <v>0</v>
      </c>
      <c r="O149" s="118">
        <f t="shared" si="15"/>
        <v>0</v>
      </c>
      <c r="P149" s="455"/>
      <c r="Q149" s="455"/>
      <c r="R149" s="455"/>
      <c r="S149" s="455"/>
      <c r="T149" s="154"/>
      <c r="U149" s="155"/>
      <c r="V149" s="136"/>
      <c r="W149" s="63"/>
      <c r="X149" s="63"/>
      <c r="Y149" s="62"/>
      <c r="Z149" s="62"/>
      <c r="AA149" s="103"/>
      <c r="AB149" s="103"/>
    </row>
    <row r="150" spans="1:28" s="70" customFormat="1" ht="14.25" x14ac:dyDescent="0.2">
      <c r="A150" s="60"/>
      <c r="B150" s="151" t="s">
        <v>105</v>
      </c>
      <c r="C150" s="152">
        <v>244</v>
      </c>
      <c r="D150" s="153" t="s">
        <v>46</v>
      </c>
      <c r="E150" s="310">
        <v>0.1</v>
      </c>
      <c r="F150" s="310">
        <f t="shared" si="8"/>
        <v>24.400000000000002</v>
      </c>
      <c r="G150" s="310">
        <f t="shared" si="9"/>
        <v>4</v>
      </c>
      <c r="H150" s="123">
        <f t="shared" si="10"/>
        <v>976.00000000000011</v>
      </c>
      <c r="I150" s="135">
        <v>2.5</v>
      </c>
      <c r="J150" s="123">
        <f t="shared" si="11"/>
        <v>610</v>
      </c>
      <c r="K150" s="124">
        <f t="shared" si="12"/>
        <v>1586</v>
      </c>
      <c r="L150" s="123">
        <f t="shared" si="13"/>
        <v>6.5</v>
      </c>
      <c r="M150" s="125">
        <f t="shared" si="14"/>
        <v>1586</v>
      </c>
      <c r="N150" s="131">
        <v>0</v>
      </c>
      <c r="O150" s="118">
        <f t="shared" si="15"/>
        <v>0</v>
      </c>
      <c r="P150" s="455"/>
      <c r="Q150" s="455"/>
      <c r="R150" s="455"/>
      <c r="S150" s="455"/>
      <c r="T150" s="154"/>
      <c r="U150" s="155"/>
      <c r="V150" s="136"/>
      <c r="W150" s="63"/>
      <c r="X150" s="63"/>
      <c r="Y150" s="62"/>
      <c r="Z150" s="62"/>
      <c r="AA150" s="103"/>
      <c r="AB150" s="103"/>
    </row>
    <row r="151" spans="1:28" s="70" customFormat="1" ht="14.25" x14ac:dyDescent="0.2">
      <c r="A151" s="60"/>
      <c r="B151" s="151" t="s">
        <v>358</v>
      </c>
      <c r="C151" s="152">
        <v>122</v>
      </c>
      <c r="D151" s="153" t="s">
        <v>46</v>
      </c>
      <c r="E151" s="310">
        <v>0.2</v>
      </c>
      <c r="F151" s="310">
        <f t="shared" si="8"/>
        <v>24.400000000000002</v>
      </c>
      <c r="G151" s="310">
        <f t="shared" si="9"/>
        <v>8</v>
      </c>
      <c r="H151" s="123">
        <f t="shared" si="10"/>
        <v>976.00000000000011</v>
      </c>
      <c r="I151" s="135">
        <v>6</v>
      </c>
      <c r="J151" s="123">
        <f t="shared" si="11"/>
        <v>732</v>
      </c>
      <c r="K151" s="124">
        <f t="shared" si="12"/>
        <v>1708</v>
      </c>
      <c r="L151" s="123">
        <f t="shared" si="13"/>
        <v>14</v>
      </c>
      <c r="M151" s="125">
        <f t="shared" si="14"/>
        <v>1708</v>
      </c>
      <c r="N151" s="131">
        <v>0</v>
      </c>
      <c r="O151" s="118">
        <f t="shared" si="15"/>
        <v>0</v>
      </c>
      <c r="P151" s="455"/>
      <c r="Q151" s="455"/>
      <c r="R151" s="455"/>
      <c r="S151" s="455"/>
      <c r="T151" s="154"/>
      <c r="U151" s="155"/>
      <c r="V151" s="136"/>
      <c r="W151" s="63"/>
      <c r="X151" s="63"/>
      <c r="Y151" s="62"/>
      <c r="Z151" s="62"/>
      <c r="AA151" s="103"/>
      <c r="AB151" s="103"/>
    </row>
    <row r="152" spans="1:28" s="70" customFormat="1" ht="14.25" x14ac:dyDescent="0.2">
      <c r="A152" s="60"/>
      <c r="B152" s="264" t="s">
        <v>117</v>
      </c>
      <c r="C152" s="152">
        <v>12</v>
      </c>
      <c r="D152" s="153" t="s">
        <v>45</v>
      </c>
      <c r="E152" s="390">
        <v>0.2</v>
      </c>
      <c r="F152" s="310">
        <f t="shared" si="8"/>
        <v>2.4000000000000004</v>
      </c>
      <c r="G152" s="310">
        <f t="shared" si="9"/>
        <v>8</v>
      </c>
      <c r="H152" s="123">
        <f t="shared" si="10"/>
        <v>96.000000000000014</v>
      </c>
      <c r="I152" s="135">
        <v>23.99</v>
      </c>
      <c r="J152" s="123">
        <f t="shared" si="11"/>
        <v>287.88</v>
      </c>
      <c r="K152" s="124">
        <f t="shared" si="12"/>
        <v>383.88</v>
      </c>
      <c r="L152" s="123">
        <f t="shared" si="13"/>
        <v>31.99</v>
      </c>
      <c r="M152" s="125">
        <f t="shared" si="14"/>
        <v>383.88</v>
      </c>
      <c r="N152" s="131">
        <v>0</v>
      </c>
      <c r="O152" s="118">
        <f t="shared" si="15"/>
        <v>0</v>
      </c>
      <c r="P152" s="455"/>
      <c r="Q152" s="455"/>
      <c r="R152" s="455"/>
      <c r="S152" s="455"/>
      <c r="T152" s="154"/>
      <c r="U152" s="155"/>
      <c r="V152" s="136"/>
      <c r="W152" s="63"/>
      <c r="X152" s="63"/>
      <c r="Y152" s="62"/>
      <c r="Z152" s="62"/>
      <c r="AA152" s="103"/>
      <c r="AB152" s="103"/>
    </row>
    <row r="153" spans="1:28" s="70" customFormat="1" ht="14.25" x14ac:dyDescent="0.2">
      <c r="A153" s="60"/>
      <c r="B153" s="151" t="s">
        <v>119</v>
      </c>
      <c r="C153" s="152">
        <v>40</v>
      </c>
      <c r="D153" s="153" t="s">
        <v>45</v>
      </c>
      <c r="E153" s="390">
        <v>0.2</v>
      </c>
      <c r="F153" s="122">
        <f t="shared" si="8"/>
        <v>8</v>
      </c>
      <c r="G153" s="122">
        <f t="shared" si="9"/>
        <v>8</v>
      </c>
      <c r="H153" s="123">
        <f t="shared" si="10"/>
        <v>320</v>
      </c>
      <c r="I153" s="135">
        <v>23.99</v>
      </c>
      <c r="J153" s="123">
        <f t="shared" si="11"/>
        <v>959.59999999999991</v>
      </c>
      <c r="K153" s="124">
        <f t="shared" si="12"/>
        <v>1279.5999999999999</v>
      </c>
      <c r="L153" s="123">
        <f t="shared" si="13"/>
        <v>31.99</v>
      </c>
      <c r="M153" s="125">
        <f t="shared" si="14"/>
        <v>1279.5999999999999</v>
      </c>
      <c r="N153" s="131">
        <v>0</v>
      </c>
      <c r="O153" s="118">
        <f t="shared" si="15"/>
        <v>0</v>
      </c>
      <c r="P153" s="455"/>
      <c r="Q153" s="455"/>
      <c r="R153" s="455"/>
      <c r="S153" s="455"/>
      <c r="T153" s="154"/>
      <c r="U153" s="155"/>
      <c r="V153" s="136"/>
      <c r="W153" s="63"/>
      <c r="X153" s="63"/>
      <c r="Y153" s="62"/>
      <c r="Z153" s="62"/>
      <c r="AA153" s="103"/>
      <c r="AB153" s="103"/>
    </row>
    <row r="154" spans="1:28" s="70" customFormat="1" ht="14.25" x14ac:dyDescent="0.2">
      <c r="A154" s="60"/>
      <c r="B154" s="151" t="s">
        <v>120</v>
      </c>
      <c r="C154" s="152">
        <v>53</v>
      </c>
      <c r="D154" s="153" t="s">
        <v>45</v>
      </c>
      <c r="E154" s="390">
        <v>0.2</v>
      </c>
      <c r="F154" s="122">
        <f>C154*E154</f>
        <v>10.600000000000001</v>
      </c>
      <c r="G154" s="122">
        <f t="shared" si="9"/>
        <v>8</v>
      </c>
      <c r="H154" s="123">
        <f t="shared" si="10"/>
        <v>424.00000000000006</v>
      </c>
      <c r="I154" s="135">
        <v>23.99</v>
      </c>
      <c r="J154" s="123">
        <f t="shared" si="11"/>
        <v>1271.47</v>
      </c>
      <c r="K154" s="124">
        <f t="shared" si="12"/>
        <v>1695.47</v>
      </c>
      <c r="L154" s="123">
        <f t="shared" si="13"/>
        <v>31.990000000000002</v>
      </c>
      <c r="M154" s="125">
        <f t="shared" si="14"/>
        <v>1695.47</v>
      </c>
      <c r="N154" s="131">
        <v>0</v>
      </c>
      <c r="O154" s="118">
        <f t="shared" si="15"/>
        <v>0</v>
      </c>
      <c r="P154" s="455"/>
      <c r="Q154" s="455"/>
      <c r="R154" s="455"/>
      <c r="S154" s="455"/>
      <c r="T154" s="154"/>
      <c r="U154" s="155"/>
      <c r="V154" s="136"/>
      <c r="W154" s="63"/>
      <c r="X154" s="63"/>
      <c r="Y154" s="62"/>
      <c r="Z154" s="62"/>
      <c r="AA154" s="103"/>
      <c r="AB154" s="103"/>
    </row>
    <row r="155" spans="1:28" s="70" customFormat="1" ht="15" customHeight="1" x14ac:dyDescent="0.2">
      <c r="A155" s="60"/>
      <c r="B155" s="151" t="s">
        <v>121</v>
      </c>
      <c r="C155" s="152">
        <v>98</v>
      </c>
      <c r="D155" s="153" t="s">
        <v>45</v>
      </c>
      <c r="E155" s="122">
        <v>0.45</v>
      </c>
      <c r="F155" s="122">
        <f t="shared" si="8"/>
        <v>44.1</v>
      </c>
      <c r="G155" s="122">
        <f t="shared" si="9"/>
        <v>18</v>
      </c>
      <c r="H155" s="123">
        <f t="shared" si="10"/>
        <v>1764</v>
      </c>
      <c r="I155" s="135">
        <v>39.08</v>
      </c>
      <c r="J155" s="123">
        <f t="shared" si="11"/>
        <v>3829.8399999999997</v>
      </c>
      <c r="K155" s="124">
        <f t="shared" si="12"/>
        <v>5593.84</v>
      </c>
      <c r="L155" s="123">
        <f t="shared" si="13"/>
        <v>57.08</v>
      </c>
      <c r="M155" s="125">
        <f t="shared" si="14"/>
        <v>5593.84</v>
      </c>
      <c r="N155" s="131">
        <v>0</v>
      </c>
      <c r="O155" s="118">
        <f t="shared" si="15"/>
        <v>0</v>
      </c>
      <c r="P155" s="455"/>
      <c r="Q155" s="455"/>
      <c r="R155" s="455"/>
      <c r="S155" s="455"/>
      <c r="T155" s="154"/>
      <c r="U155" s="155"/>
      <c r="V155" s="136"/>
      <c r="W155" s="63"/>
      <c r="X155" s="63"/>
      <c r="Y155" s="62"/>
      <c r="Z155" s="62"/>
      <c r="AA155" s="103"/>
      <c r="AB155" s="103"/>
    </row>
    <row r="156" spans="1:28" s="70" customFormat="1" ht="14.25" x14ac:dyDescent="0.2">
      <c r="A156" s="60"/>
      <c r="B156" s="151" t="s">
        <v>122</v>
      </c>
      <c r="C156" s="152">
        <v>98</v>
      </c>
      <c r="D156" s="153" t="s">
        <v>45</v>
      </c>
      <c r="E156" s="390">
        <v>0.2</v>
      </c>
      <c r="F156" s="122">
        <f t="shared" si="8"/>
        <v>19.600000000000001</v>
      </c>
      <c r="G156" s="122">
        <f t="shared" si="9"/>
        <v>8</v>
      </c>
      <c r="H156" s="123">
        <f t="shared" si="10"/>
        <v>784</v>
      </c>
      <c r="I156" s="135">
        <v>19</v>
      </c>
      <c r="J156" s="123">
        <f t="shared" si="11"/>
        <v>1862</v>
      </c>
      <c r="K156" s="124">
        <f t="shared" si="12"/>
        <v>2646</v>
      </c>
      <c r="L156" s="123">
        <f t="shared" si="13"/>
        <v>27</v>
      </c>
      <c r="M156" s="125">
        <f t="shared" si="14"/>
        <v>2646</v>
      </c>
      <c r="N156" s="131">
        <v>0</v>
      </c>
      <c r="O156" s="118">
        <f t="shared" si="15"/>
        <v>0</v>
      </c>
      <c r="P156" s="455"/>
      <c r="Q156" s="455"/>
      <c r="R156" s="455"/>
      <c r="S156" s="455"/>
      <c r="T156" s="154"/>
      <c r="U156" s="155"/>
      <c r="V156" s="136"/>
      <c r="W156" s="63"/>
      <c r="X156" s="63"/>
      <c r="Y156" s="62"/>
      <c r="Z156" s="62"/>
      <c r="AA156" s="103"/>
      <c r="AB156" s="103"/>
    </row>
    <row r="157" spans="1:28" s="70" customFormat="1" ht="20.25" customHeight="1" x14ac:dyDescent="0.2">
      <c r="A157" s="60"/>
      <c r="B157" s="151" t="s">
        <v>130</v>
      </c>
      <c r="C157" s="152">
        <v>6</v>
      </c>
      <c r="D157" s="153" t="s">
        <v>45</v>
      </c>
      <c r="E157" s="122">
        <v>0</v>
      </c>
      <c r="F157" s="122">
        <f t="shared" si="8"/>
        <v>0</v>
      </c>
      <c r="G157" s="122">
        <f t="shared" si="9"/>
        <v>0</v>
      </c>
      <c r="H157" s="123">
        <f t="shared" si="10"/>
        <v>0</v>
      </c>
      <c r="I157" s="135">
        <v>6</v>
      </c>
      <c r="J157" s="123">
        <f t="shared" si="11"/>
        <v>36</v>
      </c>
      <c r="K157" s="124">
        <f t="shared" si="12"/>
        <v>36</v>
      </c>
      <c r="L157" s="123">
        <f t="shared" si="13"/>
        <v>6</v>
      </c>
      <c r="M157" s="125">
        <f t="shared" si="14"/>
        <v>36</v>
      </c>
      <c r="N157" s="131">
        <v>0</v>
      </c>
      <c r="O157" s="118">
        <f t="shared" si="15"/>
        <v>0</v>
      </c>
      <c r="P157" s="455"/>
      <c r="Q157" s="455"/>
      <c r="R157" s="455"/>
      <c r="S157" s="455"/>
      <c r="T157" s="154"/>
      <c r="U157" s="155"/>
      <c r="V157" s="136"/>
      <c r="W157" s="63"/>
      <c r="X157" s="63"/>
      <c r="Y157" s="62"/>
      <c r="Z157" s="62"/>
      <c r="AA157" s="103"/>
      <c r="AB157" s="103"/>
    </row>
    <row r="158" spans="1:28" s="70" customFormat="1" ht="14.25" x14ac:dyDescent="0.2">
      <c r="A158" s="60"/>
      <c r="B158" s="1" t="s">
        <v>105</v>
      </c>
      <c r="C158" s="113">
        <v>116</v>
      </c>
      <c r="D158" s="72" t="s">
        <v>46</v>
      </c>
      <c r="E158" s="122">
        <v>0.1</v>
      </c>
      <c r="F158" s="122">
        <f t="shared" si="8"/>
        <v>11.600000000000001</v>
      </c>
      <c r="G158" s="122">
        <f t="shared" si="9"/>
        <v>4</v>
      </c>
      <c r="H158" s="123">
        <f t="shared" si="10"/>
        <v>464.00000000000006</v>
      </c>
      <c r="I158" s="135">
        <v>2.5</v>
      </c>
      <c r="J158" s="123">
        <f t="shared" si="11"/>
        <v>290</v>
      </c>
      <c r="K158" s="124">
        <f t="shared" si="12"/>
        <v>754</v>
      </c>
      <c r="L158" s="123">
        <f t="shared" si="13"/>
        <v>6.5</v>
      </c>
      <c r="M158" s="125">
        <f t="shared" si="14"/>
        <v>754</v>
      </c>
      <c r="N158" s="131">
        <v>0</v>
      </c>
      <c r="O158" s="118">
        <f t="shared" si="15"/>
        <v>0</v>
      </c>
      <c r="P158" s="455"/>
      <c r="Q158" s="455"/>
      <c r="R158" s="455"/>
      <c r="S158" s="455"/>
      <c r="T158" s="265">
        <f>SUM(C147,C148,C149,C152,C153,C154,C155,C156)</f>
        <v>1061</v>
      </c>
      <c r="U158" s="155"/>
      <c r="V158" s="136"/>
      <c r="W158" s="63"/>
      <c r="X158" s="63"/>
      <c r="Y158" s="62"/>
      <c r="Z158" s="62"/>
      <c r="AA158" s="103"/>
      <c r="AB158" s="103"/>
    </row>
    <row r="159" spans="1:28" s="70" customFormat="1" ht="14.25" x14ac:dyDescent="0.2">
      <c r="A159" s="60"/>
      <c r="B159" s="1"/>
      <c r="C159" s="113"/>
      <c r="D159" s="72"/>
      <c r="E159" s="122"/>
      <c r="F159" s="122"/>
      <c r="G159" s="122"/>
      <c r="H159" s="123"/>
      <c r="I159" s="135"/>
      <c r="J159" s="123"/>
      <c r="K159" s="124"/>
      <c r="L159" s="123"/>
      <c r="M159" s="125">
        <f>-T145</f>
        <v>-1159</v>
      </c>
      <c r="N159" s="131"/>
      <c r="O159" s="118"/>
      <c r="P159" s="455"/>
      <c r="Q159" s="455"/>
      <c r="R159" s="455"/>
      <c r="S159" s="455"/>
      <c r="T159" s="265"/>
      <c r="U159" s="155"/>
      <c r="V159" s="136"/>
      <c r="W159" s="63"/>
      <c r="X159" s="63"/>
      <c r="Y159" s="62"/>
      <c r="Z159" s="62"/>
      <c r="AA159" s="103"/>
      <c r="AB159" s="103"/>
    </row>
    <row r="160" spans="1:28" s="70" customFormat="1" ht="14.25" x14ac:dyDescent="0.2">
      <c r="A160" s="60"/>
      <c r="B160" s="151"/>
      <c r="C160" s="152"/>
      <c r="D160" s="153"/>
      <c r="E160" s="122"/>
      <c r="F160" s="122"/>
      <c r="G160" s="122"/>
      <c r="H160" s="123"/>
      <c r="I160" s="135"/>
      <c r="J160" s="123"/>
      <c r="K160" s="124"/>
      <c r="L160" s="123"/>
      <c r="M160" s="125"/>
      <c r="N160" s="131"/>
      <c r="O160" s="118"/>
      <c r="P160" s="452">
        <f>SUM(M147:M159)</f>
        <v>34564.17</v>
      </c>
      <c r="Q160" s="450">
        <f>P160*SUM($L$585:$L$589)</f>
        <v>3283.5961499999999</v>
      </c>
      <c r="R160" s="266"/>
      <c r="S160" s="266"/>
      <c r="T160" s="154"/>
      <c r="U160" s="155"/>
      <c r="V160" s="136"/>
      <c r="W160" s="63"/>
      <c r="X160" s="63"/>
      <c r="Y160" s="62"/>
      <c r="Z160" s="62"/>
      <c r="AA160" s="103"/>
      <c r="AB160" s="103"/>
    </row>
    <row r="161" spans="1:28" s="70" customFormat="1" ht="14.25" x14ac:dyDescent="0.2">
      <c r="A161" s="60"/>
      <c r="B161" s="151"/>
      <c r="C161" s="152"/>
      <c r="D161" s="153"/>
      <c r="E161" s="122"/>
      <c r="F161" s="122"/>
      <c r="G161" s="122"/>
      <c r="H161" s="123"/>
      <c r="I161" s="135"/>
      <c r="J161" s="123"/>
      <c r="K161" s="124"/>
      <c r="L161" s="123"/>
      <c r="M161" s="125"/>
      <c r="N161" s="131"/>
      <c r="O161" s="118"/>
      <c r="P161" s="451">
        <f>P160/$M$582</f>
        <v>8.8774562622281422E-2</v>
      </c>
      <c r="Q161" s="452">
        <f>P161*$M$593</f>
        <v>749.53273161259153</v>
      </c>
      <c r="R161" s="452">
        <f>SUM(P160,Q160,Q161)</f>
        <v>38597.298881612587</v>
      </c>
      <c r="S161" s="452">
        <f>R161*1.08</f>
        <v>41685.082792141598</v>
      </c>
      <c r="T161" s="154"/>
      <c r="U161" s="155"/>
      <c r="V161" s="136"/>
      <c r="W161" s="63"/>
      <c r="X161" s="63"/>
      <c r="Y161" s="62"/>
      <c r="Z161" s="62"/>
      <c r="AA161" s="103"/>
      <c r="AB161" s="103"/>
    </row>
    <row r="162" spans="1:28" s="70" customFormat="1" ht="14.25" x14ac:dyDescent="0.2">
      <c r="A162" s="60"/>
      <c r="B162" s="151"/>
      <c r="C162" s="152"/>
      <c r="D162" s="153"/>
      <c r="E162" s="122"/>
      <c r="F162" s="122"/>
      <c r="G162" s="122"/>
      <c r="H162" s="123"/>
      <c r="I162" s="135"/>
      <c r="J162" s="123"/>
      <c r="K162" s="124"/>
      <c r="L162" s="123"/>
      <c r="M162" s="125"/>
      <c r="N162" s="131"/>
      <c r="O162" s="118"/>
      <c r="P162" s="455"/>
      <c r="Q162" s="455"/>
      <c r="R162" s="455"/>
      <c r="S162" s="455"/>
      <c r="T162" s="154"/>
      <c r="U162" s="155"/>
      <c r="V162" s="136"/>
      <c r="W162" s="63"/>
      <c r="X162" s="63"/>
      <c r="Y162" s="62"/>
      <c r="Z162" s="62"/>
      <c r="AA162" s="103"/>
      <c r="AB162" s="103"/>
    </row>
    <row r="163" spans="1:28" s="70" customFormat="1" ht="15" x14ac:dyDescent="0.2">
      <c r="A163" s="60"/>
      <c r="B163" s="169" t="s">
        <v>64</v>
      </c>
      <c r="C163" s="152"/>
      <c r="D163" s="153"/>
      <c r="E163" s="122"/>
      <c r="F163" s="122"/>
      <c r="G163" s="122"/>
      <c r="H163" s="123"/>
      <c r="I163" s="135"/>
      <c r="J163" s="123"/>
      <c r="K163" s="124"/>
      <c r="L163" s="123"/>
      <c r="M163" s="125"/>
      <c r="N163" s="131"/>
      <c r="O163" s="118"/>
      <c r="P163" s="455"/>
      <c r="Q163" s="455"/>
      <c r="R163" s="455"/>
      <c r="S163" s="455"/>
      <c r="T163" s="394">
        <f>SUM(C165,C167,C169,C170,C173,C174,C177,C178,C179,C180,C181,C182,C187,C194,C194,C198,C198)</f>
        <v>1942</v>
      </c>
      <c r="U163" s="155"/>
      <c r="V163" s="136"/>
      <c r="W163" s="63"/>
      <c r="X163" s="63"/>
      <c r="Y163" s="62"/>
      <c r="Z163" s="62"/>
      <c r="AA163" s="103"/>
      <c r="AB163" s="103"/>
    </row>
    <row r="164" spans="1:28" s="70" customFormat="1" ht="14.25" x14ac:dyDescent="0.2">
      <c r="A164" s="60"/>
      <c r="B164" s="165" t="s">
        <v>72</v>
      </c>
      <c r="C164" s="152"/>
      <c r="D164" s="153"/>
      <c r="E164" s="122"/>
      <c r="F164" s="122"/>
      <c r="G164" s="122"/>
      <c r="H164" s="123"/>
      <c r="I164" s="135"/>
      <c r="J164" s="123"/>
      <c r="K164" s="124"/>
      <c r="L164" s="123"/>
      <c r="M164" s="125"/>
      <c r="N164" s="131"/>
      <c r="O164" s="118"/>
      <c r="P164" s="455"/>
      <c r="Q164" s="455"/>
      <c r="R164" s="455"/>
      <c r="S164" s="455"/>
      <c r="T164" s="154"/>
      <c r="U164" s="155"/>
      <c r="V164" s="136"/>
      <c r="W164" s="63"/>
      <c r="X164" s="63"/>
      <c r="Y164" s="62"/>
      <c r="Z164" s="62"/>
      <c r="AA164" s="103"/>
      <c r="AB164" s="103"/>
    </row>
    <row r="165" spans="1:28" s="70" customFormat="1" ht="14.25" x14ac:dyDescent="0.2">
      <c r="A165" s="60"/>
      <c r="B165" s="146" t="s">
        <v>133</v>
      </c>
      <c r="C165" s="152">
        <v>95</v>
      </c>
      <c r="D165" s="153" t="s">
        <v>45</v>
      </c>
      <c r="E165" s="390">
        <v>0.2</v>
      </c>
      <c r="F165" s="122">
        <f t="shared" ref="F165:F183" si="16">C165*E165</f>
        <v>19</v>
      </c>
      <c r="G165" s="122">
        <f t="shared" ref="G165:G183" si="17">$H$11*E165</f>
        <v>8</v>
      </c>
      <c r="H165" s="123">
        <f t="shared" ref="H165:H183" si="18">F165*$H$11</f>
        <v>760</v>
      </c>
      <c r="I165" s="135">
        <v>17.87</v>
      </c>
      <c r="J165" s="123">
        <f t="shared" ref="J165:J183" si="19">C165*I165</f>
        <v>1697.65</v>
      </c>
      <c r="K165" s="124">
        <f t="shared" ref="K165:K183" si="20">SUM(H165,J165)</f>
        <v>2457.65</v>
      </c>
      <c r="L165" s="123">
        <f t="shared" ref="L165:L183" si="21">K165/C165</f>
        <v>25.87</v>
      </c>
      <c r="M165" s="125">
        <f t="shared" ref="M165:M183" si="22">C165*L165</f>
        <v>2457.65</v>
      </c>
      <c r="N165" s="131">
        <v>0</v>
      </c>
      <c r="O165" s="118">
        <f t="shared" ref="O165:O183" si="23">M165*N165</f>
        <v>0</v>
      </c>
      <c r="P165" s="455"/>
      <c r="Q165" s="455"/>
      <c r="R165" s="455"/>
      <c r="S165" s="455"/>
      <c r="T165" s="154"/>
      <c r="U165" s="155"/>
      <c r="V165" s="136"/>
      <c r="W165" s="63"/>
      <c r="X165" s="63"/>
      <c r="Y165" s="62"/>
      <c r="Z165" s="62"/>
      <c r="AA165" s="103"/>
      <c r="AB165" s="103"/>
    </row>
    <row r="166" spans="1:28" s="70" customFormat="1" ht="14.25" x14ac:dyDescent="0.2">
      <c r="A166" s="60"/>
      <c r="B166" s="146" t="s">
        <v>105</v>
      </c>
      <c r="C166" s="152">
        <v>46</v>
      </c>
      <c r="D166" s="153" t="s">
        <v>46</v>
      </c>
      <c r="E166" s="122">
        <v>0.1</v>
      </c>
      <c r="F166" s="122">
        <f t="shared" si="16"/>
        <v>4.6000000000000005</v>
      </c>
      <c r="G166" s="122">
        <f t="shared" si="17"/>
        <v>4</v>
      </c>
      <c r="H166" s="123">
        <f t="shared" si="18"/>
        <v>184.00000000000003</v>
      </c>
      <c r="I166" s="135">
        <v>2.5</v>
      </c>
      <c r="J166" s="123">
        <f t="shared" si="19"/>
        <v>115</v>
      </c>
      <c r="K166" s="124">
        <f t="shared" si="20"/>
        <v>299</v>
      </c>
      <c r="L166" s="123">
        <f t="shared" si="21"/>
        <v>6.5</v>
      </c>
      <c r="M166" s="125">
        <f t="shared" si="22"/>
        <v>299</v>
      </c>
      <c r="N166" s="131">
        <v>0</v>
      </c>
      <c r="O166" s="118">
        <f t="shared" si="23"/>
        <v>0</v>
      </c>
      <c r="P166" s="455"/>
      <c r="Q166" s="455"/>
      <c r="R166" s="455"/>
      <c r="S166" s="455"/>
      <c r="T166" s="154"/>
      <c r="U166" s="155"/>
      <c r="V166" s="136"/>
      <c r="W166" s="63"/>
      <c r="X166" s="63"/>
      <c r="Y166" s="62"/>
      <c r="Z166" s="62"/>
      <c r="AA166" s="103"/>
      <c r="AB166" s="103"/>
    </row>
    <row r="167" spans="1:28" s="70" customFormat="1" ht="14.25" x14ac:dyDescent="0.2">
      <c r="A167" s="60"/>
      <c r="B167" s="146" t="s">
        <v>135</v>
      </c>
      <c r="C167" s="152">
        <v>5</v>
      </c>
      <c r="D167" s="153" t="s">
        <v>45</v>
      </c>
      <c r="E167" s="122">
        <v>0.2</v>
      </c>
      <c r="F167" s="122">
        <f t="shared" si="16"/>
        <v>1</v>
      </c>
      <c r="G167" s="122">
        <f t="shared" si="17"/>
        <v>8</v>
      </c>
      <c r="H167" s="123">
        <f t="shared" si="18"/>
        <v>40</v>
      </c>
      <c r="I167" s="135">
        <v>16</v>
      </c>
      <c r="J167" s="123">
        <f t="shared" si="19"/>
        <v>80</v>
      </c>
      <c r="K167" s="124">
        <f t="shared" si="20"/>
        <v>120</v>
      </c>
      <c r="L167" s="123">
        <f t="shared" si="21"/>
        <v>24</v>
      </c>
      <c r="M167" s="125">
        <f t="shared" si="22"/>
        <v>120</v>
      </c>
      <c r="N167" s="131">
        <v>0</v>
      </c>
      <c r="O167" s="118">
        <f t="shared" si="23"/>
        <v>0</v>
      </c>
      <c r="P167" s="455"/>
      <c r="Q167" s="455"/>
      <c r="R167" s="455"/>
      <c r="S167" s="455"/>
      <c r="T167" s="154"/>
      <c r="U167" s="155"/>
      <c r="V167" s="136"/>
      <c r="W167" s="63"/>
      <c r="X167" s="63"/>
      <c r="Y167" s="62"/>
      <c r="Z167" s="62"/>
      <c r="AA167" s="103"/>
      <c r="AB167" s="103"/>
    </row>
    <row r="168" spans="1:28" s="70" customFormat="1" ht="14.25" x14ac:dyDescent="0.2">
      <c r="A168" s="60"/>
      <c r="B168" s="146" t="s">
        <v>105</v>
      </c>
      <c r="C168" s="152">
        <v>2</v>
      </c>
      <c r="D168" s="153" t="s">
        <v>46</v>
      </c>
      <c r="E168" s="122">
        <v>0.1</v>
      </c>
      <c r="F168" s="122">
        <f t="shared" si="16"/>
        <v>0.2</v>
      </c>
      <c r="G168" s="122">
        <f t="shared" si="17"/>
        <v>4</v>
      </c>
      <c r="H168" s="123">
        <f t="shared" si="18"/>
        <v>8</v>
      </c>
      <c r="I168" s="135">
        <v>2.5</v>
      </c>
      <c r="J168" s="123">
        <f t="shared" si="19"/>
        <v>5</v>
      </c>
      <c r="K168" s="124">
        <f t="shared" si="20"/>
        <v>13</v>
      </c>
      <c r="L168" s="123">
        <f t="shared" si="21"/>
        <v>6.5</v>
      </c>
      <c r="M168" s="125">
        <f t="shared" si="22"/>
        <v>13</v>
      </c>
      <c r="N168" s="131">
        <v>0</v>
      </c>
      <c r="O168" s="118">
        <f t="shared" si="23"/>
        <v>0</v>
      </c>
      <c r="P168" s="455"/>
      <c r="Q168" s="455"/>
      <c r="R168" s="455"/>
      <c r="S168" s="455"/>
      <c r="T168" s="154"/>
      <c r="U168" s="155"/>
      <c r="V168" s="136"/>
      <c r="W168" s="63"/>
      <c r="X168" s="63"/>
      <c r="Y168" s="62"/>
      <c r="Z168" s="62"/>
      <c r="AA168" s="103"/>
      <c r="AB168" s="103"/>
    </row>
    <row r="169" spans="1:28" s="70" customFormat="1" ht="14.25" x14ac:dyDescent="0.2">
      <c r="A169" s="60"/>
      <c r="B169" s="146" t="s">
        <v>115</v>
      </c>
      <c r="C169" s="152">
        <v>608</v>
      </c>
      <c r="D169" s="153" t="s">
        <v>45</v>
      </c>
      <c r="E169" s="122">
        <v>0.2</v>
      </c>
      <c r="F169" s="122">
        <f t="shared" si="16"/>
        <v>121.60000000000001</v>
      </c>
      <c r="G169" s="122">
        <f t="shared" si="17"/>
        <v>8</v>
      </c>
      <c r="H169" s="123">
        <f t="shared" si="18"/>
        <v>4864</v>
      </c>
      <c r="I169" s="135">
        <v>13.51</v>
      </c>
      <c r="J169" s="123">
        <f t="shared" si="19"/>
        <v>8214.08</v>
      </c>
      <c r="K169" s="124">
        <f t="shared" si="20"/>
        <v>13078.08</v>
      </c>
      <c r="L169" s="123">
        <f t="shared" si="21"/>
        <v>21.51</v>
      </c>
      <c r="M169" s="125">
        <f t="shared" si="22"/>
        <v>13078.080000000002</v>
      </c>
      <c r="N169" s="131">
        <v>0</v>
      </c>
      <c r="O169" s="118">
        <f t="shared" si="23"/>
        <v>0</v>
      </c>
      <c r="P169" s="455"/>
      <c r="Q169" s="455"/>
      <c r="R169" s="455"/>
      <c r="S169" s="455"/>
      <c r="T169" s="154"/>
      <c r="U169" s="155"/>
      <c r="V169" s="136"/>
      <c r="W169" s="63"/>
      <c r="X169" s="63"/>
      <c r="Y169" s="62"/>
      <c r="Z169" s="62"/>
      <c r="AA169" s="103"/>
      <c r="AB169" s="103"/>
    </row>
    <row r="170" spans="1:28" s="70" customFormat="1" ht="14.25" x14ac:dyDescent="0.2">
      <c r="A170" s="60"/>
      <c r="B170" s="146" t="s">
        <v>134</v>
      </c>
      <c r="C170" s="152">
        <v>202</v>
      </c>
      <c r="D170" s="153" t="s">
        <v>45</v>
      </c>
      <c r="E170" s="122">
        <v>0.2</v>
      </c>
      <c r="F170" s="122">
        <f t="shared" si="16"/>
        <v>40.400000000000006</v>
      </c>
      <c r="G170" s="122">
        <f t="shared" si="17"/>
        <v>8</v>
      </c>
      <c r="H170" s="123">
        <f t="shared" si="18"/>
        <v>1616.0000000000002</v>
      </c>
      <c r="I170" s="135">
        <v>14</v>
      </c>
      <c r="J170" s="123">
        <f t="shared" si="19"/>
        <v>2828</v>
      </c>
      <c r="K170" s="124">
        <f t="shared" si="20"/>
        <v>4444</v>
      </c>
      <c r="L170" s="123">
        <f t="shared" si="21"/>
        <v>22</v>
      </c>
      <c r="M170" s="125">
        <f t="shared" si="22"/>
        <v>4444</v>
      </c>
      <c r="N170" s="131">
        <v>0</v>
      </c>
      <c r="O170" s="118">
        <f t="shared" si="23"/>
        <v>0</v>
      </c>
      <c r="P170" s="455"/>
      <c r="Q170" s="455"/>
      <c r="R170" s="455"/>
      <c r="S170" s="455"/>
      <c r="T170" s="154"/>
      <c r="U170" s="155"/>
      <c r="V170" s="136"/>
      <c r="W170" s="63"/>
      <c r="X170" s="63"/>
      <c r="Y170" s="62"/>
      <c r="Z170" s="62"/>
      <c r="AA170" s="103"/>
      <c r="AB170" s="103"/>
    </row>
    <row r="171" spans="1:28" s="70" customFormat="1" ht="14.25" x14ac:dyDescent="0.2">
      <c r="A171" s="60"/>
      <c r="B171" s="146" t="s">
        <v>265</v>
      </c>
      <c r="C171" s="152">
        <v>426</v>
      </c>
      <c r="D171" s="153" t="s">
        <v>45</v>
      </c>
      <c r="E171" s="390">
        <v>0.4</v>
      </c>
      <c r="F171" s="122">
        <f>C171*E171</f>
        <v>170.4</v>
      </c>
      <c r="G171" s="122">
        <f t="shared" si="17"/>
        <v>16</v>
      </c>
      <c r="H171" s="123">
        <f t="shared" si="18"/>
        <v>6816</v>
      </c>
      <c r="I171" s="135">
        <v>26</v>
      </c>
      <c r="J171" s="123">
        <f t="shared" si="19"/>
        <v>11076</v>
      </c>
      <c r="K171" s="124">
        <f t="shared" si="20"/>
        <v>17892</v>
      </c>
      <c r="L171" s="123">
        <f t="shared" si="21"/>
        <v>42</v>
      </c>
      <c r="M171" s="125">
        <f t="shared" si="22"/>
        <v>17892</v>
      </c>
      <c r="N171" s="131">
        <v>0</v>
      </c>
      <c r="O171" s="118">
        <f t="shared" si="23"/>
        <v>0</v>
      </c>
      <c r="P171" s="455"/>
      <c r="Q171" s="455"/>
      <c r="R171" s="455"/>
      <c r="S171" s="455"/>
      <c r="T171" s="154"/>
      <c r="U171" s="155"/>
      <c r="V171" s="136"/>
      <c r="W171" s="63"/>
      <c r="X171" s="63"/>
      <c r="Y171" s="62"/>
      <c r="Z171" s="62"/>
      <c r="AA171" s="103"/>
      <c r="AB171" s="103"/>
    </row>
    <row r="172" spans="1:28" s="70" customFormat="1" ht="14.25" x14ac:dyDescent="0.2">
      <c r="A172" s="60"/>
      <c r="B172" s="146" t="s">
        <v>105</v>
      </c>
      <c r="C172" s="152">
        <v>148</v>
      </c>
      <c r="D172" s="153" t="s">
        <v>46</v>
      </c>
      <c r="E172" s="122">
        <v>0.1</v>
      </c>
      <c r="F172" s="122">
        <f t="shared" si="16"/>
        <v>14.8</v>
      </c>
      <c r="G172" s="122">
        <f t="shared" si="17"/>
        <v>4</v>
      </c>
      <c r="H172" s="123">
        <f t="shared" si="18"/>
        <v>592</v>
      </c>
      <c r="I172" s="135">
        <v>2.5</v>
      </c>
      <c r="J172" s="123">
        <f t="shared" si="19"/>
        <v>370</v>
      </c>
      <c r="K172" s="124">
        <f t="shared" si="20"/>
        <v>962</v>
      </c>
      <c r="L172" s="123">
        <f t="shared" si="21"/>
        <v>6.5</v>
      </c>
      <c r="M172" s="125">
        <f t="shared" si="22"/>
        <v>962</v>
      </c>
      <c r="N172" s="131">
        <v>0</v>
      </c>
      <c r="O172" s="118">
        <f t="shared" si="23"/>
        <v>0</v>
      </c>
      <c r="P172" s="455"/>
      <c r="Q172" s="455"/>
      <c r="R172" s="455"/>
      <c r="S172" s="455"/>
      <c r="T172" s="154"/>
      <c r="U172" s="155"/>
      <c r="V172" s="136"/>
      <c r="W172" s="63"/>
      <c r="X172" s="63"/>
      <c r="Y172" s="62"/>
      <c r="Z172" s="62"/>
      <c r="AA172" s="103"/>
      <c r="AB172" s="103"/>
    </row>
    <row r="173" spans="1:28" s="70" customFormat="1" ht="14.25" x14ac:dyDescent="0.2">
      <c r="A173" s="60"/>
      <c r="B173" s="146" t="s">
        <v>103</v>
      </c>
      <c r="C173" s="152">
        <v>166</v>
      </c>
      <c r="D173" s="153" t="s">
        <v>45</v>
      </c>
      <c r="E173" s="122">
        <v>0.2</v>
      </c>
      <c r="F173" s="122">
        <f t="shared" si="16"/>
        <v>33.200000000000003</v>
      </c>
      <c r="G173" s="122">
        <f t="shared" si="17"/>
        <v>8</v>
      </c>
      <c r="H173" s="123">
        <f t="shared" si="18"/>
        <v>1328</v>
      </c>
      <c r="I173" s="135">
        <v>13.51</v>
      </c>
      <c r="J173" s="123">
        <f t="shared" si="19"/>
        <v>2242.66</v>
      </c>
      <c r="K173" s="124">
        <f t="shared" si="20"/>
        <v>3570.66</v>
      </c>
      <c r="L173" s="123">
        <f t="shared" si="21"/>
        <v>21.509999999999998</v>
      </c>
      <c r="M173" s="125">
        <f t="shared" si="22"/>
        <v>3570.66</v>
      </c>
      <c r="N173" s="131">
        <v>0</v>
      </c>
      <c r="O173" s="118">
        <f t="shared" si="23"/>
        <v>0</v>
      </c>
      <c r="P173" s="455"/>
      <c r="Q173" s="455"/>
      <c r="R173" s="455"/>
      <c r="S173" s="455"/>
      <c r="T173" s="154"/>
      <c r="U173" s="155"/>
      <c r="V173" s="136"/>
      <c r="W173" s="63"/>
      <c r="X173" s="63"/>
      <c r="Y173" s="62"/>
      <c r="Z173" s="62"/>
      <c r="AA173" s="103"/>
      <c r="AB173" s="103"/>
    </row>
    <row r="174" spans="1:28" s="70" customFormat="1" ht="14.25" x14ac:dyDescent="0.2">
      <c r="A174" s="60"/>
      <c r="B174" s="264" t="s">
        <v>116</v>
      </c>
      <c r="C174" s="152">
        <v>306</v>
      </c>
      <c r="D174" s="153" t="s">
        <v>45</v>
      </c>
      <c r="E174" s="390">
        <v>0.25</v>
      </c>
      <c r="F174" s="122">
        <f t="shared" si="16"/>
        <v>76.5</v>
      </c>
      <c r="G174" s="122">
        <f t="shared" si="17"/>
        <v>10</v>
      </c>
      <c r="H174" s="123">
        <f t="shared" si="18"/>
        <v>3060</v>
      </c>
      <c r="I174" s="135">
        <v>16</v>
      </c>
      <c r="J174" s="123">
        <f t="shared" si="19"/>
        <v>4896</v>
      </c>
      <c r="K174" s="124">
        <f t="shared" si="20"/>
        <v>7956</v>
      </c>
      <c r="L174" s="123">
        <f t="shared" si="21"/>
        <v>26</v>
      </c>
      <c r="M174" s="125">
        <f t="shared" si="22"/>
        <v>7956</v>
      </c>
      <c r="N174" s="131">
        <v>0</v>
      </c>
      <c r="O174" s="118">
        <f t="shared" si="23"/>
        <v>0</v>
      </c>
      <c r="P174" s="455"/>
      <c r="Q174" s="455"/>
      <c r="R174" s="455"/>
      <c r="S174" s="455"/>
      <c r="T174" s="154"/>
      <c r="U174" s="155"/>
      <c r="V174" s="136"/>
      <c r="W174" s="63"/>
      <c r="X174" s="63"/>
      <c r="Y174" s="62"/>
      <c r="Z174" s="62"/>
      <c r="AA174" s="103"/>
      <c r="AB174" s="103"/>
    </row>
    <row r="175" spans="1:28" s="70" customFormat="1" ht="14.25" x14ac:dyDescent="0.2">
      <c r="A175" s="60"/>
      <c r="B175" s="264" t="s">
        <v>105</v>
      </c>
      <c r="C175" s="152">
        <v>112</v>
      </c>
      <c r="D175" s="153" t="s">
        <v>46</v>
      </c>
      <c r="E175" s="310">
        <v>0.1</v>
      </c>
      <c r="F175" s="122">
        <f t="shared" si="16"/>
        <v>11.200000000000001</v>
      </c>
      <c r="G175" s="122">
        <f t="shared" si="17"/>
        <v>4</v>
      </c>
      <c r="H175" s="123">
        <f t="shared" si="18"/>
        <v>448.00000000000006</v>
      </c>
      <c r="I175" s="135">
        <v>2.5</v>
      </c>
      <c r="J175" s="123">
        <f t="shared" si="19"/>
        <v>280</v>
      </c>
      <c r="K175" s="124">
        <f t="shared" si="20"/>
        <v>728</v>
      </c>
      <c r="L175" s="123">
        <f t="shared" si="21"/>
        <v>6.5</v>
      </c>
      <c r="M175" s="125">
        <f t="shared" si="22"/>
        <v>728</v>
      </c>
      <c r="N175" s="131">
        <v>0</v>
      </c>
      <c r="O175" s="118">
        <f t="shared" si="23"/>
        <v>0</v>
      </c>
      <c r="P175" s="455"/>
      <c r="Q175" s="455"/>
      <c r="R175" s="455"/>
      <c r="S175" s="455"/>
      <c r="T175" s="154"/>
      <c r="U175" s="155"/>
      <c r="V175" s="136"/>
      <c r="W175" s="63"/>
      <c r="X175" s="63"/>
      <c r="Y175" s="62"/>
      <c r="Z175" s="62"/>
      <c r="AA175" s="103"/>
      <c r="AB175" s="103"/>
    </row>
    <row r="176" spans="1:28" s="70" customFormat="1" ht="14.25" x14ac:dyDescent="0.2">
      <c r="A176" s="60"/>
      <c r="B176" s="151" t="s">
        <v>358</v>
      </c>
      <c r="C176" s="152">
        <v>56</v>
      </c>
      <c r="D176" s="153" t="s">
        <v>46</v>
      </c>
      <c r="E176" s="310">
        <v>0.2</v>
      </c>
      <c r="F176" s="122">
        <f t="shared" si="16"/>
        <v>11.200000000000001</v>
      </c>
      <c r="G176" s="122">
        <f t="shared" si="17"/>
        <v>8</v>
      </c>
      <c r="H176" s="123">
        <f t="shared" si="18"/>
        <v>448.00000000000006</v>
      </c>
      <c r="I176" s="135">
        <v>6</v>
      </c>
      <c r="J176" s="123">
        <f t="shared" si="19"/>
        <v>336</v>
      </c>
      <c r="K176" s="124">
        <f t="shared" si="20"/>
        <v>784</v>
      </c>
      <c r="L176" s="123">
        <f t="shared" si="21"/>
        <v>14</v>
      </c>
      <c r="M176" s="125">
        <f t="shared" si="22"/>
        <v>784</v>
      </c>
      <c r="N176" s="131">
        <v>0</v>
      </c>
      <c r="O176" s="118">
        <f t="shared" si="23"/>
        <v>0</v>
      </c>
      <c r="P176" s="455"/>
      <c r="Q176" s="455"/>
      <c r="R176" s="455"/>
      <c r="S176" s="455"/>
      <c r="T176" s="154"/>
      <c r="U176" s="155"/>
      <c r="V176" s="136"/>
      <c r="W176" s="63"/>
      <c r="X176" s="63"/>
      <c r="Y176" s="62"/>
      <c r="Z176" s="62"/>
      <c r="AA176" s="103"/>
      <c r="AB176" s="103"/>
    </row>
    <row r="177" spans="1:28" s="70" customFormat="1" ht="14.25" x14ac:dyDescent="0.2">
      <c r="A177" s="60"/>
      <c r="B177" s="264" t="s">
        <v>264</v>
      </c>
      <c r="C177" s="152">
        <v>26</v>
      </c>
      <c r="D177" s="153" t="s">
        <v>45</v>
      </c>
      <c r="E177" s="310">
        <v>0.2</v>
      </c>
      <c r="F177" s="122">
        <f t="shared" si="16"/>
        <v>5.2</v>
      </c>
      <c r="G177" s="122">
        <f t="shared" si="17"/>
        <v>8</v>
      </c>
      <c r="H177" s="123">
        <f t="shared" si="18"/>
        <v>208</v>
      </c>
      <c r="I177" s="135">
        <v>13.51</v>
      </c>
      <c r="J177" s="123">
        <f t="shared" si="19"/>
        <v>351.26</v>
      </c>
      <c r="K177" s="124">
        <f t="shared" si="20"/>
        <v>559.26</v>
      </c>
      <c r="L177" s="123">
        <f t="shared" si="21"/>
        <v>21.509999999999998</v>
      </c>
      <c r="M177" s="125">
        <f t="shared" si="22"/>
        <v>559.26</v>
      </c>
      <c r="N177" s="131">
        <v>0</v>
      </c>
      <c r="O177" s="118">
        <f t="shared" si="23"/>
        <v>0</v>
      </c>
      <c r="P177" s="455"/>
      <c r="Q177" s="455"/>
      <c r="R177" s="455"/>
      <c r="S177" s="455"/>
      <c r="T177" s="154"/>
      <c r="U177" s="155"/>
      <c r="V177" s="136"/>
      <c r="W177" s="63"/>
      <c r="X177" s="63"/>
      <c r="Y177" s="62"/>
      <c r="Z177" s="62"/>
      <c r="AA177" s="103"/>
      <c r="AB177" s="103"/>
    </row>
    <row r="178" spans="1:28" s="70" customFormat="1" ht="14.25" x14ac:dyDescent="0.2">
      <c r="A178" s="60"/>
      <c r="B178" s="264" t="s">
        <v>263</v>
      </c>
      <c r="C178" s="152">
        <v>65</v>
      </c>
      <c r="D178" s="153" t="s">
        <v>45</v>
      </c>
      <c r="E178" s="310">
        <v>0.2</v>
      </c>
      <c r="F178" s="122">
        <f t="shared" si="16"/>
        <v>13</v>
      </c>
      <c r="G178" s="122">
        <f t="shared" si="17"/>
        <v>8</v>
      </c>
      <c r="H178" s="123">
        <f t="shared" si="18"/>
        <v>520</v>
      </c>
      <c r="I178" s="135">
        <v>13.51</v>
      </c>
      <c r="J178" s="123">
        <f t="shared" si="19"/>
        <v>878.15</v>
      </c>
      <c r="K178" s="124">
        <f t="shared" si="20"/>
        <v>1398.15</v>
      </c>
      <c r="L178" s="123">
        <f t="shared" si="21"/>
        <v>21.51</v>
      </c>
      <c r="M178" s="125">
        <f t="shared" si="22"/>
        <v>1398.15</v>
      </c>
      <c r="N178" s="131">
        <v>0</v>
      </c>
      <c r="O178" s="118">
        <f t="shared" si="23"/>
        <v>0</v>
      </c>
      <c r="P178" s="455"/>
      <c r="Q178" s="455"/>
      <c r="R178" s="455"/>
      <c r="S178" s="455"/>
      <c r="T178" s="154"/>
      <c r="U178" s="155"/>
      <c r="V178" s="136"/>
      <c r="W178" s="63"/>
      <c r="X178" s="63"/>
      <c r="Y178" s="62"/>
      <c r="Z178" s="62"/>
      <c r="AA178" s="103"/>
      <c r="AB178" s="103"/>
    </row>
    <row r="179" spans="1:28" s="70" customFormat="1" ht="14.25" x14ac:dyDescent="0.2">
      <c r="A179" s="60"/>
      <c r="B179" s="146" t="s">
        <v>118</v>
      </c>
      <c r="C179" s="152">
        <v>177</v>
      </c>
      <c r="D179" s="153" t="s">
        <v>45</v>
      </c>
      <c r="E179" s="122">
        <v>0.2</v>
      </c>
      <c r="F179" s="122">
        <f t="shared" si="16"/>
        <v>35.4</v>
      </c>
      <c r="G179" s="122">
        <f t="shared" si="17"/>
        <v>8</v>
      </c>
      <c r="H179" s="123">
        <f t="shared" si="18"/>
        <v>1416</v>
      </c>
      <c r="I179" s="135">
        <v>13.51</v>
      </c>
      <c r="J179" s="123">
        <f t="shared" si="19"/>
        <v>2391.27</v>
      </c>
      <c r="K179" s="124">
        <f t="shared" si="20"/>
        <v>3807.27</v>
      </c>
      <c r="L179" s="123">
        <f t="shared" si="21"/>
        <v>21.51</v>
      </c>
      <c r="M179" s="125">
        <f t="shared" si="22"/>
        <v>3807.2700000000004</v>
      </c>
      <c r="N179" s="131">
        <v>0</v>
      </c>
      <c r="O179" s="118">
        <f t="shared" si="23"/>
        <v>0</v>
      </c>
      <c r="P179" s="455"/>
      <c r="Q179" s="455"/>
      <c r="R179" s="455"/>
      <c r="S179" s="455"/>
      <c r="T179" s="154"/>
      <c r="U179" s="155"/>
      <c r="V179" s="136"/>
      <c r="W179" s="63"/>
      <c r="X179" s="63"/>
      <c r="Y179" s="62"/>
      <c r="Z179" s="62"/>
      <c r="AA179" s="103"/>
      <c r="AB179" s="103"/>
    </row>
    <row r="180" spans="1:28" s="70" customFormat="1" ht="14.25" x14ac:dyDescent="0.2">
      <c r="A180" s="60"/>
      <c r="B180" s="146" t="s">
        <v>430</v>
      </c>
      <c r="C180" s="152">
        <v>13</v>
      </c>
      <c r="D180" s="153" t="s">
        <v>45</v>
      </c>
      <c r="E180" s="122">
        <v>0.2</v>
      </c>
      <c r="F180" s="122">
        <f t="shared" si="16"/>
        <v>2.6</v>
      </c>
      <c r="G180" s="122">
        <f t="shared" si="17"/>
        <v>8</v>
      </c>
      <c r="H180" s="123">
        <f t="shared" si="18"/>
        <v>104</v>
      </c>
      <c r="I180" s="135">
        <v>13.51</v>
      </c>
      <c r="J180" s="123">
        <f t="shared" si="19"/>
        <v>175.63</v>
      </c>
      <c r="K180" s="124">
        <f t="shared" si="20"/>
        <v>279.63</v>
      </c>
      <c r="L180" s="123">
        <f t="shared" si="21"/>
        <v>21.509999999999998</v>
      </c>
      <c r="M180" s="125">
        <f t="shared" si="22"/>
        <v>279.63</v>
      </c>
      <c r="N180" s="131">
        <v>0</v>
      </c>
      <c r="O180" s="118">
        <f t="shared" si="23"/>
        <v>0</v>
      </c>
      <c r="P180" s="455"/>
      <c r="Q180" s="455"/>
      <c r="R180" s="455"/>
      <c r="S180" s="455"/>
      <c r="T180" s="154"/>
      <c r="U180" s="155"/>
      <c r="V180" s="136"/>
      <c r="W180" s="63"/>
      <c r="X180" s="63"/>
      <c r="Y180" s="62"/>
      <c r="Z180" s="62"/>
      <c r="AA180" s="103"/>
      <c r="AB180" s="103"/>
    </row>
    <row r="181" spans="1:28" s="70" customFormat="1" ht="14.25" x14ac:dyDescent="0.2">
      <c r="A181" s="60"/>
      <c r="B181" s="146" t="s">
        <v>266</v>
      </c>
      <c r="C181" s="152">
        <v>65</v>
      </c>
      <c r="D181" s="153" t="s">
        <v>45</v>
      </c>
      <c r="E181" s="122">
        <v>0.2</v>
      </c>
      <c r="F181" s="122">
        <f t="shared" si="16"/>
        <v>13</v>
      </c>
      <c r="G181" s="122">
        <f t="shared" si="17"/>
        <v>8</v>
      </c>
      <c r="H181" s="123">
        <f t="shared" si="18"/>
        <v>520</v>
      </c>
      <c r="I181" s="135">
        <v>13.51</v>
      </c>
      <c r="J181" s="123">
        <f t="shared" si="19"/>
        <v>878.15</v>
      </c>
      <c r="K181" s="124">
        <f t="shared" si="20"/>
        <v>1398.15</v>
      </c>
      <c r="L181" s="123">
        <f t="shared" si="21"/>
        <v>21.51</v>
      </c>
      <c r="M181" s="125">
        <f t="shared" si="22"/>
        <v>1398.15</v>
      </c>
      <c r="N181" s="131">
        <v>0</v>
      </c>
      <c r="O181" s="118">
        <f t="shared" si="23"/>
        <v>0</v>
      </c>
      <c r="P181" s="455"/>
      <c r="Q181" s="455"/>
      <c r="R181" s="455"/>
      <c r="S181" s="455"/>
      <c r="T181" s="154"/>
      <c r="U181" s="155"/>
      <c r="V181" s="136"/>
      <c r="W181" s="63"/>
      <c r="X181" s="63"/>
      <c r="Y181" s="62"/>
      <c r="Z181" s="62"/>
      <c r="AA181" s="103"/>
      <c r="AB181" s="103"/>
    </row>
    <row r="182" spans="1:28" s="70" customFormat="1" ht="14.25" x14ac:dyDescent="0.2">
      <c r="A182" s="60"/>
      <c r="B182" s="146" t="s">
        <v>267</v>
      </c>
      <c r="C182" s="152">
        <v>71</v>
      </c>
      <c r="D182" s="153" t="s">
        <v>45</v>
      </c>
      <c r="E182" s="122">
        <v>0.25</v>
      </c>
      <c r="F182" s="122">
        <f t="shared" si="16"/>
        <v>17.75</v>
      </c>
      <c r="G182" s="122">
        <f t="shared" si="17"/>
        <v>10</v>
      </c>
      <c r="H182" s="123">
        <f t="shared" si="18"/>
        <v>710</v>
      </c>
      <c r="I182" s="135">
        <v>13.51</v>
      </c>
      <c r="J182" s="123">
        <f t="shared" si="19"/>
        <v>959.21</v>
      </c>
      <c r="K182" s="124">
        <f t="shared" si="20"/>
        <v>1669.21</v>
      </c>
      <c r="L182" s="123">
        <f t="shared" si="21"/>
        <v>23.51</v>
      </c>
      <c r="M182" s="125">
        <f t="shared" si="22"/>
        <v>1669.21</v>
      </c>
      <c r="N182" s="131">
        <v>0</v>
      </c>
      <c r="O182" s="118">
        <f t="shared" si="23"/>
        <v>0</v>
      </c>
      <c r="P182" s="455"/>
      <c r="Q182" s="455"/>
      <c r="R182" s="455"/>
      <c r="S182" s="455"/>
      <c r="T182" s="154"/>
      <c r="U182" s="155"/>
      <c r="V182" s="136"/>
      <c r="W182" s="63"/>
      <c r="X182" s="63"/>
      <c r="Y182" s="62"/>
      <c r="Z182" s="62"/>
      <c r="AA182" s="103"/>
      <c r="AB182" s="103"/>
    </row>
    <row r="183" spans="1:28" s="70" customFormat="1" ht="14.25" x14ac:dyDescent="0.2">
      <c r="A183" s="60"/>
      <c r="B183" s="146" t="s">
        <v>129</v>
      </c>
      <c r="C183" s="152">
        <v>305</v>
      </c>
      <c r="D183" s="153" t="s">
        <v>45</v>
      </c>
      <c r="E183" s="122">
        <v>0.02</v>
      </c>
      <c r="F183" s="122">
        <f t="shared" si="16"/>
        <v>6.1000000000000005</v>
      </c>
      <c r="G183" s="122">
        <f t="shared" si="17"/>
        <v>0.8</v>
      </c>
      <c r="H183" s="123">
        <f t="shared" si="18"/>
        <v>244.00000000000003</v>
      </c>
      <c r="I183" s="135">
        <v>10.48</v>
      </c>
      <c r="J183" s="123">
        <f t="shared" si="19"/>
        <v>3196.4</v>
      </c>
      <c r="K183" s="124">
        <f t="shared" si="20"/>
        <v>3440.4</v>
      </c>
      <c r="L183" s="123">
        <f t="shared" si="21"/>
        <v>11.280000000000001</v>
      </c>
      <c r="M183" s="125">
        <f t="shared" si="22"/>
        <v>3440.4000000000005</v>
      </c>
      <c r="N183" s="131">
        <v>0</v>
      </c>
      <c r="O183" s="118">
        <f t="shared" si="23"/>
        <v>0</v>
      </c>
      <c r="P183" s="455"/>
      <c r="Q183" s="455"/>
      <c r="R183" s="455"/>
      <c r="S183" s="455"/>
      <c r="T183" s="154"/>
      <c r="U183" s="155"/>
      <c r="V183" s="136"/>
      <c r="W183" s="63"/>
      <c r="X183" s="63"/>
      <c r="Y183" s="62"/>
      <c r="Z183" s="62"/>
      <c r="AA183" s="103"/>
      <c r="AB183" s="103"/>
    </row>
    <row r="184" spans="1:28" s="70" customFormat="1" ht="14.25" x14ac:dyDescent="0.2">
      <c r="A184" s="60"/>
      <c r="B184" s="114"/>
      <c r="C184" s="152"/>
      <c r="D184" s="153"/>
      <c r="E184" s="122"/>
      <c r="F184" s="122"/>
      <c r="G184" s="122"/>
      <c r="H184" s="123"/>
      <c r="I184" s="135"/>
      <c r="J184" s="123"/>
      <c r="K184" s="124"/>
      <c r="L184" s="123"/>
      <c r="M184" s="125"/>
      <c r="N184" s="131"/>
      <c r="O184" s="118"/>
      <c r="P184" s="455"/>
      <c r="Q184" s="455"/>
      <c r="R184" s="455"/>
      <c r="S184" s="455"/>
      <c r="T184" s="154"/>
      <c r="U184" s="155"/>
      <c r="V184" s="136"/>
      <c r="W184" s="63"/>
      <c r="X184" s="63"/>
      <c r="Y184" s="62"/>
      <c r="Z184" s="62"/>
      <c r="AA184" s="103"/>
      <c r="AB184" s="103"/>
    </row>
    <row r="185" spans="1:28" s="70" customFormat="1" ht="14.25" x14ac:dyDescent="0.2">
      <c r="A185" s="60"/>
      <c r="B185" s="146" t="s">
        <v>262</v>
      </c>
      <c r="C185" s="152">
        <v>3</v>
      </c>
      <c r="D185" s="153" t="s">
        <v>60</v>
      </c>
      <c r="E185" s="122">
        <v>9</v>
      </c>
      <c r="F185" s="122">
        <f>C185*E185</f>
        <v>27</v>
      </c>
      <c r="G185" s="122">
        <f>$H$11*E185</f>
        <v>360</v>
      </c>
      <c r="H185" s="123">
        <f>F185*$H$11</f>
        <v>1080</v>
      </c>
      <c r="I185" s="135">
        <v>175</v>
      </c>
      <c r="J185" s="123">
        <f>C185*I185</f>
        <v>525</v>
      </c>
      <c r="K185" s="124">
        <f>SUM(H185,J185)</f>
        <v>1605</v>
      </c>
      <c r="L185" s="123">
        <f>K185/C185</f>
        <v>535</v>
      </c>
      <c r="M185" s="125">
        <f>C185*L185</f>
        <v>1605</v>
      </c>
      <c r="N185" s="131">
        <v>0</v>
      </c>
      <c r="O185" s="118">
        <f>M185*N185</f>
        <v>0</v>
      </c>
      <c r="P185" s="455"/>
      <c r="Q185" s="455"/>
      <c r="R185" s="455"/>
      <c r="S185" s="455"/>
      <c r="T185" s="154"/>
      <c r="U185" s="155"/>
      <c r="V185" s="136"/>
      <c r="W185" s="63"/>
      <c r="X185" s="63"/>
      <c r="Y185" s="62"/>
      <c r="Z185" s="62"/>
      <c r="AA185" s="103"/>
      <c r="AB185" s="103"/>
    </row>
    <row r="186" spans="1:28" s="70" customFormat="1" ht="14.25" x14ac:dyDescent="0.2">
      <c r="A186" s="60"/>
      <c r="B186" s="114"/>
      <c r="C186" s="152"/>
      <c r="D186" s="153"/>
      <c r="E186" s="122"/>
      <c r="F186" s="122"/>
      <c r="G186" s="122"/>
      <c r="H186" s="123"/>
      <c r="I186" s="135"/>
      <c r="J186" s="123"/>
      <c r="K186" s="124"/>
      <c r="L186" s="123"/>
      <c r="M186" s="125"/>
      <c r="N186" s="131"/>
      <c r="O186" s="118"/>
      <c r="P186" s="455"/>
      <c r="Q186" s="455"/>
      <c r="R186" s="455"/>
      <c r="S186" s="455"/>
      <c r="T186" s="154"/>
      <c r="U186" s="155"/>
      <c r="V186" s="136"/>
      <c r="W186" s="63"/>
      <c r="X186" s="63"/>
      <c r="Y186" s="62"/>
      <c r="Z186" s="62"/>
      <c r="AA186" s="103"/>
      <c r="AB186" s="103"/>
    </row>
    <row r="187" spans="1:28" s="70" customFormat="1" ht="14.25" x14ac:dyDescent="0.2">
      <c r="A187" s="60"/>
      <c r="B187" s="146" t="s">
        <v>123</v>
      </c>
      <c r="C187" s="152">
        <v>7</v>
      </c>
      <c r="D187" s="153" t="s">
        <v>45</v>
      </c>
      <c r="E187" s="390">
        <v>0.2</v>
      </c>
      <c r="F187" s="122">
        <f>C187*E187</f>
        <v>1.4000000000000001</v>
      </c>
      <c r="G187" s="122">
        <f>$H$11*E187</f>
        <v>8</v>
      </c>
      <c r="H187" s="123">
        <f>F187*$H$11</f>
        <v>56.000000000000007</v>
      </c>
      <c r="I187" s="135">
        <v>19</v>
      </c>
      <c r="J187" s="123">
        <f>C187*I187</f>
        <v>133</v>
      </c>
      <c r="K187" s="124">
        <f>SUM(H187,J187)</f>
        <v>189</v>
      </c>
      <c r="L187" s="123">
        <f>K187/C187</f>
        <v>27</v>
      </c>
      <c r="M187" s="125">
        <f>C187*L187</f>
        <v>189</v>
      </c>
      <c r="N187" s="131">
        <v>0</v>
      </c>
      <c r="O187" s="118">
        <f>M187*N187</f>
        <v>0</v>
      </c>
      <c r="P187" s="455"/>
      <c r="Q187" s="455"/>
      <c r="R187" s="455"/>
      <c r="S187" s="455"/>
      <c r="T187" s="154"/>
      <c r="U187" s="155"/>
      <c r="V187" s="136"/>
      <c r="W187" s="63"/>
      <c r="X187" s="63"/>
      <c r="Y187" s="62"/>
      <c r="Z187" s="62"/>
      <c r="AA187" s="103"/>
      <c r="AB187" s="103"/>
    </row>
    <row r="188" spans="1:28" s="70" customFormat="1" ht="14.25" x14ac:dyDescent="0.2">
      <c r="A188" s="60"/>
      <c r="B188" s="146" t="s">
        <v>127</v>
      </c>
      <c r="C188" s="152">
        <v>17</v>
      </c>
      <c r="D188" s="153" t="s">
        <v>46</v>
      </c>
      <c r="E188" s="122">
        <v>0.1</v>
      </c>
      <c r="F188" s="122">
        <f>C188*E188</f>
        <v>1.7000000000000002</v>
      </c>
      <c r="G188" s="122">
        <f>$H$11*E188</f>
        <v>4</v>
      </c>
      <c r="H188" s="123">
        <f>F188*$H$11</f>
        <v>68</v>
      </c>
      <c r="I188" s="135">
        <v>0</v>
      </c>
      <c r="J188" s="123">
        <f>C188*I188</f>
        <v>0</v>
      </c>
      <c r="K188" s="124">
        <f>SUM(H188,J188)</f>
        <v>68</v>
      </c>
      <c r="L188" s="123">
        <f>K188/C188</f>
        <v>4</v>
      </c>
      <c r="M188" s="125">
        <f>C188*L188</f>
        <v>68</v>
      </c>
      <c r="N188" s="131">
        <v>0</v>
      </c>
      <c r="O188" s="118">
        <f>M188*N188</f>
        <v>0</v>
      </c>
      <c r="P188" s="455"/>
      <c r="Q188" s="455"/>
      <c r="R188" s="455"/>
      <c r="S188" s="455"/>
      <c r="T188" s="154"/>
      <c r="U188" s="155"/>
      <c r="V188" s="136"/>
      <c r="W188" s="63"/>
      <c r="X188" s="63"/>
      <c r="Y188" s="62"/>
      <c r="Z188" s="62"/>
      <c r="AA188" s="103"/>
      <c r="AB188" s="103"/>
    </row>
    <row r="189" spans="1:28" s="70" customFormat="1" ht="14.25" x14ac:dyDescent="0.2">
      <c r="A189" s="60"/>
      <c r="B189" s="146"/>
      <c r="C189" s="152"/>
      <c r="D189" s="153"/>
      <c r="E189" s="122"/>
      <c r="F189" s="122"/>
      <c r="G189" s="122"/>
      <c r="H189" s="123"/>
      <c r="I189" s="135"/>
      <c r="J189" s="123"/>
      <c r="K189" s="124"/>
      <c r="L189" s="123"/>
      <c r="M189" s="125"/>
      <c r="N189" s="131"/>
      <c r="O189" s="118"/>
      <c r="P189" s="455"/>
      <c r="Q189" s="455"/>
      <c r="R189" s="455"/>
      <c r="S189" s="455"/>
      <c r="T189" s="154"/>
      <c r="U189" s="155"/>
      <c r="V189" s="136"/>
      <c r="W189" s="63"/>
      <c r="X189" s="63"/>
      <c r="Y189" s="62"/>
      <c r="Z189" s="62"/>
      <c r="AA189" s="103"/>
      <c r="AB189" s="103"/>
    </row>
    <row r="190" spans="1:28" s="70" customFormat="1" ht="14.25" x14ac:dyDescent="0.2">
      <c r="A190" s="60"/>
      <c r="B190" s="146" t="s">
        <v>361</v>
      </c>
      <c r="C190" s="152">
        <v>47</v>
      </c>
      <c r="D190" s="153" t="s">
        <v>60</v>
      </c>
      <c r="E190" s="122">
        <v>0.12</v>
      </c>
      <c r="F190" s="122">
        <f>C190*E190</f>
        <v>5.64</v>
      </c>
      <c r="G190" s="122">
        <f>$H$11*E190</f>
        <v>4.8</v>
      </c>
      <c r="H190" s="123">
        <f>F190*$H$11</f>
        <v>225.6</v>
      </c>
      <c r="I190" s="135">
        <v>10</v>
      </c>
      <c r="J190" s="123">
        <f>C190*I190</f>
        <v>470</v>
      </c>
      <c r="K190" s="124">
        <f>SUM(H190,J190)</f>
        <v>695.6</v>
      </c>
      <c r="L190" s="123">
        <f>K190/C190</f>
        <v>14.8</v>
      </c>
      <c r="M190" s="125">
        <f>C190*L190</f>
        <v>695.6</v>
      </c>
      <c r="N190" s="131">
        <v>0</v>
      </c>
      <c r="O190" s="118">
        <f>M190*N190</f>
        <v>0</v>
      </c>
      <c r="P190" s="455"/>
      <c r="Q190" s="455"/>
      <c r="R190" s="455"/>
      <c r="S190" s="455"/>
      <c r="T190" s="154"/>
      <c r="U190" s="155"/>
      <c r="V190" s="136"/>
      <c r="W190" s="63"/>
      <c r="X190" s="63"/>
      <c r="Y190" s="62"/>
      <c r="Z190" s="62"/>
      <c r="AA190" s="103"/>
      <c r="AB190" s="103"/>
    </row>
    <row r="191" spans="1:28" s="70" customFormat="1" ht="14.25" x14ac:dyDescent="0.2">
      <c r="A191" s="60"/>
      <c r="B191" s="114"/>
      <c r="C191" s="152"/>
      <c r="D191" s="153"/>
      <c r="E191" s="122"/>
      <c r="F191" s="122"/>
      <c r="G191" s="122"/>
      <c r="H191" s="123"/>
      <c r="I191" s="135"/>
      <c r="J191" s="123"/>
      <c r="K191" s="124"/>
      <c r="L191" s="123"/>
      <c r="M191" s="125"/>
      <c r="N191" s="131"/>
      <c r="O191" s="118"/>
      <c r="P191" s="455"/>
      <c r="Q191" s="455"/>
      <c r="R191" s="455"/>
      <c r="S191" s="455"/>
      <c r="T191" s="154"/>
      <c r="U191" s="155"/>
      <c r="V191" s="136"/>
      <c r="W191" s="63"/>
      <c r="X191" s="63"/>
      <c r="Y191" s="62"/>
      <c r="Z191" s="62"/>
      <c r="AA191" s="103"/>
      <c r="AB191" s="103"/>
    </row>
    <row r="192" spans="1:28" s="70" customFormat="1" ht="14.25" x14ac:dyDescent="0.2">
      <c r="A192" s="60"/>
      <c r="B192" s="165" t="s">
        <v>65</v>
      </c>
      <c r="C192" s="152"/>
      <c r="D192" s="153"/>
      <c r="E192" s="122"/>
      <c r="F192" s="122"/>
      <c r="G192" s="122"/>
      <c r="H192" s="123"/>
      <c r="I192" s="135"/>
      <c r="J192" s="123"/>
      <c r="K192" s="124"/>
      <c r="L192" s="123"/>
      <c r="M192" s="125"/>
      <c r="N192" s="131"/>
      <c r="O192" s="118"/>
      <c r="P192" s="455"/>
      <c r="Q192" s="455"/>
      <c r="R192" s="455"/>
      <c r="S192" s="455"/>
      <c r="T192" s="154"/>
      <c r="U192" s="155"/>
      <c r="V192" s="136"/>
      <c r="W192" s="63"/>
      <c r="X192" s="63"/>
      <c r="Y192" s="62"/>
      <c r="Z192" s="62"/>
      <c r="AA192" s="103"/>
      <c r="AB192" s="103"/>
    </row>
    <row r="193" spans="1:28" s="70" customFormat="1" ht="14.25" x14ac:dyDescent="0.2">
      <c r="A193" s="60"/>
      <c r="B193" s="151"/>
      <c r="C193" s="152"/>
      <c r="D193" s="153"/>
      <c r="E193" s="122"/>
      <c r="F193" s="122"/>
      <c r="G193" s="122"/>
      <c r="H193" s="123"/>
      <c r="I193" s="135"/>
      <c r="J193" s="123"/>
      <c r="K193" s="124"/>
      <c r="L193" s="123"/>
      <c r="M193" s="125"/>
      <c r="N193" s="131"/>
      <c r="O193" s="118"/>
      <c r="P193" s="455"/>
      <c r="Q193" s="455"/>
      <c r="R193" s="455"/>
      <c r="S193" s="455"/>
      <c r="T193" s="154"/>
      <c r="U193" s="155"/>
      <c r="V193" s="136"/>
      <c r="W193" s="63"/>
      <c r="X193" s="63"/>
      <c r="Y193" s="62"/>
      <c r="Z193" s="62"/>
      <c r="AA193" s="103"/>
      <c r="AB193" s="103"/>
    </row>
    <row r="194" spans="1:28" s="70" customFormat="1" ht="14.25" x14ac:dyDescent="0.2">
      <c r="A194" s="60"/>
      <c r="B194" s="151" t="s">
        <v>138</v>
      </c>
      <c r="C194" s="152">
        <v>58</v>
      </c>
      <c r="D194" s="153" t="s">
        <v>45</v>
      </c>
      <c r="E194" s="392">
        <v>0.4</v>
      </c>
      <c r="F194" s="122">
        <f>C194*E194</f>
        <v>23.200000000000003</v>
      </c>
      <c r="G194" s="122">
        <f>$H$11*E194</f>
        <v>16</v>
      </c>
      <c r="H194" s="123">
        <f>F194*$H$11</f>
        <v>928.00000000000011</v>
      </c>
      <c r="I194" s="135">
        <v>32</v>
      </c>
      <c r="J194" s="123">
        <f>C194*I194</f>
        <v>1856</v>
      </c>
      <c r="K194" s="124">
        <f>SUM(H194,J194)</f>
        <v>2784</v>
      </c>
      <c r="L194" s="123">
        <f>K194/C194</f>
        <v>48</v>
      </c>
      <c r="M194" s="125">
        <f>C194*L194</f>
        <v>2784</v>
      </c>
      <c r="N194" s="131">
        <v>0</v>
      </c>
      <c r="O194" s="118">
        <f>M194*N194</f>
        <v>0</v>
      </c>
      <c r="P194" s="455"/>
      <c r="Q194" s="455"/>
      <c r="R194" s="455"/>
      <c r="S194" s="455"/>
      <c r="T194" s="154"/>
      <c r="U194" s="155"/>
      <c r="V194" s="136"/>
      <c r="W194" s="63"/>
      <c r="X194" s="63"/>
      <c r="Y194" s="62"/>
      <c r="Z194" s="62"/>
      <c r="AA194" s="103"/>
      <c r="AB194" s="103"/>
    </row>
    <row r="195" spans="1:28" s="70" customFormat="1" ht="14.25" x14ac:dyDescent="0.2">
      <c r="A195" s="60"/>
      <c r="B195" s="151" t="s">
        <v>139</v>
      </c>
      <c r="C195" s="152">
        <v>40</v>
      </c>
      <c r="D195" s="153" t="s">
        <v>46</v>
      </c>
      <c r="E195" s="122">
        <v>0.2</v>
      </c>
      <c r="F195" s="122">
        <f>C195*E195</f>
        <v>8</v>
      </c>
      <c r="G195" s="122">
        <f>$H$11*E195</f>
        <v>8</v>
      </c>
      <c r="H195" s="123">
        <f>F195*$H$11</f>
        <v>320</v>
      </c>
      <c r="I195" s="135">
        <v>0</v>
      </c>
      <c r="J195" s="123">
        <f>C195*I195</f>
        <v>0</v>
      </c>
      <c r="K195" s="124">
        <f>SUM(H195,J195)</f>
        <v>320</v>
      </c>
      <c r="L195" s="123">
        <f>K195/C195</f>
        <v>8</v>
      </c>
      <c r="M195" s="125">
        <f>C195*L195</f>
        <v>320</v>
      </c>
      <c r="N195" s="131">
        <v>0</v>
      </c>
      <c r="O195" s="118">
        <f>M195*N195</f>
        <v>0</v>
      </c>
      <c r="P195" s="455"/>
      <c r="Q195" s="455"/>
      <c r="R195" s="455"/>
      <c r="S195" s="455"/>
      <c r="T195" s="154"/>
      <c r="U195" s="155"/>
      <c r="V195" s="136"/>
      <c r="W195" s="63"/>
      <c r="X195" s="63"/>
      <c r="Y195" s="62"/>
      <c r="Z195" s="62"/>
      <c r="AA195" s="103"/>
      <c r="AB195" s="103"/>
    </row>
    <row r="196" spans="1:28" s="70" customFormat="1" ht="14.25" x14ac:dyDescent="0.2">
      <c r="A196" s="60"/>
      <c r="B196" s="151" t="s">
        <v>105</v>
      </c>
      <c r="C196" s="152">
        <v>80</v>
      </c>
      <c r="D196" s="153" t="s">
        <v>46</v>
      </c>
      <c r="E196" s="122">
        <v>0.1</v>
      </c>
      <c r="F196" s="122">
        <f>C196*E196</f>
        <v>8</v>
      </c>
      <c r="G196" s="122">
        <f>$H$11*E196</f>
        <v>4</v>
      </c>
      <c r="H196" s="123">
        <f>F196*$H$11</f>
        <v>320</v>
      </c>
      <c r="I196" s="135">
        <v>2.5</v>
      </c>
      <c r="J196" s="123">
        <f>C196*I196</f>
        <v>200</v>
      </c>
      <c r="K196" s="124">
        <f>SUM(H196,J196)</f>
        <v>520</v>
      </c>
      <c r="L196" s="123">
        <f>K196/C196</f>
        <v>6.5</v>
      </c>
      <c r="M196" s="125">
        <f>C196*L196</f>
        <v>520</v>
      </c>
      <c r="N196" s="131">
        <v>0</v>
      </c>
      <c r="O196" s="118">
        <f>M196*N196</f>
        <v>0</v>
      </c>
      <c r="P196" s="455"/>
      <c r="Q196" s="455"/>
      <c r="R196" s="455"/>
      <c r="S196" s="455"/>
      <c r="T196" s="154"/>
      <c r="U196" s="155"/>
      <c r="V196" s="136"/>
      <c r="W196" s="63"/>
      <c r="X196" s="63"/>
      <c r="Y196" s="62"/>
      <c r="Z196" s="62"/>
      <c r="AA196" s="103"/>
      <c r="AB196" s="103"/>
    </row>
    <row r="197" spans="1:28" s="70" customFormat="1" ht="14.25" x14ac:dyDescent="0.2">
      <c r="A197" s="60"/>
      <c r="B197" s="151"/>
      <c r="C197" s="152"/>
      <c r="D197" s="153"/>
      <c r="E197" s="122"/>
      <c r="F197" s="122"/>
      <c r="G197" s="122"/>
      <c r="H197" s="123"/>
      <c r="I197" s="135"/>
      <c r="J197" s="123"/>
      <c r="K197" s="124"/>
      <c r="L197" s="123"/>
      <c r="M197" s="125"/>
      <c r="N197" s="131"/>
      <c r="O197" s="118"/>
      <c r="P197" s="455"/>
      <c r="Q197" s="455"/>
      <c r="R197" s="455"/>
      <c r="S197" s="455"/>
      <c r="T197" s="154"/>
      <c r="U197" s="155"/>
      <c r="V197" s="136"/>
      <c r="W197" s="63"/>
      <c r="X197" s="63"/>
      <c r="Y197" s="62"/>
      <c r="Z197" s="62"/>
      <c r="AA197" s="103"/>
      <c r="AB197" s="103"/>
    </row>
    <row r="198" spans="1:28" s="70" customFormat="1" ht="14.25" x14ac:dyDescent="0.2">
      <c r="A198" s="60"/>
      <c r="B198" s="151" t="s">
        <v>141</v>
      </c>
      <c r="C198" s="152">
        <v>10</v>
      </c>
      <c r="D198" s="153" t="s">
        <v>45</v>
      </c>
      <c r="E198" s="392">
        <v>0.4</v>
      </c>
      <c r="F198" s="122">
        <f>C198*E198</f>
        <v>4</v>
      </c>
      <c r="G198" s="122">
        <f>$H$11*E198</f>
        <v>16</v>
      </c>
      <c r="H198" s="123">
        <f>F198*$H$11</f>
        <v>160</v>
      </c>
      <c r="I198" s="135">
        <v>32</v>
      </c>
      <c r="J198" s="123">
        <f>C198*I198</f>
        <v>320</v>
      </c>
      <c r="K198" s="124">
        <f>SUM(H198,J198)</f>
        <v>480</v>
      </c>
      <c r="L198" s="123">
        <f>K198/C198</f>
        <v>48</v>
      </c>
      <c r="M198" s="125">
        <f>C198*L198</f>
        <v>480</v>
      </c>
      <c r="N198" s="131">
        <v>0</v>
      </c>
      <c r="O198" s="118">
        <f>M198*N198</f>
        <v>0</v>
      </c>
      <c r="P198" s="455"/>
      <c r="Q198" s="455"/>
      <c r="R198" s="455"/>
      <c r="S198" s="455"/>
      <c r="T198" s="154"/>
      <c r="U198" s="155"/>
      <c r="V198" s="136"/>
      <c r="W198" s="63"/>
      <c r="X198" s="63"/>
      <c r="Y198" s="62"/>
      <c r="Z198" s="62"/>
      <c r="AA198" s="103"/>
      <c r="AB198" s="103"/>
    </row>
    <row r="199" spans="1:28" s="70" customFormat="1" ht="14.25" x14ac:dyDescent="0.2">
      <c r="A199" s="60"/>
      <c r="B199" s="151" t="s">
        <v>139</v>
      </c>
      <c r="C199" s="152">
        <v>10</v>
      </c>
      <c r="D199" s="153" t="s">
        <v>46</v>
      </c>
      <c r="E199" s="122">
        <v>0.2</v>
      </c>
      <c r="F199" s="122">
        <f>C199*E199</f>
        <v>2</v>
      </c>
      <c r="G199" s="122">
        <f>$H$11*E199</f>
        <v>8</v>
      </c>
      <c r="H199" s="123">
        <f>F199*$H$11</f>
        <v>80</v>
      </c>
      <c r="I199" s="135">
        <v>0</v>
      </c>
      <c r="J199" s="123">
        <f>C199*I199</f>
        <v>0</v>
      </c>
      <c r="K199" s="124">
        <f>SUM(H199,J199)</f>
        <v>80</v>
      </c>
      <c r="L199" s="123">
        <f>K199/C199</f>
        <v>8</v>
      </c>
      <c r="M199" s="125">
        <f>C199*L199</f>
        <v>80</v>
      </c>
      <c r="N199" s="131">
        <v>0</v>
      </c>
      <c r="O199" s="118">
        <f>M199*N199</f>
        <v>0</v>
      </c>
      <c r="P199" s="455"/>
      <c r="Q199" s="455"/>
      <c r="R199" s="455"/>
      <c r="S199" s="455"/>
      <c r="T199" s="265">
        <f>SUM(C198,C194,C187,C182,C181,C180,C179,C178,C177,C174,C173,C171,C170,C169,C167,C165)</f>
        <v>2300</v>
      </c>
      <c r="U199" s="155"/>
      <c r="V199" s="136"/>
      <c r="W199" s="63"/>
      <c r="X199" s="63"/>
      <c r="Y199" s="62"/>
      <c r="Z199" s="62"/>
      <c r="AA199" s="103"/>
      <c r="AB199" s="103"/>
    </row>
    <row r="200" spans="1:28" s="70" customFormat="1" ht="14.25" x14ac:dyDescent="0.2">
      <c r="A200" s="60"/>
      <c r="B200" s="151" t="s">
        <v>105</v>
      </c>
      <c r="C200" s="152">
        <v>20</v>
      </c>
      <c r="D200" s="153" t="s">
        <v>46</v>
      </c>
      <c r="E200" s="122">
        <v>0.1</v>
      </c>
      <c r="F200" s="122">
        <f>C200*E200</f>
        <v>2</v>
      </c>
      <c r="G200" s="122">
        <f>$H$11*E200</f>
        <v>4</v>
      </c>
      <c r="H200" s="123">
        <f>F200*$H$11</f>
        <v>80</v>
      </c>
      <c r="I200" s="135">
        <v>2.5</v>
      </c>
      <c r="J200" s="123">
        <f>C200*I200</f>
        <v>50</v>
      </c>
      <c r="K200" s="124">
        <f>SUM(H200,J200)</f>
        <v>130</v>
      </c>
      <c r="L200" s="123">
        <f>K200/C200</f>
        <v>6.5</v>
      </c>
      <c r="M200" s="125">
        <f>C200*L200</f>
        <v>130</v>
      </c>
      <c r="N200" s="131">
        <v>0</v>
      </c>
      <c r="O200" s="118">
        <f>M200*N200</f>
        <v>0</v>
      </c>
      <c r="P200" s="455"/>
      <c r="Q200" s="455"/>
      <c r="R200" s="455"/>
      <c r="S200" s="455"/>
      <c r="T200" s="154"/>
      <c r="U200" s="155"/>
      <c r="V200" s="136"/>
      <c r="W200" s="63"/>
      <c r="X200" s="63"/>
      <c r="Y200" s="62"/>
      <c r="Z200" s="62"/>
      <c r="AA200" s="103"/>
      <c r="AB200" s="103"/>
    </row>
    <row r="201" spans="1:28" s="70" customFormat="1" ht="14.25" x14ac:dyDescent="0.2">
      <c r="A201" s="60"/>
      <c r="B201" s="151"/>
      <c r="C201" s="152"/>
      <c r="D201" s="153"/>
      <c r="E201" s="122"/>
      <c r="F201" s="122"/>
      <c r="G201" s="122"/>
      <c r="H201" s="123"/>
      <c r="I201" s="135"/>
      <c r="J201" s="123"/>
      <c r="K201" s="124"/>
      <c r="L201" s="123"/>
      <c r="M201" s="125">
        <f>-T163</f>
        <v>-1942</v>
      </c>
      <c r="N201" s="131"/>
      <c r="O201" s="118"/>
      <c r="P201" s="455"/>
      <c r="Q201" s="455"/>
      <c r="R201" s="455"/>
      <c r="S201" s="455"/>
      <c r="T201" s="154"/>
      <c r="U201" s="155"/>
      <c r="V201" s="136"/>
      <c r="W201" s="63"/>
      <c r="X201" s="63"/>
      <c r="Y201" s="62"/>
      <c r="Z201" s="62"/>
      <c r="AA201" s="103"/>
      <c r="AB201" s="103"/>
    </row>
    <row r="202" spans="1:28" s="70" customFormat="1" ht="14.25" x14ac:dyDescent="0.2">
      <c r="A202" s="60"/>
      <c r="B202" s="151"/>
      <c r="C202" s="152"/>
      <c r="D202" s="153"/>
      <c r="E202" s="122"/>
      <c r="F202" s="122"/>
      <c r="G202" s="122"/>
      <c r="H202" s="123"/>
      <c r="I202" s="135"/>
      <c r="J202" s="123"/>
      <c r="K202" s="124"/>
      <c r="L202" s="123"/>
      <c r="M202" s="125"/>
      <c r="N202" s="131"/>
      <c r="O202" s="118"/>
      <c r="P202" s="452">
        <f>SUM(M165:M201)</f>
        <v>69786.060000000012</v>
      </c>
      <c r="Q202" s="450">
        <f>P202*SUM($L$585:$L$589)</f>
        <v>6629.6757000000016</v>
      </c>
      <c r="R202" s="266"/>
      <c r="S202" s="266"/>
      <c r="T202" s="154"/>
      <c r="U202" s="155"/>
      <c r="V202" s="136"/>
      <c r="W202" s="63"/>
      <c r="X202" s="63"/>
      <c r="Y202" s="62"/>
      <c r="Z202" s="62"/>
      <c r="AA202" s="103"/>
      <c r="AB202" s="103"/>
    </row>
    <row r="203" spans="1:28" s="70" customFormat="1" ht="14.25" x14ac:dyDescent="0.2">
      <c r="A203" s="60"/>
      <c r="B203" s="151"/>
      <c r="C203" s="152"/>
      <c r="D203" s="153"/>
      <c r="E203" s="122"/>
      <c r="F203" s="122"/>
      <c r="G203" s="122"/>
      <c r="H203" s="123"/>
      <c r="I203" s="135"/>
      <c r="J203" s="123"/>
      <c r="K203" s="124"/>
      <c r="L203" s="123"/>
      <c r="M203" s="125"/>
      <c r="N203" s="131"/>
      <c r="O203" s="118"/>
      <c r="P203" s="451">
        <f>P202/$M$582</f>
        <v>0.17923841231056004</v>
      </c>
      <c r="Q203" s="452">
        <f>P203*$M$593</f>
        <v>1513.3282870753217</v>
      </c>
      <c r="R203" s="452">
        <f>SUM(P202,Q202,Q203)</f>
        <v>77929.063987075337</v>
      </c>
      <c r="S203" s="452">
        <f>R203*1.08</f>
        <v>84163.389106041373</v>
      </c>
      <c r="T203" s="154"/>
      <c r="U203" s="155"/>
      <c r="V203" s="136"/>
      <c r="W203" s="63"/>
      <c r="X203" s="63"/>
      <c r="Y203" s="62"/>
      <c r="Z203" s="62"/>
      <c r="AA203" s="103"/>
      <c r="AB203" s="103"/>
    </row>
    <row r="204" spans="1:28" s="70" customFormat="1" ht="14.25" x14ac:dyDescent="0.2">
      <c r="A204" s="60"/>
      <c r="B204" s="168"/>
      <c r="C204" s="152"/>
      <c r="D204" s="153"/>
      <c r="E204" s="122"/>
      <c r="F204" s="122"/>
      <c r="G204" s="122"/>
      <c r="H204" s="123"/>
      <c r="I204" s="135"/>
      <c r="J204" s="123"/>
      <c r="K204" s="124"/>
      <c r="L204" s="123"/>
      <c r="M204" s="125"/>
      <c r="N204" s="131"/>
      <c r="O204" s="118"/>
      <c r="P204" s="455"/>
      <c r="Q204" s="455"/>
      <c r="R204" s="455"/>
      <c r="S204" s="455"/>
      <c r="T204" s="154"/>
      <c r="U204" s="155"/>
      <c r="V204" s="136"/>
      <c r="W204" s="63"/>
      <c r="X204" s="63"/>
      <c r="Y204" s="62"/>
      <c r="Z204" s="62"/>
      <c r="AA204" s="103"/>
      <c r="AB204" s="103"/>
    </row>
    <row r="205" spans="1:28" s="70" customFormat="1" ht="15" x14ac:dyDescent="0.2">
      <c r="A205" s="60"/>
      <c r="B205" s="169" t="s">
        <v>67</v>
      </c>
      <c r="C205" s="152"/>
      <c r="D205" s="153"/>
      <c r="E205" s="122"/>
      <c r="F205" s="122"/>
      <c r="G205" s="122"/>
      <c r="H205" s="123"/>
      <c r="I205" s="135"/>
      <c r="J205" s="123"/>
      <c r="K205" s="124"/>
      <c r="L205" s="123"/>
      <c r="M205" s="125"/>
      <c r="N205" s="131"/>
      <c r="O205" s="118"/>
      <c r="P205" s="455"/>
      <c r="Q205" s="455"/>
      <c r="R205" s="455"/>
      <c r="S205" s="455"/>
      <c r="T205" s="394">
        <f>SUM(C207,C209,C211,C212,C213,C214,C217,C220,C221,C221,C222,C230,C230,C234,C240,C240,C244,C244,C248,C248)</f>
        <v>1207</v>
      </c>
      <c r="U205" s="155"/>
      <c r="V205" s="136"/>
      <c r="W205" s="63"/>
      <c r="X205" s="63"/>
      <c r="Y205" s="62"/>
      <c r="Z205" s="62"/>
      <c r="AA205" s="103"/>
      <c r="AB205" s="103"/>
    </row>
    <row r="206" spans="1:28" s="70" customFormat="1" ht="14.25" x14ac:dyDescent="0.2">
      <c r="A206" s="60"/>
      <c r="B206" s="165" t="s">
        <v>72</v>
      </c>
      <c r="C206" s="152"/>
      <c r="D206" s="153"/>
      <c r="E206" s="122"/>
      <c r="F206" s="122"/>
      <c r="G206" s="122"/>
      <c r="H206" s="123"/>
      <c r="I206" s="135"/>
      <c r="J206" s="123"/>
      <c r="K206" s="124"/>
      <c r="L206" s="123"/>
      <c r="M206" s="125"/>
      <c r="N206" s="131"/>
      <c r="O206" s="118"/>
      <c r="P206" s="455"/>
      <c r="Q206" s="455"/>
      <c r="R206" s="455"/>
      <c r="S206" s="455"/>
      <c r="T206" s="154"/>
      <c r="U206" s="155"/>
      <c r="V206" s="136"/>
      <c r="W206" s="63"/>
      <c r="X206" s="63"/>
      <c r="Y206" s="62"/>
      <c r="Z206" s="62"/>
      <c r="AA206" s="103"/>
      <c r="AB206" s="103"/>
    </row>
    <row r="207" spans="1:28" s="70" customFormat="1" ht="14.25" x14ac:dyDescent="0.2">
      <c r="A207" s="60"/>
      <c r="B207" s="146" t="s">
        <v>133</v>
      </c>
      <c r="C207" s="152">
        <v>185</v>
      </c>
      <c r="D207" s="153" t="s">
        <v>45</v>
      </c>
      <c r="E207" s="390">
        <v>0.2</v>
      </c>
      <c r="F207" s="122">
        <f t="shared" ref="F207:F223" si="24">C207*E207</f>
        <v>37</v>
      </c>
      <c r="G207" s="122">
        <f t="shared" ref="G207:G223" si="25">$H$11*E207</f>
        <v>8</v>
      </c>
      <c r="H207" s="123">
        <f t="shared" ref="H207:H223" si="26">F207*$H$11</f>
        <v>1480</v>
      </c>
      <c r="I207" s="135">
        <v>17.87</v>
      </c>
      <c r="J207" s="123">
        <f t="shared" ref="J207:J223" si="27">C207*I207</f>
        <v>3305.9500000000003</v>
      </c>
      <c r="K207" s="124">
        <f t="shared" ref="K207:K223" si="28">SUM(H207,J207)</f>
        <v>4785.9500000000007</v>
      </c>
      <c r="L207" s="123">
        <f t="shared" ref="L207:L223" si="29">K207/C207</f>
        <v>25.870000000000005</v>
      </c>
      <c r="M207" s="125">
        <f t="shared" ref="M207:M223" si="30">C207*L207</f>
        <v>4785.9500000000007</v>
      </c>
      <c r="N207" s="131">
        <v>0</v>
      </c>
      <c r="O207" s="118">
        <f t="shared" ref="O207:O223" si="31">M207*N207</f>
        <v>0</v>
      </c>
      <c r="P207" s="455"/>
      <c r="Q207" s="455"/>
      <c r="R207" s="455"/>
      <c r="S207" s="455"/>
      <c r="T207" s="154"/>
      <c r="U207" s="155"/>
      <c r="V207" s="136"/>
      <c r="W207" s="63"/>
      <c r="X207" s="63"/>
      <c r="Y207" s="62"/>
      <c r="Z207" s="62"/>
      <c r="AA207" s="103"/>
      <c r="AB207" s="103"/>
    </row>
    <row r="208" spans="1:28" s="70" customFormat="1" ht="14.25" x14ac:dyDescent="0.2">
      <c r="A208" s="60"/>
      <c r="B208" s="146" t="s">
        <v>105</v>
      </c>
      <c r="C208" s="152">
        <v>88</v>
      </c>
      <c r="D208" s="153" t="s">
        <v>46</v>
      </c>
      <c r="E208" s="122">
        <v>0.1</v>
      </c>
      <c r="F208" s="122">
        <f t="shared" si="24"/>
        <v>8.8000000000000007</v>
      </c>
      <c r="G208" s="122">
        <f t="shared" si="25"/>
        <v>4</v>
      </c>
      <c r="H208" s="123">
        <f t="shared" si="26"/>
        <v>352</v>
      </c>
      <c r="I208" s="135">
        <v>2.5</v>
      </c>
      <c r="J208" s="123">
        <f t="shared" si="27"/>
        <v>220</v>
      </c>
      <c r="K208" s="124">
        <f t="shared" si="28"/>
        <v>572</v>
      </c>
      <c r="L208" s="123">
        <f t="shared" si="29"/>
        <v>6.5</v>
      </c>
      <c r="M208" s="125">
        <f t="shared" si="30"/>
        <v>572</v>
      </c>
      <c r="N208" s="131">
        <v>0</v>
      </c>
      <c r="O208" s="118">
        <f t="shared" si="31"/>
        <v>0</v>
      </c>
      <c r="P208" s="455"/>
      <c r="Q208" s="455"/>
      <c r="R208" s="455"/>
      <c r="S208" s="455"/>
      <c r="T208" s="154"/>
      <c r="U208" s="155"/>
      <c r="V208" s="136"/>
      <c r="W208" s="63"/>
      <c r="X208" s="63"/>
      <c r="Y208" s="62"/>
      <c r="Z208" s="62"/>
      <c r="AA208" s="103"/>
      <c r="AB208" s="103"/>
    </row>
    <row r="209" spans="1:28" s="70" customFormat="1" ht="14.25" x14ac:dyDescent="0.2">
      <c r="A209" s="60"/>
      <c r="B209" s="146" t="s">
        <v>135</v>
      </c>
      <c r="C209" s="152">
        <v>16</v>
      </c>
      <c r="D209" s="153" t="s">
        <v>45</v>
      </c>
      <c r="E209" s="122">
        <v>0.2</v>
      </c>
      <c r="F209" s="122">
        <f t="shared" si="24"/>
        <v>3.2</v>
      </c>
      <c r="G209" s="122">
        <f t="shared" si="25"/>
        <v>8</v>
      </c>
      <c r="H209" s="123">
        <f t="shared" si="26"/>
        <v>128</v>
      </c>
      <c r="I209" s="135">
        <v>16</v>
      </c>
      <c r="J209" s="123">
        <f t="shared" si="27"/>
        <v>256</v>
      </c>
      <c r="K209" s="124">
        <f t="shared" si="28"/>
        <v>384</v>
      </c>
      <c r="L209" s="123">
        <f t="shared" si="29"/>
        <v>24</v>
      </c>
      <c r="M209" s="125">
        <f t="shared" si="30"/>
        <v>384</v>
      </c>
      <c r="N209" s="131">
        <v>0</v>
      </c>
      <c r="O209" s="118">
        <f t="shared" si="31"/>
        <v>0</v>
      </c>
      <c r="P209" s="455"/>
      <c r="Q209" s="455"/>
      <c r="R209" s="455"/>
      <c r="S209" s="455"/>
      <c r="T209" s="154"/>
      <c r="U209" s="155"/>
      <c r="V209" s="136"/>
      <c r="W209" s="63"/>
      <c r="X209" s="63"/>
      <c r="Y209" s="62"/>
      <c r="Z209" s="62"/>
      <c r="AA209" s="103"/>
      <c r="AB209" s="103"/>
    </row>
    <row r="210" spans="1:28" s="70" customFormat="1" ht="14.25" x14ac:dyDescent="0.2">
      <c r="A210" s="60"/>
      <c r="B210" s="146" t="s">
        <v>105</v>
      </c>
      <c r="C210" s="152">
        <v>8</v>
      </c>
      <c r="D210" s="153" t="s">
        <v>46</v>
      </c>
      <c r="E210" s="122">
        <v>0.1</v>
      </c>
      <c r="F210" s="122">
        <f t="shared" si="24"/>
        <v>0.8</v>
      </c>
      <c r="G210" s="122">
        <f t="shared" si="25"/>
        <v>4</v>
      </c>
      <c r="H210" s="123">
        <f t="shared" si="26"/>
        <v>32</v>
      </c>
      <c r="I210" s="135">
        <v>2.5</v>
      </c>
      <c r="J210" s="123">
        <f t="shared" si="27"/>
        <v>20</v>
      </c>
      <c r="K210" s="124">
        <f t="shared" si="28"/>
        <v>52</v>
      </c>
      <c r="L210" s="123">
        <f t="shared" si="29"/>
        <v>6.5</v>
      </c>
      <c r="M210" s="125">
        <f t="shared" si="30"/>
        <v>52</v>
      </c>
      <c r="N210" s="131">
        <v>0</v>
      </c>
      <c r="O210" s="118">
        <f t="shared" si="31"/>
        <v>0</v>
      </c>
      <c r="P210" s="455"/>
      <c r="Q210" s="455"/>
      <c r="R210" s="455"/>
      <c r="S210" s="455"/>
      <c r="T210" s="154"/>
      <c r="U210" s="155"/>
      <c r="V210" s="136"/>
      <c r="W210" s="63"/>
      <c r="X210" s="63"/>
      <c r="Y210" s="62"/>
      <c r="Z210" s="62"/>
      <c r="AA210" s="103"/>
      <c r="AB210" s="103"/>
    </row>
    <row r="211" spans="1:28" s="70" customFormat="1" ht="14.25" x14ac:dyDescent="0.2">
      <c r="A211" s="60"/>
      <c r="B211" s="146" t="s">
        <v>115</v>
      </c>
      <c r="C211" s="152">
        <v>26</v>
      </c>
      <c r="D211" s="153" t="s">
        <v>45</v>
      </c>
      <c r="E211" s="122">
        <v>0.2</v>
      </c>
      <c r="F211" s="122">
        <f t="shared" si="24"/>
        <v>5.2</v>
      </c>
      <c r="G211" s="122">
        <f t="shared" si="25"/>
        <v>8</v>
      </c>
      <c r="H211" s="123">
        <f t="shared" si="26"/>
        <v>208</v>
      </c>
      <c r="I211" s="135">
        <v>13.51</v>
      </c>
      <c r="J211" s="123">
        <f t="shared" si="27"/>
        <v>351.26</v>
      </c>
      <c r="K211" s="124">
        <f t="shared" si="28"/>
        <v>559.26</v>
      </c>
      <c r="L211" s="123">
        <f t="shared" si="29"/>
        <v>21.509999999999998</v>
      </c>
      <c r="M211" s="125">
        <f t="shared" si="30"/>
        <v>559.26</v>
      </c>
      <c r="N211" s="131">
        <v>0</v>
      </c>
      <c r="O211" s="118">
        <f t="shared" si="31"/>
        <v>0</v>
      </c>
      <c r="P211" s="455"/>
      <c r="Q211" s="455"/>
      <c r="R211" s="455"/>
      <c r="S211" s="455"/>
      <c r="T211" s="154"/>
      <c r="U211" s="155"/>
      <c r="V211" s="136"/>
      <c r="W211" s="63"/>
      <c r="X211" s="63"/>
      <c r="Y211" s="62"/>
      <c r="Z211" s="62"/>
      <c r="AA211" s="103"/>
      <c r="AB211" s="103"/>
    </row>
    <row r="212" spans="1:28" s="70" customFormat="1" ht="14.25" x14ac:dyDescent="0.2">
      <c r="A212" s="60"/>
      <c r="B212" s="146" t="s">
        <v>134</v>
      </c>
      <c r="C212" s="152">
        <v>160</v>
      </c>
      <c r="D212" s="153" t="s">
        <v>45</v>
      </c>
      <c r="E212" s="122">
        <v>0.2</v>
      </c>
      <c r="F212" s="122">
        <f t="shared" si="24"/>
        <v>32</v>
      </c>
      <c r="G212" s="122">
        <f t="shared" si="25"/>
        <v>8</v>
      </c>
      <c r="H212" s="123">
        <f t="shared" si="26"/>
        <v>1280</v>
      </c>
      <c r="I212" s="135">
        <v>13.51</v>
      </c>
      <c r="J212" s="123">
        <f t="shared" si="27"/>
        <v>2161.6</v>
      </c>
      <c r="K212" s="124">
        <f t="shared" si="28"/>
        <v>3441.6</v>
      </c>
      <c r="L212" s="123">
        <f t="shared" si="29"/>
        <v>21.509999999999998</v>
      </c>
      <c r="M212" s="125">
        <f t="shared" si="30"/>
        <v>3441.5999999999995</v>
      </c>
      <c r="N212" s="131">
        <v>0</v>
      </c>
      <c r="O212" s="118">
        <f t="shared" si="31"/>
        <v>0</v>
      </c>
      <c r="P212" s="455"/>
      <c r="Q212" s="455"/>
      <c r="R212" s="455"/>
      <c r="S212" s="455"/>
      <c r="T212" s="154"/>
      <c r="U212" s="155"/>
      <c r="V212" s="136"/>
      <c r="W212" s="63"/>
      <c r="X212" s="63"/>
      <c r="Y212" s="62"/>
      <c r="Z212" s="62"/>
      <c r="AA212" s="103"/>
      <c r="AB212" s="103"/>
    </row>
    <row r="213" spans="1:28" s="70" customFormat="1" ht="14.25" x14ac:dyDescent="0.2">
      <c r="A213" s="60"/>
      <c r="B213" s="146" t="s">
        <v>103</v>
      </c>
      <c r="C213" s="152">
        <v>42</v>
      </c>
      <c r="D213" s="153" t="s">
        <v>45</v>
      </c>
      <c r="E213" s="122">
        <v>0.2</v>
      </c>
      <c r="F213" s="122">
        <f t="shared" si="24"/>
        <v>8.4</v>
      </c>
      <c r="G213" s="122">
        <f t="shared" si="25"/>
        <v>8</v>
      </c>
      <c r="H213" s="123">
        <f t="shared" si="26"/>
        <v>336</v>
      </c>
      <c r="I213" s="135">
        <v>13.51</v>
      </c>
      <c r="J213" s="123">
        <f t="shared" si="27"/>
        <v>567.41999999999996</v>
      </c>
      <c r="K213" s="124">
        <f t="shared" si="28"/>
        <v>903.42</v>
      </c>
      <c r="L213" s="123">
        <f t="shared" si="29"/>
        <v>21.509999999999998</v>
      </c>
      <c r="M213" s="125">
        <f t="shared" si="30"/>
        <v>903.42</v>
      </c>
      <c r="N213" s="131">
        <v>0</v>
      </c>
      <c r="O213" s="118">
        <f t="shared" si="31"/>
        <v>0</v>
      </c>
      <c r="P213" s="455"/>
      <c r="Q213" s="455"/>
      <c r="R213" s="455"/>
      <c r="S213" s="455"/>
      <c r="T213" s="154"/>
      <c r="U213" s="155"/>
      <c r="V213" s="136"/>
      <c r="W213" s="63"/>
      <c r="X213" s="63"/>
      <c r="Y213" s="62"/>
      <c r="Z213" s="62"/>
      <c r="AA213" s="103"/>
      <c r="AB213" s="103"/>
    </row>
    <row r="214" spans="1:28" s="70" customFormat="1" ht="14.25" x14ac:dyDescent="0.2">
      <c r="A214" s="60"/>
      <c r="B214" s="146" t="s">
        <v>136</v>
      </c>
      <c r="C214" s="152">
        <v>128</v>
      </c>
      <c r="D214" s="153" t="s">
        <v>45</v>
      </c>
      <c r="E214" s="390">
        <v>0.25</v>
      </c>
      <c r="F214" s="122">
        <f t="shared" si="24"/>
        <v>32</v>
      </c>
      <c r="G214" s="122">
        <f t="shared" si="25"/>
        <v>10</v>
      </c>
      <c r="H214" s="123">
        <f t="shared" si="26"/>
        <v>1280</v>
      </c>
      <c r="I214" s="135">
        <v>16</v>
      </c>
      <c r="J214" s="123">
        <f t="shared" si="27"/>
        <v>2048</v>
      </c>
      <c r="K214" s="124">
        <f t="shared" si="28"/>
        <v>3328</v>
      </c>
      <c r="L214" s="123">
        <f t="shared" si="29"/>
        <v>26</v>
      </c>
      <c r="M214" s="125">
        <f t="shared" si="30"/>
        <v>3328</v>
      </c>
      <c r="N214" s="131">
        <v>0</v>
      </c>
      <c r="O214" s="118">
        <f t="shared" si="31"/>
        <v>0</v>
      </c>
      <c r="P214" s="455"/>
      <c r="Q214" s="455"/>
      <c r="R214" s="455"/>
      <c r="S214" s="455"/>
      <c r="T214" s="154"/>
      <c r="U214" s="155"/>
      <c r="V214" s="136"/>
      <c r="W214" s="63"/>
      <c r="X214" s="63"/>
      <c r="Y214" s="62"/>
      <c r="Z214" s="62"/>
      <c r="AA214" s="103"/>
      <c r="AB214" s="103"/>
    </row>
    <row r="215" spans="1:28" s="70" customFormat="1" ht="14.25" x14ac:dyDescent="0.2">
      <c r="A215" s="60"/>
      <c r="B215" s="146" t="s">
        <v>105</v>
      </c>
      <c r="C215" s="152">
        <v>72</v>
      </c>
      <c r="D215" s="153" t="s">
        <v>46</v>
      </c>
      <c r="E215" s="122">
        <v>0.1</v>
      </c>
      <c r="F215" s="122">
        <f t="shared" si="24"/>
        <v>7.2</v>
      </c>
      <c r="G215" s="122">
        <f t="shared" si="25"/>
        <v>4</v>
      </c>
      <c r="H215" s="123">
        <f t="shared" si="26"/>
        <v>288</v>
      </c>
      <c r="I215" s="135">
        <v>2.5</v>
      </c>
      <c r="J215" s="123">
        <f t="shared" si="27"/>
        <v>180</v>
      </c>
      <c r="K215" s="124">
        <f t="shared" si="28"/>
        <v>468</v>
      </c>
      <c r="L215" s="123">
        <f t="shared" si="29"/>
        <v>6.5</v>
      </c>
      <c r="M215" s="125">
        <f t="shared" si="30"/>
        <v>468</v>
      </c>
      <c r="N215" s="131">
        <v>0</v>
      </c>
      <c r="O215" s="118">
        <f t="shared" si="31"/>
        <v>0</v>
      </c>
      <c r="P215" s="455"/>
      <c r="Q215" s="455"/>
      <c r="R215" s="455"/>
      <c r="S215" s="455"/>
      <c r="T215" s="154"/>
      <c r="U215" s="155"/>
      <c r="V215" s="136"/>
      <c r="W215" s="63"/>
      <c r="X215" s="63"/>
      <c r="Y215" s="62"/>
      <c r="Z215" s="62"/>
      <c r="AA215" s="103"/>
      <c r="AB215" s="103"/>
    </row>
    <row r="216" spans="1:28" s="70" customFormat="1" ht="14.25" x14ac:dyDescent="0.2">
      <c r="A216" s="60"/>
      <c r="B216" s="151" t="s">
        <v>358</v>
      </c>
      <c r="C216" s="152">
        <v>36</v>
      </c>
      <c r="D216" s="153" t="s">
        <v>46</v>
      </c>
      <c r="E216" s="310">
        <v>0.2</v>
      </c>
      <c r="F216" s="122">
        <f t="shared" si="24"/>
        <v>7.2</v>
      </c>
      <c r="G216" s="122">
        <f t="shared" si="25"/>
        <v>8</v>
      </c>
      <c r="H216" s="123">
        <f t="shared" si="26"/>
        <v>288</v>
      </c>
      <c r="I216" s="135">
        <v>6</v>
      </c>
      <c r="J216" s="123">
        <f t="shared" si="27"/>
        <v>216</v>
      </c>
      <c r="K216" s="124">
        <f t="shared" si="28"/>
        <v>504</v>
      </c>
      <c r="L216" s="123">
        <f t="shared" si="29"/>
        <v>14</v>
      </c>
      <c r="M216" s="125">
        <f t="shared" si="30"/>
        <v>504</v>
      </c>
      <c r="N216" s="131">
        <v>0</v>
      </c>
      <c r="O216" s="118">
        <f t="shared" si="31"/>
        <v>0</v>
      </c>
      <c r="P216" s="455"/>
      <c r="Q216" s="455"/>
      <c r="R216" s="455"/>
      <c r="S216" s="455"/>
      <c r="T216" s="154"/>
      <c r="U216" s="155"/>
      <c r="V216" s="136"/>
      <c r="W216" s="63"/>
      <c r="X216" s="63"/>
      <c r="Y216" s="62"/>
      <c r="Z216" s="62"/>
      <c r="AA216" s="103"/>
      <c r="AB216" s="103"/>
    </row>
    <row r="217" spans="1:28" s="70" customFormat="1" ht="14.25" x14ac:dyDescent="0.2">
      <c r="A217" s="60"/>
      <c r="B217" s="146" t="s">
        <v>116</v>
      </c>
      <c r="C217" s="152">
        <v>198</v>
      </c>
      <c r="D217" s="153" t="s">
        <v>45</v>
      </c>
      <c r="E217" s="122">
        <v>0.35</v>
      </c>
      <c r="F217" s="122">
        <f t="shared" si="24"/>
        <v>69.3</v>
      </c>
      <c r="G217" s="122">
        <f t="shared" si="25"/>
        <v>14</v>
      </c>
      <c r="H217" s="123">
        <f t="shared" si="26"/>
        <v>2772</v>
      </c>
      <c r="I217" s="135">
        <v>16</v>
      </c>
      <c r="J217" s="123">
        <f t="shared" si="27"/>
        <v>3168</v>
      </c>
      <c r="K217" s="124">
        <f t="shared" si="28"/>
        <v>5940</v>
      </c>
      <c r="L217" s="123">
        <f t="shared" si="29"/>
        <v>30</v>
      </c>
      <c r="M217" s="125">
        <f t="shared" si="30"/>
        <v>5940</v>
      </c>
      <c r="N217" s="131">
        <v>0</v>
      </c>
      <c r="O217" s="118">
        <f t="shared" si="31"/>
        <v>0</v>
      </c>
      <c r="P217" s="455"/>
      <c r="Q217" s="455"/>
      <c r="R217" s="455"/>
      <c r="S217" s="455"/>
      <c r="T217" s="154"/>
      <c r="U217" s="155"/>
      <c r="V217" s="136"/>
      <c r="W217" s="63"/>
      <c r="X217" s="63"/>
      <c r="Y217" s="62"/>
      <c r="Z217" s="62"/>
      <c r="AA217" s="103"/>
      <c r="AB217" s="103"/>
    </row>
    <row r="218" spans="1:28" s="70" customFormat="1" ht="14.25" x14ac:dyDescent="0.2">
      <c r="A218" s="60"/>
      <c r="B218" s="264" t="s">
        <v>105</v>
      </c>
      <c r="C218" s="152">
        <v>112</v>
      </c>
      <c r="D218" s="153" t="s">
        <v>46</v>
      </c>
      <c r="E218" s="310">
        <v>0.1</v>
      </c>
      <c r="F218" s="122">
        <f t="shared" si="24"/>
        <v>11.200000000000001</v>
      </c>
      <c r="G218" s="122">
        <f t="shared" si="25"/>
        <v>4</v>
      </c>
      <c r="H218" s="123">
        <f t="shared" si="26"/>
        <v>448.00000000000006</v>
      </c>
      <c r="I218" s="135">
        <v>2.5</v>
      </c>
      <c r="J218" s="123">
        <f t="shared" si="27"/>
        <v>280</v>
      </c>
      <c r="K218" s="124">
        <f t="shared" si="28"/>
        <v>728</v>
      </c>
      <c r="L218" s="123">
        <f t="shared" si="29"/>
        <v>6.5</v>
      </c>
      <c r="M218" s="125">
        <f t="shared" si="30"/>
        <v>728</v>
      </c>
      <c r="N218" s="131">
        <v>0</v>
      </c>
      <c r="O218" s="118">
        <f t="shared" si="31"/>
        <v>0</v>
      </c>
      <c r="P218" s="455"/>
      <c r="Q218" s="455"/>
      <c r="R218" s="455"/>
      <c r="S218" s="455"/>
      <c r="T218" s="154"/>
      <c r="U218" s="155"/>
      <c r="V218" s="136"/>
      <c r="W218" s="63"/>
      <c r="X218" s="63"/>
      <c r="Y218" s="62"/>
      <c r="Z218" s="62"/>
      <c r="AA218" s="103"/>
      <c r="AB218" s="103"/>
    </row>
    <row r="219" spans="1:28" s="70" customFormat="1" ht="14.25" x14ac:dyDescent="0.2">
      <c r="A219" s="60"/>
      <c r="B219" s="151" t="s">
        <v>358</v>
      </c>
      <c r="C219" s="152">
        <v>56</v>
      </c>
      <c r="D219" s="153" t="s">
        <v>46</v>
      </c>
      <c r="E219" s="310">
        <v>0.2</v>
      </c>
      <c r="F219" s="122">
        <f t="shared" si="24"/>
        <v>11.200000000000001</v>
      </c>
      <c r="G219" s="122">
        <f t="shared" si="25"/>
        <v>8</v>
      </c>
      <c r="H219" s="123">
        <f t="shared" si="26"/>
        <v>448.00000000000006</v>
      </c>
      <c r="I219" s="135">
        <v>6</v>
      </c>
      <c r="J219" s="123">
        <f t="shared" si="27"/>
        <v>336</v>
      </c>
      <c r="K219" s="124">
        <f t="shared" si="28"/>
        <v>784</v>
      </c>
      <c r="L219" s="123">
        <f t="shared" si="29"/>
        <v>14</v>
      </c>
      <c r="M219" s="125">
        <f t="shared" si="30"/>
        <v>784</v>
      </c>
      <c r="N219" s="131">
        <v>0</v>
      </c>
      <c r="O219" s="118">
        <f t="shared" si="31"/>
        <v>0</v>
      </c>
      <c r="P219" s="455"/>
      <c r="Q219" s="455"/>
      <c r="R219" s="455"/>
      <c r="S219" s="455"/>
      <c r="T219" s="154"/>
      <c r="U219" s="155"/>
      <c r="V219" s="136"/>
      <c r="W219" s="63"/>
      <c r="X219" s="63"/>
      <c r="Y219" s="62"/>
      <c r="Z219" s="62"/>
      <c r="AA219" s="103"/>
      <c r="AB219" s="103"/>
    </row>
    <row r="220" spans="1:28" s="70" customFormat="1" ht="14.25" x14ac:dyDescent="0.2">
      <c r="A220" s="60"/>
      <c r="B220" s="146" t="s">
        <v>118</v>
      </c>
      <c r="C220" s="152">
        <v>69</v>
      </c>
      <c r="D220" s="153" t="s">
        <v>45</v>
      </c>
      <c r="E220" s="122">
        <v>0.2</v>
      </c>
      <c r="F220" s="122">
        <f t="shared" si="24"/>
        <v>13.8</v>
      </c>
      <c r="G220" s="122">
        <f t="shared" si="25"/>
        <v>8</v>
      </c>
      <c r="H220" s="123">
        <f t="shared" si="26"/>
        <v>552</v>
      </c>
      <c r="I220" s="135">
        <v>13.51</v>
      </c>
      <c r="J220" s="123">
        <f t="shared" si="27"/>
        <v>932.18999999999994</v>
      </c>
      <c r="K220" s="124">
        <f t="shared" si="28"/>
        <v>1484.19</v>
      </c>
      <c r="L220" s="123">
        <f t="shared" si="29"/>
        <v>21.51</v>
      </c>
      <c r="M220" s="125">
        <f t="shared" si="30"/>
        <v>1484.19</v>
      </c>
      <c r="N220" s="131">
        <v>0</v>
      </c>
      <c r="O220" s="118">
        <f t="shared" si="31"/>
        <v>0</v>
      </c>
      <c r="P220" s="455"/>
      <c r="Q220" s="455"/>
      <c r="R220" s="455"/>
      <c r="S220" s="455"/>
      <c r="T220" s="154"/>
      <c r="U220" s="155"/>
      <c r="V220" s="136"/>
      <c r="W220" s="63"/>
      <c r="X220" s="63"/>
      <c r="Y220" s="62"/>
      <c r="Z220" s="62"/>
      <c r="AA220" s="103"/>
      <c r="AB220" s="103"/>
    </row>
    <row r="221" spans="1:28" s="70" customFormat="1" ht="14.25" x14ac:dyDescent="0.2">
      <c r="A221" s="60"/>
      <c r="B221" s="146" t="s">
        <v>146</v>
      </c>
      <c r="C221" s="152">
        <v>64</v>
      </c>
      <c r="D221" s="153" t="s">
        <v>45</v>
      </c>
      <c r="E221" s="390">
        <v>0.4</v>
      </c>
      <c r="F221" s="122">
        <f t="shared" si="24"/>
        <v>25.6</v>
      </c>
      <c r="G221" s="122">
        <f t="shared" si="25"/>
        <v>16</v>
      </c>
      <c r="H221" s="123">
        <f t="shared" si="26"/>
        <v>1024</v>
      </c>
      <c r="I221" s="135">
        <v>33</v>
      </c>
      <c r="J221" s="123">
        <f t="shared" si="27"/>
        <v>2112</v>
      </c>
      <c r="K221" s="124">
        <f t="shared" si="28"/>
        <v>3136</v>
      </c>
      <c r="L221" s="123">
        <f t="shared" si="29"/>
        <v>49</v>
      </c>
      <c r="M221" s="125">
        <f t="shared" si="30"/>
        <v>3136</v>
      </c>
      <c r="N221" s="131">
        <v>0</v>
      </c>
      <c r="O221" s="118">
        <f t="shared" si="31"/>
        <v>0</v>
      </c>
      <c r="P221" s="455"/>
      <c r="Q221" s="455"/>
      <c r="R221" s="455"/>
      <c r="S221" s="455"/>
      <c r="T221" s="154"/>
      <c r="U221" s="155"/>
      <c r="V221" s="136"/>
      <c r="W221" s="63"/>
      <c r="X221" s="63"/>
      <c r="Y221" s="62"/>
      <c r="Z221" s="62"/>
      <c r="AA221" s="103"/>
      <c r="AB221" s="103"/>
    </row>
    <row r="222" spans="1:28" s="70" customFormat="1" ht="14.25" x14ac:dyDescent="0.2">
      <c r="A222" s="60"/>
      <c r="B222" s="146" t="s">
        <v>122</v>
      </c>
      <c r="C222" s="152">
        <v>64</v>
      </c>
      <c r="D222" s="153" t="s">
        <v>45</v>
      </c>
      <c r="E222" s="390">
        <v>0.2</v>
      </c>
      <c r="F222" s="122">
        <f t="shared" si="24"/>
        <v>12.8</v>
      </c>
      <c r="G222" s="122">
        <f t="shared" si="25"/>
        <v>8</v>
      </c>
      <c r="H222" s="123">
        <f t="shared" si="26"/>
        <v>512</v>
      </c>
      <c r="I222" s="135">
        <v>17.87</v>
      </c>
      <c r="J222" s="123">
        <f t="shared" si="27"/>
        <v>1143.68</v>
      </c>
      <c r="K222" s="124">
        <f t="shared" si="28"/>
        <v>1655.68</v>
      </c>
      <c r="L222" s="123">
        <f t="shared" si="29"/>
        <v>25.87</v>
      </c>
      <c r="M222" s="125">
        <f t="shared" si="30"/>
        <v>1655.68</v>
      </c>
      <c r="N222" s="131">
        <v>0</v>
      </c>
      <c r="O222" s="118">
        <f t="shared" si="31"/>
        <v>0</v>
      </c>
      <c r="P222" s="455"/>
      <c r="Q222" s="455"/>
      <c r="R222" s="455"/>
      <c r="S222" s="455"/>
      <c r="T222" s="154"/>
      <c r="U222" s="155"/>
      <c r="V222" s="136"/>
      <c r="W222" s="63"/>
      <c r="X222" s="63"/>
      <c r="Y222" s="62"/>
      <c r="Z222" s="62"/>
      <c r="AA222" s="103"/>
      <c r="AB222" s="103"/>
    </row>
    <row r="223" spans="1:28" s="70" customFormat="1" ht="14.25" x14ac:dyDescent="0.2">
      <c r="A223" s="60"/>
      <c r="B223" s="146" t="s">
        <v>105</v>
      </c>
      <c r="C223" s="152">
        <v>60</v>
      </c>
      <c r="D223" s="153" t="s">
        <v>46</v>
      </c>
      <c r="E223" s="122">
        <v>0.1</v>
      </c>
      <c r="F223" s="122">
        <f t="shared" si="24"/>
        <v>6</v>
      </c>
      <c r="G223" s="122">
        <f t="shared" si="25"/>
        <v>4</v>
      </c>
      <c r="H223" s="123">
        <f t="shared" si="26"/>
        <v>240</v>
      </c>
      <c r="I223" s="135">
        <v>2.5</v>
      </c>
      <c r="J223" s="123">
        <f t="shared" si="27"/>
        <v>150</v>
      </c>
      <c r="K223" s="124">
        <f t="shared" si="28"/>
        <v>390</v>
      </c>
      <c r="L223" s="123">
        <f t="shared" si="29"/>
        <v>6.5</v>
      </c>
      <c r="M223" s="125">
        <f t="shared" si="30"/>
        <v>390</v>
      </c>
      <c r="N223" s="131">
        <v>0</v>
      </c>
      <c r="O223" s="118">
        <f t="shared" si="31"/>
        <v>0</v>
      </c>
      <c r="P223" s="455"/>
      <c r="Q223" s="455"/>
      <c r="R223" s="455"/>
      <c r="S223" s="455"/>
      <c r="T223" s="154"/>
      <c r="U223" s="155"/>
      <c r="V223" s="136"/>
      <c r="W223" s="63"/>
      <c r="X223" s="63"/>
      <c r="Y223" s="62"/>
      <c r="Z223" s="62"/>
      <c r="AA223" s="103"/>
      <c r="AB223" s="103"/>
    </row>
    <row r="224" spans="1:28" s="70" customFormat="1" ht="14.25" x14ac:dyDescent="0.2">
      <c r="A224" s="60"/>
      <c r="B224" s="146" t="s">
        <v>269</v>
      </c>
      <c r="C224" s="152">
        <v>20</v>
      </c>
      <c r="D224" s="153" t="s">
        <v>45</v>
      </c>
      <c r="E224" s="390">
        <v>0.2</v>
      </c>
      <c r="F224" s="122">
        <f>C224*E224</f>
        <v>4</v>
      </c>
      <c r="G224" s="122">
        <f>$H$11*E224</f>
        <v>8</v>
      </c>
      <c r="H224" s="123">
        <f>F224*$H$11</f>
        <v>160</v>
      </c>
      <c r="I224" s="135">
        <v>25</v>
      </c>
      <c r="J224" s="123">
        <f>C224*I224</f>
        <v>500</v>
      </c>
      <c r="K224" s="124">
        <f>SUM(H224,J224)</f>
        <v>660</v>
      </c>
      <c r="L224" s="123">
        <f>K224/C224</f>
        <v>33</v>
      </c>
      <c r="M224" s="125">
        <f>C224*L224</f>
        <v>660</v>
      </c>
      <c r="N224" s="131">
        <v>0</v>
      </c>
      <c r="O224" s="118">
        <f>M224*N224</f>
        <v>0</v>
      </c>
      <c r="P224" s="455"/>
      <c r="Q224" s="455"/>
      <c r="R224" s="455"/>
      <c r="S224" s="455"/>
      <c r="T224" s="154"/>
      <c r="U224" s="155"/>
      <c r="V224" s="136"/>
      <c r="W224" s="63"/>
      <c r="X224" s="63"/>
      <c r="Y224" s="62"/>
      <c r="Z224" s="62"/>
      <c r="AA224" s="103"/>
      <c r="AB224" s="103"/>
    </row>
    <row r="225" spans="1:28" s="70" customFormat="1" ht="14.25" x14ac:dyDescent="0.2">
      <c r="A225" s="60"/>
      <c r="B225" s="165"/>
      <c r="C225" s="152"/>
      <c r="D225" s="153"/>
      <c r="E225" s="122"/>
      <c r="F225" s="122"/>
      <c r="G225" s="122"/>
      <c r="H225" s="123"/>
      <c r="I225" s="135"/>
      <c r="J225" s="123"/>
      <c r="K225" s="124"/>
      <c r="L225" s="123"/>
      <c r="M225" s="125"/>
      <c r="N225" s="131"/>
      <c r="O225" s="118"/>
      <c r="P225" s="455"/>
      <c r="Q225" s="455"/>
      <c r="R225" s="455"/>
      <c r="S225" s="455"/>
      <c r="T225" s="154"/>
      <c r="U225" s="155"/>
      <c r="V225" s="136"/>
      <c r="W225" s="63"/>
      <c r="X225" s="63"/>
      <c r="Y225" s="62"/>
      <c r="Z225" s="62"/>
      <c r="AA225" s="103"/>
      <c r="AB225" s="103"/>
    </row>
    <row r="226" spans="1:28" s="70" customFormat="1" ht="14.25" x14ac:dyDescent="0.2">
      <c r="A226" s="60"/>
      <c r="B226" s="146" t="s">
        <v>129</v>
      </c>
      <c r="C226" s="152">
        <v>125</v>
      </c>
      <c r="D226" s="153" t="s">
        <v>45</v>
      </c>
      <c r="E226" s="122">
        <v>0.02</v>
      </c>
      <c r="F226" s="122">
        <f>C226*E226</f>
        <v>2.5</v>
      </c>
      <c r="G226" s="122">
        <f>$H$11*E226</f>
        <v>0.8</v>
      </c>
      <c r="H226" s="123">
        <f>F226*$H$11</f>
        <v>100</v>
      </c>
      <c r="I226" s="135">
        <v>10.48</v>
      </c>
      <c r="J226" s="123">
        <f>C226*I226</f>
        <v>1310</v>
      </c>
      <c r="K226" s="124">
        <f>SUM(H226,J226)</f>
        <v>1410</v>
      </c>
      <c r="L226" s="123">
        <f>K226/C226</f>
        <v>11.28</v>
      </c>
      <c r="M226" s="125">
        <f>C226*L226</f>
        <v>1410</v>
      </c>
      <c r="N226" s="131">
        <v>0</v>
      </c>
      <c r="O226" s="118">
        <f>M226*N226</f>
        <v>0</v>
      </c>
      <c r="P226" s="455"/>
      <c r="Q226" s="455"/>
      <c r="R226" s="455"/>
      <c r="S226" s="455"/>
      <c r="T226" s="154"/>
      <c r="U226" s="155"/>
      <c r="V226" s="136"/>
      <c r="W226" s="63"/>
      <c r="X226" s="63"/>
      <c r="Y226" s="62"/>
      <c r="Z226" s="62"/>
      <c r="AA226" s="103"/>
      <c r="AB226" s="103"/>
    </row>
    <row r="227" spans="1:28" s="70" customFormat="1" ht="14.25" x14ac:dyDescent="0.2">
      <c r="A227" s="60"/>
      <c r="B227" s="146" t="s">
        <v>132</v>
      </c>
      <c r="C227" s="152">
        <v>12</v>
      </c>
      <c r="D227" s="153" t="s">
        <v>45</v>
      </c>
      <c r="E227" s="122">
        <v>0</v>
      </c>
      <c r="F227" s="122">
        <f>C227*E227</f>
        <v>0</v>
      </c>
      <c r="G227" s="122">
        <f>$H$11*E227</f>
        <v>0</v>
      </c>
      <c r="H227" s="123">
        <f>F227*$H$11</f>
        <v>0</v>
      </c>
      <c r="I227" s="135">
        <v>9</v>
      </c>
      <c r="J227" s="123">
        <f>C227*I227</f>
        <v>108</v>
      </c>
      <c r="K227" s="124">
        <f>SUM(H227,J227)</f>
        <v>108</v>
      </c>
      <c r="L227" s="123">
        <f>K227/C227</f>
        <v>9</v>
      </c>
      <c r="M227" s="125">
        <f>C227*L227</f>
        <v>108</v>
      </c>
      <c r="N227" s="131">
        <v>0</v>
      </c>
      <c r="O227" s="118">
        <f>M227*N227</f>
        <v>0</v>
      </c>
      <c r="P227" s="455"/>
      <c r="Q227" s="455"/>
      <c r="R227" s="455"/>
      <c r="S227" s="455"/>
      <c r="T227" s="154"/>
      <c r="U227" s="155"/>
      <c r="V227" s="136"/>
      <c r="W227" s="63"/>
      <c r="X227" s="63"/>
      <c r="Y227" s="62"/>
      <c r="Z227" s="62"/>
      <c r="AA227" s="103"/>
      <c r="AB227" s="103"/>
    </row>
    <row r="228" spans="1:28" s="70" customFormat="1" ht="14.25" x14ac:dyDescent="0.2">
      <c r="A228" s="60"/>
      <c r="B228" s="146" t="s">
        <v>131</v>
      </c>
      <c r="C228" s="152">
        <v>62</v>
      </c>
      <c r="D228" s="153" t="s">
        <v>45</v>
      </c>
      <c r="E228" s="122">
        <v>0</v>
      </c>
      <c r="F228" s="122">
        <f>C228*E228</f>
        <v>0</v>
      </c>
      <c r="G228" s="122">
        <f>$H$11*E228</f>
        <v>0</v>
      </c>
      <c r="H228" s="123">
        <f>F228*$H$11</f>
        <v>0</v>
      </c>
      <c r="I228" s="135">
        <v>6</v>
      </c>
      <c r="J228" s="123">
        <f>C228*I228</f>
        <v>372</v>
      </c>
      <c r="K228" s="124">
        <f>SUM(H228,J228)</f>
        <v>372</v>
      </c>
      <c r="L228" s="123">
        <f>K228/C228</f>
        <v>6</v>
      </c>
      <c r="M228" s="125">
        <f>C228*L228</f>
        <v>372</v>
      </c>
      <c r="N228" s="131">
        <v>0</v>
      </c>
      <c r="O228" s="118">
        <f>M228*N228</f>
        <v>0</v>
      </c>
      <c r="P228" s="455"/>
      <c r="Q228" s="455"/>
      <c r="R228" s="455"/>
      <c r="S228" s="455"/>
      <c r="T228" s="154"/>
      <c r="U228" s="155"/>
      <c r="V228" s="136"/>
      <c r="W228" s="63"/>
      <c r="X228" s="63"/>
      <c r="Y228" s="62"/>
      <c r="Z228" s="62"/>
      <c r="AA228" s="103"/>
      <c r="AB228" s="103"/>
    </row>
    <row r="229" spans="1:28" s="70" customFormat="1" ht="14.25" x14ac:dyDescent="0.2">
      <c r="A229" s="60"/>
      <c r="B229" s="146"/>
      <c r="C229" s="152"/>
      <c r="D229" s="153"/>
      <c r="E229" s="122"/>
      <c r="F229" s="122"/>
      <c r="G229" s="122"/>
      <c r="H229" s="123"/>
      <c r="I229" s="135"/>
      <c r="J229" s="123"/>
      <c r="K229" s="124"/>
      <c r="L229" s="123"/>
      <c r="M229" s="125"/>
      <c r="N229" s="131"/>
      <c r="O229" s="118"/>
      <c r="P229" s="455"/>
      <c r="Q229" s="455"/>
      <c r="R229" s="455"/>
      <c r="S229" s="455"/>
      <c r="T229" s="154"/>
      <c r="U229" s="155"/>
      <c r="V229" s="136"/>
      <c r="W229" s="63"/>
      <c r="X229" s="63"/>
      <c r="Y229" s="62"/>
      <c r="Z229" s="62"/>
      <c r="AA229" s="103"/>
      <c r="AB229" s="103"/>
    </row>
    <row r="230" spans="1:28" s="70" customFormat="1" ht="14.25" x14ac:dyDescent="0.2">
      <c r="A230" s="60"/>
      <c r="B230" s="146" t="s">
        <v>126</v>
      </c>
      <c r="C230" s="152">
        <v>12</v>
      </c>
      <c r="D230" s="153" t="s">
        <v>45</v>
      </c>
      <c r="E230" s="390">
        <v>0.4</v>
      </c>
      <c r="F230" s="122">
        <f>C230*E230</f>
        <v>4.8000000000000007</v>
      </c>
      <c r="G230" s="122">
        <f>$H$11*E230</f>
        <v>16</v>
      </c>
      <c r="H230" s="123">
        <f>F230*$H$11</f>
        <v>192.00000000000003</v>
      </c>
      <c r="I230" s="135">
        <v>32</v>
      </c>
      <c r="J230" s="123">
        <f>C230*I230</f>
        <v>384</v>
      </c>
      <c r="K230" s="124">
        <f>SUM(H230,J230)</f>
        <v>576</v>
      </c>
      <c r="L230" s="123">
        <f>K230/C230</f>
        <v>48</v>
      </c>
      <c r="M230" s="125">
        <f>C230*L230</f>
        <v>576</v>
      </c>
      <c r="N230" s="131">
        <v>0</v>
      </c>
      <c r="O230" s="118">
        <f>M230*N230</f>
        <v>0</v>
      </c>
      <c r="P230" s="455"/>
      <c r="Q230" s="455"/>
      <c r="R230" s="455"/>
      <c r="S230" s="455"/>
      <c r="T230" s="154"/>
      <c r="U230" s="155"/>
      <c r="V230" s="136"/>
      <c r="W230" s="63"/>
      <c r="X230" s="63"/>
      <c r="Y230" s="62"/>
      <c r="Z230" s="62"/>
      <c r="AA230" s="103"/>
      <c r="AB230" s="103"/>
    </row>
    <row r="231" spans="1:28" s="70" customFormat="1" ht="14.25" x14ac:dyDescent="0.2">
      <c r="A231" s="60"/>
      <c r="B231" s="146" t="s">
        <v>105</v>
      </c>
      <c r="C231" s="152">
        <v>12</v>
      </c>
      <c r="D231" s="153" t="s">
        <v>46</v>
      </c>
      <c r="E231" s="122">
        <v>0.1</v>
      </c>
      <c r="F231" s="122">
        <f>C231*E231</f>
        <v>1.2000000000000002</v>
      </c>
      <c r="G231" s="122">
        <f>$H$11*E231</f>
        <v>4</v>
      </c>
      <c r="H231" s="123">
        <f>F231*$H$11</f>
        <v>48.000000000000007</v>
      </c>
      <c r="I231" s="135">
        <v>2.5</v>
      </c>
      <c r="J231" s="123">
        <f>C231*I231</f>
        <v>30</v>
      </c>
      <c r="K231" s="124">
        <f>SUM(H231,J231)</f>
        <v>78</v>
      </c>
      <c r="L231" s="123">
        <f>K231/C231</f>
        <v>6.5</v>
      </c>
      <c r="M231" s="125">
        <f>C231*L231</f>
        <v>78</v>
      </c>
      <c r="N231" s="131">
        <v>0</v>
      </c>
      <c r="O231" s="118">
        <f>M231*N231</f>
        <v>0</v>
      </c>
      <c r="P231" s="455"/>
      <c r="Q231" s="455"/>
      <c r="R231" s="455"/>
      <c r="S231" s="455"/>
      <c r="T231" s="154"/>
      <c r="U231" s="155"/>
      <c r="V231" s="136"/>
      <c r="W231" s="63"/>
      <c r="X231" s="63"/>
      <c r="Y231" s="62"/>
      <c r="Z231" s="62"/>
      <c r="AA231" s="103"/>
      <c r="AB231" s="103"/>
    </row>
    <row r="232" spans="1:28" s="70" customFormat="1" ht="14.25" x14ac:dyDescent="0.2">
      <c r="A232" s="60"/>
      <c r="B232" s="146" t="s">
        <v>127</v>
      </c>
      <c r="C232" s="152">
        <v>34</v>
      </c>
      <c r="D232" s="153" t="s">
        <v>46</v>
      </c>
      <c r="E232" s="122">
        <v>0.2</v>
      </c>
      <c r="F232" s="122">
        <f>C232*E232</f>
        <v>6.8000000000000007</v>
      </c>
      <c r="G232" s="122">
        <f>$H$11*E232</f>
        <v>8</v>
      </c>
      <c r="H232" s="123">
        <f>F232*$H$11</f>
        <v>272</v>
      </c>
      <c r="I232" s="135">
        <v>0</v>
      </c>
      <c r="J232" s="123">
        <f>C232*I232</f>
        <v>0</v>
      </c>
      <c r="K232" s="124">
        <f>SUM(H232,J232)</f>
        <v>272</v>
      </c>
      <c r="L232" s="123">
        <f>K232/C232</f>
        <v>8</v>
      </c>
      <c r="M232" s="125">
        <f>C232*L232</f>
        <v>272</v>
      </c>
      <c r="N232" s="131">
        <v>0</v>
      </c>
      <c r="O232" s="118">
        <f>M232*N232</f>
        <v>0</v>
      </c>
      <c r="P232" s="455"/>
      <c r="Q232" s="455"/>
      <c r="R232" s="455"/>
      <c r="S232" s="455"/>
      <c r="T232" s="154"/>
      <c r="U232" s="155"/>
      <c r="V232" s="136"/>
      <c r="W232" s="63"/>
      <c r="X232" s="63"/>
      <c r="Y232" s="62"/>
      <c r="Z232" s="62"/>
      <c r="AA232" s="103"/>
      <c r="AB232" s="103"/>
    </row>
    <row r="233" spans="1:28" s="70" customFormat="1" ht="14.25" x14ac:dyDescent="0.2">
      <c r="A233" s="60"/>
      <c r="B233" s="146"/>
      <c r="C233" s="152"/>
      <c r="D233" s="153"/>
      <c r="E233" s="122"/>
      <c r="F233" s="122"/>
      <c r="G233" s="122"/>
      <c r="H233" s="123"/>
      <c r="I233" s="135"/>
      <c r="J233" s="123"/>
      <c r="K233" s="124"/>
      <c r="L233" s="123"/>
      <c r="M233" s="125"/>
      <c r="N233" s="131"/>
      <c r="O233" s="118"/>
      <c r="P233" s="455"/>
      <c r="Q233" s="455"/>
      <c r="R233" s="455"/>
      <c r="S233" s="455"/>
      <c r="T233" s="154"/>
      <c r="U233" s="155"/>
      <c r="V233" s="136"/>
      <c r="W233" s="63"/>
      <c r="X233" s="63"/>
      <c r="Y233" s="62"/>
      <c r="Z233" s="62"/>
      <c r="AA233" s="103"/>
      <c r="AB233" s="103"/>
    </row>
    <row r="234" spans="1:28" s="70" customFormat="1" ht="14.25" x14ac:dyDescent="0.2">
      <c r="A234" s="60"/>
      <c r="B234" s="146" t="s">
        <v>123</v>
      </c>
      <c r="C234" s="152">
        <v>7</v>
      </c>
      <c r="D234" s="153" t="s">
        <v>45</v>
      </c>
      <c r="E234" s="390">
        <v>0.2</v>
      </c>
      <c r="F234" s="122">
        <f>C234*E234</f>
        <v>1.4000000000000001</v>
      </c>
      <c r="G234" s="122">
        <f>$H$11*E234</f>
        <v>8</v>
      </c>
      <c r="H234" s="123">
        <f>F234*$H$11</f>
        <v>56.000000000000007</v>
      </c>
      <c r="I234" s="135">
        <v>17.87</v>
      </c>
      <c r="J234" s="123">
        <f>C234*I234</f>
        <v>125.09</v>
      </c>
      <c r="K234" s="124">
        <f>SUM(H234,J234)</f>
        <v>181.09</v>
      </c>
      <c r="L234" s="123">
        <f>K234/C234</f>
        <v>25.87</v>
      </c>
      <c r="M234" s="125">
        <f>C234*L234</f>
        <v>181.09</v>
      </c>
      <c r="N234" s="131">
        <v>0</v>
      </c>
      <c r="O234" s="118">
        <f>M234*N234</f>
        <v>0</v>
      </c>
      <c r="P234" s="455"/>
      <c r="Q234" s="455"/>
      <c r="R234" s="455"/>
      <c r="S234" s="455"/>
      <c r="T234" s="154"/>
      <c r="U234" s="155"/>
      <c r="V234" s="136"/>
      <c r="W234" s="63"/>
      <c r="X234" s="63"/>
      <c r="Y234" s="62"/>
      <c r="Z234" s="62"/>
      <c r="AA234" s="103"/>
      <c r="AB234" s="103"/>
    </row>
    <row r="235" spans="1:28" s="70" customFormat="1" ht="14.25" x14ac:dyDescent="0.2">
      <c r="A235" s="60"/>
      <c r="B235" s="146" t="s">
        <v>127</v>
      </c>
      <c r="C235" s="152">
        <v>17</v>
      </c>
      <c r="D235" s="153" t="s">
        <v>46</v>
      </c>
      <c r="E235" s="122">
        <v>0.1</v>
      </c>
      <c r="F235" s="122">
        <f>C235*E235</f>
        <v>1.7000000000000002</v>
      </c>
      <c r="G235" s="122">
        <f>$H$11*E235</f>
        <v>4</v>
      </c>
      <c r="H235" s="123">
        <f>F235*$H$11</f>
        <v>68</v>
      </c>
      <c r="I235" s="135">
        <v>0</v>
      </c>
      <c r="J235" s="123">
        <f>C235*I235</f>
        <v>0</v>
      </c>
      <c r="K235" s="124">
        <f>SUM(H235,J235)</f>
        <v>68</v>
      </c>
      <c r="L235" s="123">
        <f>K235/C235</f>
        <v>4</v>
      </c>
      <c r="M235" s="125">
        <f>C235*L235</f>
        <v>68</v>
      </c>
      <c r="N235" s="131">
        <v>0</v>
      </c>
      <c r="O235" s="118">
        <f>M235*N235</f>
        <v>0</v>
      </c>
      <c r="P235" s="455"/>
      <c r="Q235" s="455"/>
      <c r="R235" s="455"/>
      <c r="S235" s="455"/>
      <c r="T235" s="154"/>
      <c r="U235" s="155"/>
      <c r="V235" s="136"/>
      <c r="W235" s="63"/>
      <c r="X235" s="63"/>
      <c r="Y235" s="62"/>
      <c r="Z235" s="62"/>
      <c r="AA235" s="103"/>
      <c r="AB235" s="103"/>
    </row>
    <row r="236" spans="1:28" s="70" customFormat="1" ht="14.25" x14ac:dyDescent="0.2">
      <c r="A236" s="60"/>
      <c r="B236" s="146"/>
      <c r="C236" s="152"/>
      <c r="D236" s="153"/>
      <c r="E236" s="122"/>
      <c r="F236" s="122"/>
      <c r="G236" s="122"/>
      <c r="H236" s="123"/>
      <c r="I236" s="135"/>
      <c r="J236" s="123"/>
      <c r="K236" s="124"/>
      <c r="L236" s="123"/>
      <c r="M236" s="125"/>
      <c r="N236" s="131"/>
      <c r="O236" s="118"/>
      <c r="P236" s="455"/>
      <c r="Q236" s="455"/>
      <c r="R236" s="455"/>
      <c r="S236" s="455"/>
      <c r="T236" s="154"/>
      <c r="U236" s="155"/>
      <c r="V236" s="136"/>
      <c r="W236" s="63"/>
      <c r="X236" s="63"/>
      <c r="Y236" s="62"/>
      <c r="Z236" s="62"/>
      <c r="AA236" s="103"/>
      <c r="AB236" s="103"/>
    </row>
    <row r="237" spans="1:28" s="70" customFormat="1" ht="14.25" x14ac:dyDescent="0.2">
      <c r="A237" s="60"/>
      <c r="B237" s="146" t="s">
        <v>361</v>
      </c>
      <c r="C237" s="152">
        <v>44</v>
      </c>
      <c r="D237" s="153" t="s">
        <v>60</v>
      </c>
      <c r="E237" s="122">
        <v>0.12</v>
      </c>
      <c r="F237" s="122">
        <f>C237*E237</f>
        <v>5.2799999999999994</v>
      </c>
      <c r="G237" s="122">
        <f>$H$11*E237</f>
        <v>4.8</v>
      </c>
      <c r="H237" s="123">
        <f>F237*$H$11</f>
        <v>211.2</v>
      </c>
      <c r="I237" s="135">
        <v>10</v>
      </c>
      <c r="J237" s="123">
        <f>C237*I237</f>
        <v>440</v>
      </c>
      <c r="K237" s="124">
        <f>SUM(H237,J237)</f>
        <v>651.20000000000005</v>
      </c>
      <c r="L237" s="123">
        <f>K237/C237</f>
        <v>14.8</v>
      </c>
      <c r="M237" s="125">
        <f>C237*L237</f>
        <v>651.20000000000005</v>
      </c>
      <c r="N237" s="131">
        <v>0</v>
      </c>
      <c r="O237" s="118">
        <f>M237*N237</f>
        <v>0</v>
      </c>
      <c r="P237" s="455"/>
      <c r="Q237" s="455"/>
      <c r="R237" s="455"/>
      <c r="S237" s="455"/>
      <c r="T237" s="154"/>
      <c r="U237" s="155"/>
      <c r="V237" s="136"/>
      <c r="W237" s="63"/>
      <c r="X237" s="63"/>
      <c r="Y237" s="62"/>
      <c r="Z237" s="62"/>
      <c r="AA237" s="103"/>
      <c r="AB237" s="103"/>
    </row>
    <row r="238" spans="1:28" s="70" customFormat="1" ht="14.25" x14ac:dyDescent="0.2">
      <c r="A238" s="60"/>
      <c r="B238" s="146"/>
      <c r="C238" s="152"/>
      <c r="D238" s="153"/>
      <c r="E238" s="122"/>
      <c r="F238" s="122"/>
      <c r="G238" s="122"/>
      <c r="H238" s="123"/>
      <c r="I238" s="135"/>
      <c r="J238" s="123"/>
      <c r="K238" s="124"/>
      <c r="L238" s="123"/>
      <c r="M238" s="125"/>
      <c r="N238" s="131"/>
      <c r="O238" s="118"/>
      <c r="P238" s="455"/>
      <c r="Q238" s="455"/>
      <c r="R238" s="455"/>
      <c r="S238" s="455"/>
      <c r="T238" s="154"/>
      <c r="U238" s="155"/>
      <c r="V238" s="136"/>
      <c r="W238" s="63"/>
      <c r="X238" s="63"/>
      <c r="Y238" s="62"/>
      <c r="Z238" s="62"/>
      <c r="AA238" s="103"/>
      <c r="AB238" s="103"/>
    </row>
    <row r="239" spans="1:28" s="70" customFormat="1" ht="14.25" x14ac:dyDescent="0.2">
      <c r="A239" s="60"/>
      <c r="B239" s="165" t="s">
        <v>65</v>
      </c>
      <c r="C239" s="152"/>
      <c r="D239" s="153"/>
      <c r="E239" s="122"/>
      <c r="F239" s="122"/>
      <c r="G239" s="122"/>
      <c r="H239" s="123"/>
      <c r="I239" s="135"/>
      <c r="J239" s="123"/>
      <c r="K239" s="124"/>
      <c r="L239" s="123"/>
      <c r="M239" s="125"/>
      <c r="N239" s="131"/>
      <c r="O239" s="118"/>
      <c r="P239" s="455"/>
      <c r="Q239" s="455"/>
      <c r="R239" s="455"/>
      <c r="S239" s="455"/>
      <c r="T239" s="154"/>
      <c r="U239" s="155"/>
      <c r="V239" s="136"/>
      <c r="W239" s="63"/>
      <c r="X239" s="63"/>
      <c r="Y239" s="62"/>
      <c r="Z239" s="62"/>
      <c r="AA239" s="103"/>
      <c r="AB239" s="103"/>
    </row>
    <row r="240" spans="1:28" s="70" customFormat="1" ht="14.25" x14ac:dyDescent="0.2">
      <c r="A240" s="60"/>
      <c r="B240" s="151" t="s">
        <v>138</v>
      </c>
      <c r="C240" s="152">
        <v>60</v>
      </c>
      <c r="D240" s="153" t="s">
        <v>45</v>
      </c>
      <c r="E240" s="392">
        <v>0.4</v>
      </c>
      <c r="F240" s="122">
        <f>C240*E240</f>
        <v>24</v>
      </c>
      <c r="G240" s="122">
        <f>$H$11*E240</f>
        <v>16</v>
      </c>
      <c r="H240" s="123">
        <f>F240*$H$11</f>
        <v>960</v>
      </c>
      <c r="I240" s="135">
        <v>32</v>
      </c>
      <c r="J240" s="123">
        <f>C240*I240</f>
        <v>1920</v>
      </c>
      <c r="K240" s="124">
        <f>SUM(H240,J240)</f>
        <v>2880</v>
      </c>
      <c r="L240" s="123">
        <f>K240/C240</f>
        <v>48</v>
      </c>
      <c r="M240" s="125">
        <f>C240*L240</f>
        <v>2880</v>
      </c>
      <c r="N240" s="131">
        <v>0</v>
      </c>
      <c r="O240" s="118">
        <f>M240*N240</f>
        <v>0</v>
      </c>
      <c r="P240" s="455"/>
      <c r="Q240" s="455"/>
      <c r="R240" s="455"/>
      <c r="S240" s="455"/>
      <c r="T240" s="154"/>
      <c r="U240" s="155"/>
      <c r="V240" s="136"/>
      <c r="W240" s="63"/>
      <c r="X240" s="63"/>
      <c r="Y240" s="62"/>
      <c r="Z240" s="62"/>
      <c r="AA240" s="103"/>
      <c r="AB240" s="103"/>
    </row>
    <row r="241" spans="1:28" s="70" customFormat="1" ht="14.25" x14ac:dyDescent="0.2">
      <c r="A241" s="60"/>
      <c r="B241" s="151" t="s">
        <v>139</v>
      </c>
      <c r="C241" s="152">
        <v>41</v>
      </c>
      <c r="D241" s="153" t="s">
        <v>46</v>
      </c>
      <c r="E241" s="122">
        <v>0.2</v>
      </c>
      <c r="F241" s="122">
        <f>C241*E241</f>
        <v>8.2000000000000011</v>
      </c>
      <c r="G241" s="122">
        <f>$H$11*E241</f>
        <v>8</v>
      </c>
      <c r="H241" s="123">
        <f>F241*$H$11</f>
        <v>328.00000000000006</v>
      </c>
      <c r="I241" s="135">
        <v>0</v>
      </c>
      <c r="J241" s="123">
        <f>C241*I241</f>
        <v>0</v>
      </c>
      <c r="K241" s="124">
        <f>SUM(H241,J241)</f>
        <v>328.00000000000006</v>
      </c>
      <c r="L241" s="123">
        <f>K241/C241</f>
        <v>8.0000000000000018</v>
      </c>
      <c r="M241" s="125">
        <f>C241*L241</f>
        <v>328.00000000000006</v>
      </c>
      <c r="N241" s="131">
        <v>0</v>
      </c>
      <c r="O241" s="118">
        <f>M241*N241</f>
        <v>0</v>
      </c>
      <c r="P241" s="455"/>
      <c r="Q241" s="455"/>
      <c r="R241" s="455"/>
      <c r="S241" s="455"/>
      <c r="T241" s="154"/>
      <c r="U241" s="155"/>
      <c r="V241" s="136"/>
      <c r="W241" s="63"/>
      <c r="X241" s="63"/>
      <c r="Y241" s="62"/>
      <c r="Z241" s="62"/>
      <c r="AA241" s="103"/>
      <c r="AB241" s="103"/>
    </row>
    <row r="242" spans="1:28" s="70" customFormat="1" ht="14.25" x14ac:dyDescent="0.2">
      <c r="A242" s="60"/>
      <c r="B242" s="151" t="s">
        <v>105</v>
      </c>
      <c r="C242" s="152">
        <v>82</v>
      </c>
      <c r="D242" s="153" t="s">
        <v>46</v>
      </c>
      <c r="E242" s="122">
        <v>0.1</v>
      </c>
      <c r="F242" s="122">
        <f>C242*E242</f>
        <v>8.2000000000000011</v>
      </c>
      <c r="G242" s="122">
        <f>$H$11*E242</f>
        <v>4</v>
      </c>
      <c r="H242" s="123">
        <f>F242*$H$11</f>
        <v>328.00000000000006</v>
      </c>
      <c r="I242" s="135">
        <v>2.5</v>
      </c>
      <c r="J242" s="123">
        <f>C242*I242</f>
        <v>205</v>
      </c>
      <c r="K242" s="124">
        <f>SUM(H242,J242)</f>
        <v>533</v>
      </c>
      <c r="L242" s="123">
        <f>K242/C242</f>
        <v>6.5</v>
      </c>
      <c r="M242" s="125">
        <f>C242*L242</f>
        <v>533</v>
      </c>
      <c r="N242" s="131">
        <v>0</v>
      </c>
      <c r="O242" s="118">
        <f>M242*N242</f>
        <v>0</v>
      </c>
      <c r="P242" s="455"/>
      <c r="Q242" s="455"/>
      <c r="R242" s="455"/>
      <c r="S242" s="455"/>
      <c r="T242" s="154"/>
      <c r="U242" s="155"/>
      <c r="V242" s="136"/>
      <c r="W242" s="63"/>
      <c r="X242" s="63"/>
      <c r="Y242" s="62"/>
      <c r="Z242" s="62"/>
      <c r="AA242" s="103"/>
      <c r="AB242" s="103"/>
    </row>
    <row r="243" spans="1:28" s="70" customFormat="1" ht="14.25" x14ac:dyDescent="0.2">
      <c r="A243" s="60"/>
      <c r="B243" s="151"/>
      <c r="C243" s="152"/>
      <c r="D243" s="153"/>
      <c r="E243" s="122"/>
      <c r="F243" s="122"/>
      <c r="G243" s="122"/>
      <c r="H243" s="123"/>
      <c r="I243" s="135"/>
      <c r="J243" s="123"/>
      <c r="K243" s="124"/>
      <c r="L243" s="123"/>
      <c r="M243" s="125"/>
      <c r="N243" s="131"/>
      <c r="O243" s="118"/>
      <c r="P243" s="455"/>
      <c r="Q243" s="455"/>
      <c r="R243" s="455"/>
      <c r="S243" s="455"/>
      <c r="T243" s="154"/>
      <c r="U243" s="155"/>
      <c r="V243" s="136"/>
      <c r="W243" s="63"/>
      <c r="X243" s="63"/>
      <c r="Y243" s="62"/>
      <c r="Z243" s="62"/>
      <c r="AA243" s="103"/>
      <c r="AB243" s="103"/>
    </row>
    <row r="244" spans="1:28" s="70" customFormat="1" ht="14.25" x14ac:dyDescent="0.2">
      <c r="A244" s="60"/>
      <c r="B244" s="151" t="s">
        <v>141</v>
      </c>
      <c r="C244" s="152">
        <v>13</v>
      </c>
      <c r="D244" s="153" t="s">
        <v>45</v>
      </c>
      <c r="E244" s="392">
        <v>0.4</v>
      </c>
      <c r="F244" s="122">
        <f>C244*E244</f>
        <v>5.2</v>
      </c>
      <c r="G244" s="122">
        <f>$H$11*E244</f>
        <v>16</v>
      </c>
      <c r="H244" s="123">
        <f>F244*$H$11</f>
        <v>208</v>
      </c>
      <c r="I244" s="135">
        <v>32</v>
      </c>
      <c r="J244" s="123">
        <f>C244*I244</f>
        <v>416</v>
      </c>
      <c r="K244" s="124">
        <f>SUM(H244,J244)</f>
        <v>624</v>
      </c>
      <c r="L244" s="123">
        <f>K244/C244</f>
        <v>48</v>
      </c>
      <c r="M244" s="125">
        <f>C244*L244</f>
        <v>624</v>
      </c>
      <c r="N244" s="131">
        <v>0</v>
      </c>
      <c r="O244" s="118">
        <f>M244*N244</f>
        <v>0</v>
      </c>
      <c r="P244" s="455"/>
      <c r="Q244" s="455"/>
      <c r="R244" s="455"/>
      <c r="S244" s="455"/>
      <c r="T244" s="154"/>
      <c r="U244" s="155"/>
      <c r="V244" s="136"/>
      <c r="W244" s="63"/>
      <c r="X244" s="63"/>
      <c r="Y244" s="62"/>
      <c r="Z244" s="62"/>
      <c r="AA244" s="103"/>
      <c r="AB244" s="103"/>
    </row>
    <row r="245" spans="1:28" s="70" customFormat="1" ht="14.25" x14ac:dyDescent="0.2">
      <c r="A245" s="60"/>
      <c r="B245" s="151" t="s">
        <v>139</v>
      </c>
      <c r="C245" s="152">
        <v>18</v>
      </c>
      <c r="D245" s="153" t="s">
        <v>46</v>
      </c>
      <c r="E245" s="122">
        <v>0.2</v>
      </c>
      <c r="F245" s="122">
        <f>C245*E245</f>
        <v>3.6</v>
      </c>
      <c r="G245" s="122">
        <f>$H$11*E245</f>
        <v>8</v>
      </c>
      <c r="H245" s="123">
        <f>F245*$H$11</f>
        <v>144</v>
      </c>
      <c r="I245" s="135">
        <v>0</v>
      </c>
      <c r="J245" s="123">
        <f>C245*I245</f>
        <v>0</v>
      </c>
      <c r="K245" s="124">
        <f>SUM(H245,J245)</f>
        <v>144</v>
      </c>
      <c r="L245" s="123">
        <f>K245/C245</f>
        <v>8</v>
      </c>
      <c r="M245" s="125">
        <f>C245*L245</f>
        <v>144</v>
      </c>
      <c r="N245" s="131">
        <v>0</v>
      </c>
      <c r="O245" s="118">
        <f>M245*N245</f>
        <v>0</v>
      </c>
      <c r="P245" s="455"/>
      <c r="Q245" s="455"/>
      <c r="R245" s="455"/>
      <c r="S245" s="455"/>
      <c r="T245" s="154"/>
      <c r="U245" s="155"/>
      <c r="V245" s="136"/>
      <c r="W245" s="63"/>
      <c r="X245" s="63"/>
      <c r="Y245" s="62"/>
      <c r="Z245" s="62"/>
      <c r="AA245" s="103"/>
      <c r="AB245" s="103"/>
    </row>
    <row r="246" spans="1:28" s="70" customFormat="1" ht="14.25" x14ac:dyDescent="0.2">
      <c r="A246" s="60"/>
      <c r="B246" s="151" t="s">
        <v>105</v>
      </c>
      <c r="C246" s="152">
        <v>36</v>
      </c>
      <c r="D246" s="153" t="s">
        <v>46</v>
      </c>
      <c r="E246" s="122">
        <v>0.1</v>
      </c>
      <c r="F246" s="122">
        <f>C246*E246</f>
        <v>3.6</v>
      </c>
      <c r="G246" s="122">
        <f>$H$11*E246</f>
        <v>4</v>
      </c>
      <c r="H246" s="123">
        <f>F246*$H$11</f>
        <v>144</v>
      </c>
      <c r="I246" s="135">
        <v>2.5</v>
      </c>
      <c r="J246" s="123">
        <f>C246*I246</f>
        <v>90</v>
      </c>
      <c r="K246" s="124">
        <f>SUM(H246,J246)</f>
        <v>234</v>
      </c>
      <c r="L246" s="123">
        <f>K246/C246</f>
        <v>6.5</v>
      </c>
      <c r="M246" s="125">
        <f>C246*L246</f>
        <v>234</v>
      </c>
      <c r="N246" s="131">
        <v>0</v>
      </c>
      <c r="O246" s="118">
        <f>M246*N246</f>
        <v>0</v>
      </c>
      <c r="P246" s="455"/>
      <c r="Q246" s="455"/>
      <c r="R246" s="455"/>
      <c r="S246" s="455"/>
      <c r="T246" s="154"/>
      <c r="U246" s="155"/>
      <c r="V246" s="136"/>
      <c r="W246" s="63"/>
      <c r="X246" s="63"/>
      <c r="Y246" s="62"/>
      <c r="Z246" s="62"/>
      <c r="AA246" s="103"/>
      <c r="AB246" s="103"/>
    </row>
    <row r="247" spans="1:28" s="70" customFormat="1" ht="14.25" x14ac:dyDescent="0.2">
      <c r="A247" s="60"/>
      <c r="B247" s="151"/>
      <c r="C247" s="152"/>
      <c r="D247" s="153"/>
      <c r="E247" s="122"/>
      <c r="F247" s="122"/>
      <c r="G247" s="122"/>
      <c r="H247" s="123"/>
      <c r="I247" s="135"/>
      <c r="J247" s="123"/>
      <c r="K247" s="124"/>
      <c r="L247" s="123"/>
      <c r="M247" s="125"/>
      <c r="N247" s="131"/>
      <c r="O247" s="118"/>
      <c r="P247" s="455"/>
      <c r="Q247" s="455"/>
      <c r="R247" s="455"/>
      <c r="S247" s="455"/>
      <c r="T247" s="154"/>
      <c r="U247" s="155"/>
      <c r="V247" s="136"/>
      <c r="W247" s="63"/>
      <c r="X247" s="63"/>
      <c r="Y247" s="62"/>
      <c r="Z247" s="62"/>
      <c r="AA247" s="103"/>
      <c r="AB247" s="103"/>
    </row>
    <row r="248" spans="1:28" s="70" customFormat="1" ht="14.25" x14ac:dyDescent="0.2">
      <c r="A248" s="60"/>
      <c r="B248" s="151" t="s">
        <v>142</v>
      </c>
      <c r="C248" s="152">
        <v>7</v>
      </c>
      <c r="D248" s="153" t="s">
        <v>45</v>
      </c>
      <c r="E248" s="392">
        <v>0.4</v>
      </c>
      <c r="F248" s="122">
        <f>C248*E248</f>
        <v>2.8000000000000003</v>
      </c>
      <c r="G248" s="122">
        <f>$H$11*E248</f>
        <v>16</v>
      </c>
      <c r="H248" s="123">
        <f>F248*$H$11</f>
        <v>112.00000000000001</v>
      </c>
      <c r="I248" s="135">
        <v>32</v>
      </c>
      <c r="J248" s="123">
        <f>C248*I248</f>
        <v>224</v>
      </c>
      <c r="K248" s="124">
        <f>SUM(H248,J248)</f>
        <v>336</v>
      </c>
      <c r="L248" s="123">
        <f>K248/C248</f>
        <v>48</v>
      </c>
      <c r="M248" s="125">
        <f>C248*L248</f>
        <v>336</v>
      </c>
      <c r="N248" s="131">
        <v>0</v>
      </c>
      <c r="O248" s="118">
        <f>M248*N248</f>
        <v>0</v>
      </c>
      <c r="P248" s="455"/>
      <c r="Q248" s="455"/>
      <c r="R248" s="455"/>
      <c r="S248" s="455"/>
      <c r="T248" s="265">
        <f>SUM(C207,C209,C211,C212,C213,C214,C217,C220,C221,C222,C224,C230,C234,C240,C244,C248)</f>
        <v>1071</v>
      </c>
      <c r="U248" s="155"/>
      <c r="V248" s="136"/>
      <c r="W248" s="63"/>
      <c r="X248" s="63"/>
      <c r="Y248" s="62"/>
      <c r="Z248" s="62"/>
      <c r="AA248" s="103"/>
      <c r="AB248" s="103"/>
    </row>
    <row r="249" spans="1:28" s="70" customFormat="1" ht="14.25" x14ac:dyDescent="0.2">
      <c r="A249" s="60"/>
      <c r="B249" s="151" t="s">
        <v>139</v>
      </c>
      <c r="C249" s="152">
        <v>10</v>
      </c>
      <c r="D249" s="153" t="s">
        <v>46</v>
      </c>
      <c r="E249" s="122">
        <v>0.2</v>
      </c>
      <c r="F249" s="122">
        <f>C249*E249</f>
        <v>2</v>
      </c>
      <c r="G249" s="122">
        <f>$H$11*E249</f>
        <v>8</v>
      </c>
      <c r="H249" s="123">
        <f>F249*$H$11</f>
        <v>80</v>
      </c>
      <c r="I249" s="135">
        <v>0</v>
      </c>
      <c r="J249" s="123">
        <f>C249*I249</f>
        <v>0</v>
      </c>
      <c r="K249" s="124">
        <f>SUM(H249,J249)</f>
        <v>80</v>
      </c>
      <c r="L249" s="123">
        <f>K249/C249</f>
        <v>8</v>
      </c>
      <c r="M249" s="125">
        <f>C249*L249</f>
        <v>80</v>
      </c>
      <c r="N249" s="131">
        <v>0</v>
      </c>
      <c r="O249" s="118">
        <f>M249*N249</f>
        <v>0</v>
      </c>
      <c r="P249" s="455"/>
      <c r="Q249" s="455"/>
      <c r="R249" s="455"/>
      <c r="S249" s="455"/>
      <c r="T249" s="154"/>
      <c r="U249" s="155"/>
      <c r="V249" s="136"/>
      <c r="W249" s="63"/>
      <c r="X249" s="63"/>
      <c r="Y249" s="62"/>
      <c r="Z249" s="62"/>
      <c r="AA249" s="103"/>
      <c r="AB249" s="103"/>
    </row>
    <row r="250" spans="1:28" s="70" customFormat="1" ht="14.25" x14ac:dyDescent="0.2">
      <c r="A250" s="60"/>
      <c r="B250" s="151"/>
      <c r="C250" s="152"/>
      <c r="D250" s="153"/>
      <c r="E250" s="122"/>
      <c r="F250" s="122"/>
      <c r="G250" s="122"/>
      <c r="H250" s="123"/>
      <c r="I250" s="135"/>
      <c r="J250" s="123"/>
      <c r="K250" s="124"/>
      <c r="L250" s="123"/>
      <c r="M250" s="125">
        <f>-T205</f>
        <v>-1207</v>
      </c>
      <c r="N250" s="131"/>
      <c r="O250" s="118"/>
      <c r="P250" s="455"/>
      <c r="Q250" s="455"/>
      <c r="R250" s="455"/>
      <c r="S250" s="455"/>
      <c r="T250" s="154"/>
      <c r="U250" s="155"/>
      <c r="V250" s="136"/>
      <c r="W250" s="63"/>
      <c r="X250" s="63"/>
      <c r="Y250" s="62"/>
      <c r="Z250" s="62"/>
      <c r="AA250" s="103"/>
      <c r="AB250" s="103"/>
    </row>
    <row r="251" spans="1:28" s="70" customFormat="1" ht="14.25" x14ac:dyDescent="0.2">
      <c r="A251" s="60"/>
      <c r="B251" s="151"/>
      <c r="C251" s="152"/>
      <c r="D251" s="153"/>
      <c r="E251" s="122"/>
      <c r="F251" s="122"/>
      <c r="G251" s="122"/>
      <c r="H251" s="123"/>
      <c r="I251" s="135"/>
      <c r="J251" s="123"/>
      <c r="K251" s="124"/>
      <c r="L251" s="123"/>
      <c r="M251" s="125"/>
      <c r="N251" s="131"/>
      <c r="O251" s="118"/>
      <c r="P251" s="452">
        <f>SUM(M206:M250)</f>
        <v>37444.39</v>
      </c>
      <c r="Q251" s="450">
        <f>P251*SUM($L$585:$L$589)</f>
        <v>3557.2170500000002</v>
      </c>
      <c r="R251" s="266"/>
      <c r="S251" s="266"/>
      <c r="T251" s="154"/>
      <c r="U251" s="155"/>
      <c r="V251" s="136"/>
      <c r="W251" s="63"/>
      <c r="X251" s="63"/>
      <c r="Y251" s="62"/>
      <c r="Z251" s="62"/>
      <c r="AA251" s="103"/>
      <c r="AB251" s="103"/>
    </row>
    <row r="252" spans="1:28" s="70" customFormat="1" ht="14.25" x14ac:dyDescent="0.2">
      <c r="A252" s="60"/>
      <c r="B252" s="151"/>
      <c r="C252" s="152"/>
      <c r="D252" s="153"/>
      <c r="E252" s="122"/>
      <c r="F252" s="122"/>
      <c r="G252" s="122"/>
      <c r="H252" s="123"/>
      <c r="I252" s="135"/>
      <c r="J252" s="123"/>
      <c r="K252" s="124"/>
      <c r="L252" s="123"/>
      <c r="M252" s="125"/>
      <c r="N252" s="131"/>
      <c r="O252" s="118"/>
      <c r="P252" s="451">
        <f>P251/$M$582</f>
        <v>9.6172115369995245E-2</v>
      </c>
      <c r="Q252" s="452">
        <f>P252*$M$593</f>
        <v>811.99102771069602</v>
      </c>
      <c r="R252" s="452">
        <f>SUM(P251,Q251,Q252)</f>
        <v>41813.598077710696</v>
      </c>
      <c r="S252" s="452">
        <f>R252*1.08</f>
        <v>45158.685923927558</v>
      </c>
      <c r="T252" s="154"/>
      <c r="U252" s="155"/>
      <c r="V252" s="136"/>
      <c r="W252" s="63"/>
      <c r="X252" s="63"/>
      <c r="Y252" s="62"/>
      <c r="Z252" s="62"/>
      <c r="AA252" s="103"/>
      <c r="AB252" s="103"/>
    </row>
    <row r="253" spans="1:28" s="70" customFormat="1" ht="14.25" x14ac:dyDescent="0.2">
      <c r="A253" s="60"/>
      <c r="B253" s="151"/>
      <c r="C253" s="152"/>
      <c r="D253" s="153"/>
      <c r="E253" s="122"/>
      <c r="F253" s="122"/>
      <c r="G253" s="122"/>
      <c r="H253" s="123"/>
      <c r="I253" s="135"/>
      <c r="J253" s="123"/>
      <c r="K253" s="124"/>
      <c r="L253" s="123"/>
      <c r="M253" s="125"/>
      <c r="N253" s="131"/>
      <c r="O253" s="118"/>
      <c r="P253" s="455"/>
      <c r="Q253" s="455"/>
      <c r="R253" s="455"/>
      <c r="S253" s="455"/>
      <c r="T253" s="154"/>
      <c r="U253" s="155"/>
      <c r="V253" s="136"/>
      <c r="W253" s="63"/>
      <c r="X253" s="63"/>
      <c r="Y253" s="62"/>
      <c r="Z253" s="62"/>
      <c r="AA253" s="103"/>
      <c r="AB253" s="103"/>
    </row>
    <row r="254" spans="1:28" s="70" customFormat="1" ht="15" x14ac:dyDescent="0.2">
      <c r="A254" s="60"/>
      <c r="B254" s="169" t="s">
        <v>68</v>
      </c>
      <c r="C254" s="152"/>
      <c r="D254" s="153"/>
      <c r="E254" s="122"/>
      <c r="F254" s="122"/>
      <c r="G254" s="122"/>
      <c r="H254" s="123"/>
      <c r="I254" s="135"/>
      <c r="J254" s="123"/>
      <c r="K254" s="124"/>
      <c r="L254" s="123"/>
      <c r="M254" s="125"/>
      <c r="N254" s="131"/>
      <c r="O254" s="118"/>
      <c r="P254" s="455"/>
      <c r="Q254" s="455"/>
      <c r="R254" s="455"/>
      <c r="S254" s="455"/>
      <c r="T254" s="394">
        <f>SUM(C257,C259,C261,C262,C263,C264,C267,C270,C271,C271,C272,C278,C282,C286,C286,C290,C296,C296,C300,C300,C304,C304,C308,C308,C311,C311,C315,C315)</f>
        <v>1687</v>
      </c>
      <c r="U254" s="155"/>
      <c r="V254" s="136"/>
      <c r="W254" s="63"/>
      <c r="X254" s="63"/>
      <c r="Y254" s="62"/>
      <c r="Z254" s="62"/>
      <c r="AA254" s="103"/>
      <c r="AB254" s="103"/>
    </row>
    <row r="255" spans="1:28" s="70" customFormat="1" ht="14.25" x14ac:dyDescent="0.2">
      <c r="A255" s="60"/>
      <c r="B255" s="165" t="s">
        <v>72</v>
      </c>
      <c r="C255" s="152"/>
      <c r="D255" s="153"/>
      <c r="E255" s="122"/>
      <c r="F255" s="122"/>
      <c r="G255" s="122"/>
      <c r="H255" s="123"/>
      <c r="I255" s="135"/>
      <c r="J255" s="123"/>
      <c r="K255" s="124"/>
      <c r="L255" s="123"/>
      <c r="M255" s="125"/>
      <c r="N255" s="131"/>
      <c r="O255" s="118"/>
      <c r="P255" s="455"/>
      <c r="Q255" s="455"/>
      <c r="R255" s="455"/>
      <c r="S255" s="455"/>
      <c r="T255" s="154"/>
      <c r="U255" s="155"/>
      <c r="V255" s="136"/>
      <c r="W255" s="63"/>
      <c r="X255" s="63"/>
      <c r="Y255" s="62"/>
      <c r="Z255" s="62"/>
      <c r="AA255" s="103"/>
      <c r="AB255" s="103"/>
    </row>
    <row r="256" spans="1:28" s="70" customFormat="1" ht="14.25" x14ac:dyDescent="0.2">
      <c r="A256" s="60"/>
      <c r="B256" s="165"/>
      <c r="C256" s="152"/>
      <c r="D256" s="153"/>
      <c r="E256" s="122"/>
      <c r="F256" s="122"/>
      <c r="G256" s="122"/>
      <c r="H256" s="123"/>
      <c r="I256" s="135"/>
      <c r="J256" s="123"/>
      <c r="K256" s="124"/>
      <c r="L256" s="123"/>
      <c r="M256" s="125"/>
      <c r="N256" s="131"/>
      <c r="O256" s="118"/>
      <c r="P256" s="455"/>
      <c r="Q256" s="455"/>
      <c r="R256" s="455"/>
      <c r="S256" s="455"/>
      <c r="T256" s="154"/>
      <c r="U256" s="155"/>
      <c r="V256" s="136"/>
      <c r="W256" s="63"/>
      <c r="X256" s="63"/>
      <c r="Y256" s="62"/>
      <c r="Z256" s="62"/>
      <c r="AA256" s="103"/>
      <c r="AB256" s="103"/>
    </row>
    <row r="257" spans="1:28" s="70" customFormat="1" ht="14.25" x14ac:dyDescent="0.2">
      <c r="A257" s="60"/>
      <c r="B257" s="146" t="s">
        <v>133</v>
      </c>
      <c r="C257" s="152">
        <v>232</v>
      </c>
      <c r="D257" s="153" t="s">
        <v>45</v>
      </c>
      <c r="E257" s="390">
        <v>0.2</v>
      </c>
      <c r="F257" s="122">
        <f>C257*E257</f>
        <v>46.400000000000006</v>
      </c>
      <c r="G257" s="122">
        <f>$H$11*E257</f>
        <v>8</v>
      </c>
      <c r="H257" s="123">
        <f>F257*$H$11</f>
        <v>1856.0000000000002</v>
      </c>
      <c r="I257" s="135">
        <v>17.87</v>
      </c>
      <c r="J257" s="123">
        <f>C257*I257</f>
        <v>4145.84</v>
      </c>
      <c r="K257" s="124">
        <f>SUM(H257,J257)</f>
        <v>6001.84</v>
      </c>
      <c r="L257" s="123">
        <f>K257/C257</f>
        <v>25.87</v>
      </c>
      <c r="M257" s="125">
        <f>C257*L257</f>
        <v>6001.84</v>
      </c>
      <c r="N257" s="131">
        <v>0</v>
      </c>
      <c r="O257" s="118">
        <f>M257*N257</f>
        <v>0</v>
      </c>
      <c r="P257" s="455"/>
      <c r="Q257" s="455"/>
      <c r="R257" s="455"/>
      <c r="S257" s="455"/>
      <c r="T257" s="154"/>
      <c r="U257" s="155"/>
      <c r="V257" s="136"/>
      <c r="W257" s="63"/>
      <c r="X257" s="63"/>
      <c r="Y257" s="62"/>
      <c r="Z257" s="62"/>
      <c r="AA257" s="103"/>
      <c r="AB257" s="103"/>
    </row>
    <row r="258" spans="1:28" s="70" customFormat="1" ht="14.25" x14ac:dyDescent="0.2">
      <c r="A258" s="60"/>
      <c r="B258" s="146" t="s">
        <v>105</v>
      </c>
      <c r="C258" s="152">
        <v>110</v>
      </c>
      <c r="D258" s="153" t="s">
        <v>46</v>
      </c>
      <c r="E258" s="122">
        <v>0.1</v>
      </c>
      <c r="F258" s="122">
        <f>C258*E258</f>
        <v>11</v>
      </c>
      <c r="G258" s="122">
        <f>$H$11*E258</f>
        <v>4</v>
      </c>
      <c r="H258" s="123">
        <f>F258*$H$11</f>
        <v>440</v>
      </c>
      <c r="I258" s="135">
        <v>2.5</v>
      </c>
      <c r="J258" s="123">
        <f>C258*I258</f>
        <v>275</v>
      </c>
      <c r="K258" s="124">
        <f>SUM(H258,J258)</f>
        <v>715</v>
      </c>
      <c r="L258" s="123">
        <f>K258/C258</f>
        <v>6.5</v>
      </c>
      <c r="M258" s="125">
        <f>C258*L258</f>
        <v>715</v>
      </c>
      <c r="N258" s="131">
        <v>0</v>
      </c>
      <c r="O258" s="118">
        <f>M258*N258</f>
        <v>0</v>
      </c>
      <c r="P258" s="455"/>
      <c r="Q258" s="455"/>
      <c r="R258" s="455"/>
      <c r="S258" s="455"/>
      <c r="T258" s="154"/>
      <c r="U258" s="155"/>
      <c r="V258" s="136"/>
      <c r="W258" s="63"/>
      <c r="X258" s="63"/>
      <c r="Y258" s="62"/>
      <c r="Z258" s="62"/>
      <c r="AA258" s="103"/>
      <c r="AB258" s="103"/>
    </row>
    <row r="259" spans="1:28" s="70" customFormat="1" ht="14.25" x14ac:dyDescent="0.2">
      <c r="A259" s="60"/>
      <c r="B259" s="146" t="s">
        <v>135</v>
      </c>
      <c r="C259" s="152">
        <v>136</v>
      </c>
      <c r="D259" s="153" t="s">
        <v>45</v>
      </c>
      <c r="E259" s="122">
        <v>0.2</v>
      </c>
      <c r="F259" s="122">
        <f>C259*E259</f>
        <v>27.200000000000003</v>
      </c>
      <c r="G259" s="122">
        <f>$H$11*E259</f>
        <v>8</v>
      </c>
      <c r="H259" s="123">
        <f>F259*$H$11</f>
        <v>1088</v>
      </c>
      <c r="I259" s="135">
        <v>16</v>
      </c>
      <c r="J259" s="123">
        <f>C259*I259</f>
        <v>2176</v>
      </c>
      <c r="K259" s="124">
        <f>SUM(H259,J259)</f>
        <v>3264</v>
      </c>
      <c r="L259" s="123">
        <f>K259/C259</f>
        <v>24</v>
      </c>
      <c r="M259" s="125">
        <f>C259*L259</f>
        <v>3264</v>
      </c>
      <c r="N259" s="131">
        <v>0</v>
      </c>
      <c r="O259" s="118">
        <f>M259*N259</f>
        <v>0</v>
      </c>
      <c r="P259" s="455"/>
      <c r="Q259" s="455"/>
      <c r="R259" s="455"/>
      <c r="S259" s="455"/>
      <c r="T259" s="154"/>
      <c r="U259" s="155"/>
      <c r="V259" s="136"/>
      <c r="W259" s="63"/>
      <c r="X259" s="63"/>
      <c r="Y259" s="62"/>
      <c r="Z259" s="62"/>
      <c r="AA259" s="103"/>
      <c r="AB259" s="103"/>
    </row>
    <row r="260" spans="1:28" s="70" customFormat="1" ht="14.25" x14ac:dyDescent="0.2">
      <c r="A260" s="60"/>
      <c r="B260" s="146" t="s">
        <v>105</v>
      </c>
      <c r="C260" s="152">
        <v>64</v>
      </c>
      <c r="D260" s="153" t="s">
        <v>46</v>
      </c>
      <c r="E260" s="122">
        <v>0.1</v>
      </c>
      <c r="F260" s="122">
        <f>C260*E260</f>
        <v>6.4</v>
      </c>
      <c r="G260" s="122">
        <f>$H$11*E260</f>
        <v>4</v>
      </c>
      <c r="H260" s="123">
        <f>F260*$H$11</f>
        <v>256</v>
      </c>
      <c r="I260" s="135">
        <v>2.5</v>
      </c>
      <c r="J260" s="123">
        <f>C260*I260</f>
        <v>160</v>
      </c>
      <c r="K260" s="124">
        <f>SUM(H260,J260)</f>
        <v>416</v>
      </c>
      <c r="L260" s="123">
        <f>K260/C260</f>
        <v>6.5</v>
      </c>
      <c r="M260" s="125">
        <f>C260*L260</f>
        <v>416</v>
      </c>
      <c r="N260" s="131">
        <v>0</v>
      </c>
      <c r="O260" s="118">
        <f>M260*N260</f>
        <v>0</v>
      </c>
      <c r="P260" s="455"/>
      <c r="Q260" s="455"/>
      <c r="R260" s="455"/>
      <c r="S260" s="455"/>
      <c r="T260" s="154"/>
      <c r="U260" s="155"/>
      <c r="V260" s="136"/>
      <c r="W260" s="63"/>
      <c r="X260" s="63"/>
      <c r="Y260" s="62"/>
      <c r="Z260" s="62"/>
      <c r="AA260" s="103"/>
      <c r="AB260" s="103"/>
    </row>
    <row r="261" spans="1:28" s="70" customFormat="1" ht="14.25" x14ac:dyDescent="0.2">
      <c r="A261" s="60"/>
      <c r="B261" s="264" t="s">
        <v>137</v>
      </c>
      <c r="C261" s="152">
        <v>6</v>
      </c>
      <c r="D261" s="153" t="s">
        <v>45</v>
      </c>
      <c r="E261" s="390">
        <v>0.2</v>
      </c>
      <c r="F261" s="122">
        <f>C261*E261</f>
        <v>1.2000000000000002</v>
      </c>
      <c r="G261" s="122">
        <f>$H$11*E261</f>
        <v>8</v>
      </c>
      <c r="H261" s="123">
        <f>F261*$H$11</f>
        <v>48.000000000000007</v>
      </c>
      <c r="I261" s="135">
        <v>45</v>
      </c>
      <c r="J261" s="123">
        <f>C261*I261</f>
        <v>270</v>
      </c>
      <c r="K261" s="124">
        <f>SUM(H261,J261)</f>
        <v>318</v>
      </c>
      <c r="L261" s="123">
        <f>K261/C261</f>
        <v>53</v>
      </c>
      <c r="M261" s="125">
        <f>C261*L261</f>
        <v>318</v>
      </c>
      <c r="N261" s="131">
        <v>0</v>
      </c>
      <c r="O261" s="118">
        <f>M261*N261</f>
        <v>0</v>
      </c>
      <c r="P261" s="455"/>
      <c r="Q261" s="455"/>
      <c r="R261" s="455"/>
      <c r="S261" s="455"/>
      <c r="T261" s="154"/>
      <c r="U261" s="155"/>
      <c r="V261" s="136"/>
      <c r="W261" s="63"/>
      <c r="X261" s="63"/>
      <c r="Y261" s="62"/>
      <c r="Z261" s="62"/>
      <c r="AA261" s="103"/>
      <c r="AB261" s="103"/>
    </row>
    <row r="262" spans="1:28" s="70" customFormat="1" ht="14.25" x14ac:dyDescent="0.2">
      <c r="A262" s="60"/>
      <c r="B262" s="146" t="s">
        <v>134</v>
      </c>
      <c r="C262" s="152">
        <v>154</v>
      </c>
      <c r="D262" s="153" t="s">
        <v>45</v>
      </c>
      <c r="E262" s="122">
        <v>0.2</v>
      </c>
      <c r="F262" s="122">
        <f t="shared" ref="F262:F276" si="32">C262*E262</f>
        <v>30.8</v>
      </c>
      <c r="G262" s="122">
        <f t="shared" ref="G262:G276" si="33">$H$11*E262</f>
        <v>8</v>
      </c>
      <c r="H262" s="123">
        <f t="shared" ref="H262:H276" si="34">F262*$H$11</f>
        <v>1232</v>
      </c>
      <c r="I262" s="135">
        <v>13.51</v>
      </c>
      <c r="J262" s="123">
        <f t="shared" ref="J262:J276" si="35">C262*I262</f>
        <v>2080.54</v>
      </c>
      <c r="K262" s="124">
        <f t="shared" ref="K262:K276" si="36">SUM(H262,J262)</f>
        <v>3312.54</v>
      </c>
      <c r="L262" s="123">
        <f t="shared" ref="L262:L276" si="37">K262/C262</f>
        <v>21.509999999999998</v>
      </c>
      <c r="M262" s="125">
        <f t="shared" ref="M262:M276" si="38">C262*L262</f>
        <v>3312.5399999999995</v>
      </c>
      <c r="N262" s="131">
        <v>0</v>
      </c>
      <c r="O262" s="118">
        <f t="shared" ref="O262:O276" si="39">M262*N262</f>
        <v>0</v>
      </c>
      <c r="P262" s="455"/>
      <c r="Q262" s="455"/>
      <c r="R262" s="455"/>
      <c r="S262" s="455"/>
      <c r="T262" s="154"/>
      <c r="U262" s="155"/>
      <c r="V262" s="136"/>
      <c r="W262" s="63"/>
      <c r="X262" s="63"/>
      <c r="Y262" s="62"/>
      <c r="Z262" s="62"/>
      <c r="AA262" s="103"/>
      <c r="AB262" s="103"/>
    </row>
    <row r="263" spans="1:28" s="70" customFormat="1" ht="14.25" x14ac:dyDescent="0.2">
      <c r="A263" s="60"/>
      <c r="B263" s="146" t="s">
        <v>103</v>
      </c>
      <c r="C263" s="152">
        <v>53</v>
      </c>
      <c r="D263" s="153" t="s">
        <v>45</v>
      </c>
      <c r="E263" s="122">
        <v>0.2</v>
      </c>
      <c r="F263" s="122">
        <f t="shared" si="32"/>
        <v>10.600000000000001</v>
      </c>
      <c r="G263" s="122">
        <f t="shared" si="33"/>
        <v>8</v>
      </c>
      <c r="H263" s="123">
        <f t="shared" si="34"/>
        <v>424.00000000000006</v>
      </c>
      <c r="I263" s="135">
        <v>13.51</v>
      </c>
      <c r="J263" s="123">
        <f t="shared" si="35"/>
        <v>716.03</v>
      </c>
      <c r="K263" s="124">
        <f t="shared" si="36"/>
        <v>1140.03</v>
      </c>
      <c r="L263" s="123">
        <f t="shared" si="37"/>
        <v>21.509999999999998</v>
      </c>
      <c r="M263" s="125">
        <f t="shared" si="38"/>
        <v>1140.03</v>
      </c>
      <c r="N263" s="131">
        <v>0</v>
      </c>
      <c r="O263" s="118">
        <f t="shared" si="39"/>
        <v>0</v>
      </c>
      <c r="P263" s="455"/>
      <c r="Q263" s="455"/>
      <c r="R263" s="455"/>
      <c r="S263" s="455"/>
      <c r="T263" s="154"/>
      <c r="U263" s="155"/>
      <c r="V263" s="136"/>
      <c r="W263" s="63"/>
      <c r="X263" s="63"/>
      <c r="Y263" s="62"/>
      <c r="Z263" s="62"/>
      <c r="AA263" s="103"/>
      <c r="AB263" s="103"/>
    </row>
    <row r="264" spans="1:28" s="70" customFormat="1" ht="14.25" x14ac:dyDescent="0.2">
      <c r="A264" s="60"/>
      <c r="B264" s="146" t="s">
        <v>136</v>
      </c>
      <c r="C264" s="152">
        <v>128</v>
      </c>
      <c r="D264" s="153" t="s">
        <v>45</v>
      </c>
      <c r="E264" s="390">
        <v>0.2</v>
      </c>
      <c r="F264" s="122">
        <f t="shared" si="32"/>
        <v>25.6</v>
      </c>
      <c r="G264" s="122">
        <f t="shared" si="33"/>
        <v>8</v>
      </c>
      <c r="H264" s="123">
        <f t="shared" si="34"/>
        <v>1024</v>
      </c>
      <c r="I264" s="135">
        <v>16</v>
      </c>
      <c r="J264" s="123">
        <f t="shared" si="35"/>
        <v>2048</v>
      </c>
      <c r="K264" s="124">
        <f t="shared" si="36"/>
        <v>3072</v>
      </c>
      <c r="L264" s="123">
        <f t="shared" si="37"/>
        <v>24</v>
      </c>
      <c r="M264" s="125">
        <f t="shared" si="38"/>
        <v>3072</v>
      </c>
      <c r="N264" s="131">
        <v>0</v>
      </c>
      <c r="O264" s="118">
        <f t="shared" si="39"/>
        <v>0</v>
      </c>
      <c r="P264" s="455"/>
      <c r="Q264" s="455"/>
      <c r="R264" s="455"/>
      <c r="S264" s="455"/>
      <c r="T264" s="154"/>
      <c r="U264" s="155"/>
      <c r="V264" s="136"/>
      <c r="W264" s="63"/>
      <c r="X264" s="63"/>
      <c r="Y264" s="62"/>
      <c r="Z264" s="62"/>
      <c r="AA264" s="103"/>
      <c r="AB264" s="103"/>
    </row>
    <row r="265" spans="1:28" s="70" customFormat="1" ht="14.25" x14ac:dyDescent="0.2">
      <c r="A265" s="311"/>
      <c r="B265" s="264" t="s">
        <v>105</v>
      </c>
      <c r="C265" s="152">
        <v>72</v>
      </c>
      <c r="D265" s="153" t="s">
        <v>46</v>
      </c>
      <c r="E265" s="310">
        <v>0.1</v>
      </c>
      <c r="F265" s="122">
        <f t="shared" si="32"/>
        <v>7.2</v>
      </c>
      <c r="G265" s="122">
        <f t="shared" si="33"/>
        <v>4</v>
      </c>
      <c r="H265" s="123">
        <f t="shared" si="34"/>
        <v>288</v>
      </c>
      <c r="I265" s="135">
        <v>2.5</v>
      </c>
      <c r="J265" s="123">
        <f t="shared" si="35"/>
        <v>180</v>
      </c>
      <c r="K265" s="124">
        <f t="shared" si="36"/>
        <v>468</v>
      </c>
      <c r="L265" s="123">
        <f t="shared" si="37"/>
        <v>6.5</v>
      </c>
      <c r="M265" s="125">
        <f t="shared" si="38"/>
        <v>468</v>
      </c>
      <c r="N265" s="131">
        <v>0</v>
      </c>
      <c r="O265" s="118">
        <f t="shared" si="39"/>
        <v>0</v>
      </c>
      <c r="P265" s="455"/>
      <c r="Q265" s="455"/>
      <c r="R265" s="455"/>
      <c r="S265" s="455"/>
      <c r="T265" s="154"/>
      <c r="U265" s="155"/>
      <c r="V265" s="136"/>
      <c r="W265" s="63"/>
      <c r="X265" s="63"/>
      <c r="Y265" s="62"/>
      <c r="Z265" s="62"/>
      <c r="AA265" s="103"/>
      <c r="AB265" s="103"/>
    </row>
    <row r="266" spans="1:28" s="70" customFormat="1" ht="14.25" x14ac:dyDescent="0.2">
      <c r="A266" s="311"/>
      <c r="B266" s="151" t="s">
        <v>358</v>
      </c>
      <c r="C266" s="152">
        <v>36</v>
      </c>
      <c r="D266" s="153" t="s">
        <v>46</v>
      </c>
      <c r="E266" s="310">
        <v>0.2</v>
      </c>
      <c r="F266" s="122">
        <f t="shared" si="32"/>
        <v>7.2</v>
      </c>
      <c r="G266" s="122">
        <f t="shared" si="33"/>
        <v>8</v>
      </c>
      <c r="H266" s="123">
        <f t="shared" si="34"/>
        <v>288</v>
      </c>
      <c r="I266" s="135">
        <v>6</v>
      </c>
      <c r="J266" s="123">
        <f t="shared" si="35"/>
        <v>216</v>
      </c>
      <c r="K266" s="124">
        <f t="shared" si="36"/>
        <v>504</v>
      </c>
      <c r="L266" s="123">
        <f t="shared" si="37"/>
        <v>14</v>
      </c>
      <c r="M266" s="125">
        <f t="shared" si="38"/>
        <v>504</v>
      </c>
      <c r="N266" s="131">
        <v>0</v>
      </c>
      <c r="O266" s="118">
        <f t="shared" si="39"/>
        <v>0</v>
      </c>
      <c r="P266" s="455"/>
      <c r="Q266" s="455"/>
      <c r="R266" s="455"/>
      <c r="S266" s="455"/>
      <c r="T266" s="154"/>
      <c r="U266" s="155"/>
      <c r="V266" s="136"/>
      <c r="W266" s="63"/>
      <c r="X266" s="63"/>
      <c r="Y266" s="62"/>
      <c r="Z266" s="62"/>
      <c r="AA266" s="103"/>
      <c r="AB266" s="103"/>
    </row>
    <row r="267" spans="1:28" s="70" customFormat="1" ht="14.25" x14ac:dyDescent="0.2">
      <c r="A267" s="311"/>
      <c r="B267" s="264" t="s">
        <v>116</v>
      </c>
      <c r="C267" s="152">
        <v>140</v>
      </c>
      <c r="D267" s="153" t="s">
        <v>45</v>
      </c>
      <c r="E267" s="390">
        <v>0.2</v>
      </c>
      <c r="F267" s="122">
        <f t="shared" si="32"/>
        <v>28</v>
      </c>
      <c r="G267" s="122">
        <f t="shared" si="33"/>
        <v>8</v>
      </c>
      <c r="H267" s="123">
        <f t="shared" si="34"/>
        <v>1120</v>
      </c>
      <c r="I267" s="135">
        <v>16</v>
      </c>
      <c r="J267" s="123">
        <f t="shared" si="35"/>
        <v>2240</v>
      </c>
      <c r="K267" s="124">
        <f t="shared" si="36"/>
        <v>3360</v>
      </c>
      <c r="L267" s="123">
        <f t="shared" si="37"/>
        <v>24</v>
      </c>
      <c r="M267" s="125">
        <f t="shared" si="38"/>
        <v>3360</v>
      </c>
      <c r="N267" s="131">
        <v>0</v>
      </c>
      <c r="O267" s="118">
        <f t="shared" si="39"/>
        <v>0</v>
      </c>
      <c r="P267" s="455"/>
      <c r="Q267" s="455"/>
      <c r="R267" s="455"/>
      <c r="S267" s="455"/>
      <c r="T267" s="154"/>
      <c r="U267" s="155"/>
      <c r="V267" s="136"/>
      <c r="W267" s="63"/>
      <c r="X267" s="63"/>
      <c r="Y267" s="62"/>
      <c r="Z267" s="62"/>
      <c r="AA267" s="103"/>
      <c r="AB267" s="103"/>
    </row>
    <row r="268" spans="1:28" s="70" customFormat="1" ht="14.25" x14ac:dyDescent="0.2">
      <c r="A268" s="311"/>
      <c r="B268" s="264" t="s">
        <v>105</v>
      </c>
      <c r="C268" s="152">
        <v>76</v>
      </c>
      <c r="D268" s="153" t="s">
        <v>46</v>
      </c>
      <c r="E268" s="310">
        <v>0.1</v>
      </c>
      <c r="F268" s="122">
        <f t="shared" si="32"/>
        <v>7.6000000000000005</v>
      </c>
      <c r="G268" s="122">
        <f t="shared" si="33"/>
        <v>4</v>
      </c>
      <c r="H268" s="123">
        <f t="shared" si="34"/>
        <v>304</v>
      </c>
      <c r="I268" s="135">
        <v>2.5</v>
      </c>
      <c r="J268" s="123">
        <f t="shared" si="35"/>
        <v>190</v>
      </c>
      <c r="K268" s="124">
        <f t="shared" si="36"/>
        <v>494</v>
      </c>
      <c r="L268" s="123">
        <f t="shared" si="37"/>
        <v>6.5</v>
      </c>
      <c r="M268" s="125">
        <f t="shared" si="38"/>
        <v>494</v>
      </c>
      <c r="N268" s="131">
        <v>0</v>
      </c>
      <c r="O268" s="118">
        <f t="shared" si="39"/>
        <v>0</v>
      </c>
      <c r="P268" s="455"/>
      <c r="Q268" s="455"/>
      <c r="R268" s="455"/>
      <c r="S268" s="455"/>
      <c r="T268" s="154"/>
      <c r="U268" s="155"/>
      <c r="V268" s="136"/>
      <c r="W268" s="63"/>
      <c r="X268" s="63"/>
      <c r="Y268" s="62"/>
      <c r="Z268" s="62"/>
      <c r="AA268" s="103"/>
      <c r="AB268" s="103"/>
    </row>
    <row r="269" spans="1:28" s="70" customFormat="1" ht="14.25" x14ac:dyDescent="0.2">
      <c r="A269" s="311"/>
      <c r="B269" s="151" t="s">
        <v>358</v>
      </c>
      <c r="C269" s="152">
        <v>38</v>
      </c>
      <c r="D269" s="153" t="s">
        <v>46</v>
      </c>
      <c r="E269" s="310">
        <v>0.2</v>
      </c>
      <c r="F269" s="122">
        <f t="shared" si="32"/>
        <v>7.6000000000000005</v>
      </c>
      <c r="G269" s="122">
        <f t="shared" si="33"/>
        <v>8</v>
      </c>
      <c r="H269" s="123">
        <f t="shared" si="34"/>
        <v>304</v>
      </c>
      <c r="I269" s="135">
        <v>6</v>
      </c>
      <c r="J269" s="123">
        <f t="shared" si="35"/>
        <v>228</v>
      </c>
      <c r="K269" s="124">
        <f t="shared" si="36"/>
        <v>532</v>
      </c>
      <c r="L269" s="123">
        <f t="shared" si="37"/>
        <v>14</v>
      </c>
      <c r="M269" s="125">
        <f t="shared" si="38"/>
        <v>532</v>
      </c>
      <c r="N269" s="131">
        <v>0</v>
      </c>
      <c r="O269" s="118">
        <f t="shared" si="39"/>
        <v>0</v>
      </c>
      <c r="P269" s="455"/>
      <c r="Q269" s="455"/>
      <c r="R269" s="455"/>
      <c r="S269" s="455"/>
      <c r="T269" s="154"/>
      <c r="U269" s="155"/>
      <c r="V269" s="136"/>
      <c r="W269" s="63"/>
      <c r="X269" s="63"/>
      <c r="Y269" s="62"/>
      <c r="Z269" s="62"/>
      <c r="AA269" s="103"/>
      <c r="AB269" s="103"/>
    </row>
    <row r="270" spans="1:28" s="70" customFormat="1" ht="14.25" x14ac:dyDescent="0.2">
      <c r="A270" s="311"/>
      <c r="B270" s="264" t="s">
        <v>118</v>
      </c>
      <c r="C270" s="152">
        <v>24</v>
      </c>
      <c r="D270" s="153" t="s">
        <v>45</v>
      </c>
      <c r="E270" s="310">
        <v>0.2</v>
      </c>
      <c r="F270" s="122">
        <f t="shared" si="32"/>
        <v>4.8000000000000007</v>
      </c>
      <c r="G270" s="122">
        <f t="shared" si="33"/>
        <v>8</v>
      </c>
      <c r="H270" s="123">
        <f t="shared" si="34"/>
        <v>192.00000000000003</v>
      </c>
      <c r="I270" s="135">
        <v>13.51</v>
      </c>
      <c r="J270" s="123">
        <f t="shared" si="35"/>
        <v>324.24</v>
      </c>
      <c r="K270" s="124">
        <f t="shared" si="36"/>
        <v>516.24</v>
      </c>
      <c r="L270" s="123">
        <f t="shared" si="37"/>
        <v>21.51</v>
      </c>
      <c r="M270" s="125">
        <f t="shared" si="38"/>
        <v>516.24</v>
      </c>
      <c r="N270" s="131">
        <v>0</v>
      </c>
      <c r="O270" s="118">
        <f t="shared" si="39"/>
        <v>0</v>
      </c>
      <c r="P270" s="455"/>
      <c r="Q270" s="455"/>
      <c r="R270" s="455"/>
      <c r="S270" s="455"/>
      <c r="T270" s="154"/>
      <c r="U270" s="155"/>
      <c r="V270" s="136"/>
      <c r="W270" s="63"/>
      <c r="X270" s="63"/>
      <c r="Y270" s="62"/>
      <c r="Z270" s="62"/>
      <c r="AA270" s="103"/>
      <c r="AB270" s="103"/>
    </row>
    <row r="271" spans="1:28" s="70" customFormat="1" ht="14.25" x14ac:dyDescent="0.2">
      <c r="A271" s="60"/>
      <c r="B271" s="146" t="s">
        <v>146</v>
      </c>
      <c r="C271" s="152">
        <v>51</v>
      </c>
      <c r="D271" s="153" t="s">
        <v>45</v>
      </c>
      <c r="E271" s="390">
        <v>0.4</v>
      </c>
      <c r="F271" s="122">
        <f t="shared" si="32"/>
        <v>20.400000000000002</v>
      </c>
      <c r="G271" s="122">
        <f t="shared" si="33"/>
        <v>16</v>
      </c>
      <c r="H271" s="123">
        <f t="shared" si="34"/>
        <v>816.00000000000011</v>
      </c>
      <c r="I271" s="135">
        <v>33</v>
      </c>
      <c r="J271" s="123">
        <f t="shared" si="35"/>
        <v>1683</v>
      </c>
      <c r="K271" s="124">
        <f t="shared" si="36"/>
        <v>2499</v>
      </c>
      <c r="L271" s="123">
        <f t="shared" si="37"/>
        <v>49</v>
      </c>
      <c r="M271" s="125">
        <f t="shared" si="38"/>
        <v>2499</v>
      </c>
      <c r="N271" s="131">
        <v>0</v>
      </c>
      <c r="O271" s="118">
        <f t="shared" si="39"/>
        <v>0</v>
      </c>
      <c r="P271" s="455"/>
      <c r="Q271" s="455"/>
      <c r="R271" s="455"/>
      <c r="S271" s="455"/>
      <c r="T271" s="154"/>
      <c r="U271" s="155"/>
      <c r="V271" s="136"/>
      <c r="W271" s="63"/>
      <c r="X271" s="63"/>
      <c r="Y271" s="62"/>
      <c r="Z271" s="62"/>
      <c r="AA271" s="103"/>
      <c r="AB271" s="103"/>
    </row>
    <row r="272" spans="1:28" s="70" customFormat="1" ht="14.25" x14ac:dyDescent="0.2">
      <c r="A272" s="60"/>
      <c r="B272" s="146" t="s">
        <v>122</v>
      </c>
      <c r="C272" s="152">
        <v>51</v>
      </c>
      <c r="D272" s="153" t="s">
        <v>45</v>
      </c>
      <c r="E272" s="390">
        <v>0.2</v>
      </c>
      <c r="F272" s="122">
        <f t="shared" si="32"/>
        <v>10.200000000000001</v>
      </c>
      <c r="G272" s="122">
        <f t="shared" si="33"/>
        <v>8</v>
      </c>
      <c r="H272" s="123">
        <f t="shared" si="34"/>
        <v>408.00000000000006</v>
      </c>
      <c r="I272" s="135">
        <v>17.87</v>
      </c>
      <c r="J272" s="123">
        <f t="shared" si="35"/>
        <v>911.37</v>
      </c>
      <c r="K272" s="124">
        <f t="shared" si="36"/>
        <v>1319.3700000000001</v>
      </c>
      <c r="L272" s="123">
        <f t="shared" si="37"/>
        <v>25.87</v>
      </c>
      <c r="M272" s="125">
        <f t="shared" si="38"/>
        <v>1319.3700000000001</v>
      </c>
      <c r="N272" s="131">
        <v>0</v>
      </c>
      <c r="O272" s="118">
        <f t="shared" si="39"/>
        <v>0</v>
      </c>
      <c r="P272" s="455"/>
      <c r="Q272" s="455"/>
      <c r="R272" s="455"/>
      <c r="S272" s="455"/>
      <c r="T272" s="154"/>
      <c r="U272" s="155"/>
      <c r="V272" s="136"/>
      <c r="W272" s="63"/>
      <c r="X272" s="63"/>
      <c r="Y272" s="62"/>
      <c r="Z272" s="62"/>
      <c r="AA272" s="103"/>
      <c r="AB272" s="103"/>
    </row>
    <row r="273" spans="1:28" s="70" customFormat="1" ht="14.25" x14ac:dyDescent="0.2">
      <c r="A273" s="60"/>
      <c r="B273" s="146" t="s">
        <v>105</v>
      </c>
      <c r="C273" s="152">
        <v>48</v>
      </c>
      <c r="D273" s="153" t="s">
        <v>46</v>
      </c>
      <c r="E273" s="122">
        <v>0.1</v>
      </c>
      <c r="F273" s="122">
        <f t="shared" si="32"/>
        <v>4.8000000000000007</v>
      </c>
      <c r="G273" s="122">
        <f t="shared" si="33"/>
        <v>4</v>
      </c>
      <c r="H273" s="123">
        <f t="shared" si="34"/>
        <v>192.00000000000003</v>
      </c>
      <c r="I273" s="135">
        <v>2.5</v>
      </c>
      <c r="J273" s="123">
        <f t="shared" si="35"/>
        <v>120</v>
      </c>
      <c r="K273" s="124">
        <f t="shared" si="36"/>
        <v>312</v>
      </c>
      <c r="L273" s="123">
        <f t="shared" si="37"/>
        <v>6.5</v>
      </c>
      <c r="M273" s="125">
        <f t="shared" si="38"/>
        <v>312</v>
      </c>
      <c r="N273" s="131">
        <v>0</v>
      </c>
      <c r="O273" s="118">
        <f t="shared" si="39"/>
        <v>0</v>
      </c>
      <c r="P273" s="455"/>
      <c r="Q273" s="455"/>
      <c r="R273" s="455"/>
      <c r="S273" s="455"/>
      <c r="T273" s="154"/>
      <c r="U273" s="155"/>
      <c r="V273" s="136"/>
      <c r="W273" s="63"/>
      <c r="X273" s="63"/>
      <c r="Y273" s="62"/>
      <c r="Z273" s="62"/>
      <c r="AA273" s="103"/>
      <c r="AB273" s="103"/>
    </row>
    <row r="274" spans="1:28" s="70" customFormat="1" ht="14.25" x14ac:dyDescent="0.2">
      <c r="A274" s="60"/>
      <c r="B274" s="146" t="s">
        <v>129</v>
      </c>
      <c r="C274" s="152">
        <v>111</v>
      </c>
      <c r="D274" s="153" t="s">
        <v>45</v>
      </c>
      <c r="E274" s="122">
        <v>0.02</v>
      </c>
      <c r="F274" s="122">
        <f t="shared" si="32"/>
        <v>2.2200000000000002</v>
      </c>
      <c r="G274" s="122">
        <f t="shared" si="33"/>
        <v>0.8</v>
      </c>
      <c r="H274" s="123">
        <f t="shared" si="34"/>
        <v>88.800000000000011</v>
      </c>
      <c r="I274" s="135">
        <v>10.48</v>
      </c>
      <c r="J274" s="123">
        <f t="shared" si="35"/>
        <v>1163.28</v>
      </c>
      <c r="K274" s="124">
        <f t="shared" si="36"/>
        <v>1252.08</v>
      </c>
      <c r="L274" s="123">
        <f t="shared" si="37"/>
        <v>11.28</v>
      </c>
      <c r="M274" s="125">
        <f t="shared" si="38"/>
        <v>1252.08</v>
      </c>
      <c r="N274" s="131">
        <v>0</v>
      </c>
      <c r="O274" s="118">
        <f t="shared" si="39"/>
        <v>0</v>
      </c>
      <c r="P274" s="455"/>
      <c r="Q274" s="455"/>
      <c r="R274" s="455"/>
      <c r="S274" s="455"/>
      <c r="T274" s="154"/>
      <c r="U274" s="155"/>
      <c r="V274" s="136"/>
      <c r="W274" s="63"/>
      <c r="X274" s="63"/>
      <c r="Y274" s="62"/>
      <c r="Z274" s="62"/>
      <c r="AA274" s="103"/>
      <c r="AB274" s="103"/>
    </row>
    <row r="275" spans="1:28" s="70" customFormat="1" ht="14.25" x14ac:dyDescent="0.2">
      <c r="A275" s="60"/>
      <c r="B275" s="146" t="s">
        <v>131</v>
      </c>
      <c r="C275" s="152">
        <v>53</v>
      </c>
      <c r="D275" s="153" t="s">
        <v>45</v>
      </c>
      <c r="E275" s="122">
        <v>0</v>
      </c>
      <c r="F275" s="122">
        <f t="shared" si="32"/>
        <v>0</v>
      </c>
      <c r="G275" s="122">
        <f t="shared" si="33"/>
        <v>0</v>
      </c>
      <c r="H275" s="123">
        <f t="shared" si="34"/>
        <v>0</v>
      </c>
      <c r="I275" s="135">
        <v>6</v>
      </c>
      <c r="J275" s="123">
        <f t="shared" si="35"/>
        <v>318</v>
      </c>
      <c r="K275" s="124">
        <f t="shared" si="36"/>
        <v>318</v>
      </c>
      <c r="L275" s="123">
        <f t="shared" si="37"/>
        <v>6</v>
      </c>
      <c r="M275" s="125">
        <f t="shared" si="38"/>
        <v>318</v>
      </c>
      <c r="N275" s="131">
        <v>0</v>
      </c>
      <c r="O275" s="118">
        <f t="shared" si="39"/>
        <v>0</v>
      </c>
      <c r="P275" s="455"/>
      <c r="Q275" s="455"/>
      <c r="R275" s="455"/>
      <c r="S275" s="455"/>
      <c r="T275" s="154"/>
      <c r="U275" s="155"/>
      <c r="V275" s="136"/>
      <c r="W275" s="63"/>
      <c r="X275" s="63"/>
      <c r="Y275" s="62"/>
      <c r="Z275" s="62"/>
      <c r="AA275" s="103"/>
      <c r="AB275" s="103"/>
    </row>
    <row r="276" spans="1:28" s="70" customFormat="1" ht="14.25" x14ac:dyDescent="0.2">
      <c r="A276" s="60"/>
      <c r="B276" s="146" t="s">
        <v>132</v>
      </c>
      <c r="C276" s="152">
        <v>38</v>
      </c>
      <c r="D276" s="153" t="s">
        <v>45</v>
      </c>
      <c r="E276" s="122">
        <v>0</v>
      </c>
      <c r="F276" s="122">
        <f t="shared" si="32"/>
        <v>0</v>
      </c>
      <c r="G276" s="122">
        <f t="shared" si="33"/>
        <v>0</v>
      </c>
      <c r="H276" s="123">
        <f t="shared" si="34"/>
        <v>0</v>
      </c>
      <c r="I276" s="135">
        <v>9</v>
      </c>
      <c r="J276" s="123">
        <f t="shared" si="35"/>
        <v>342</v>
      </c>
      <c r="K276" s="124">
        <f t="shared" si="36"/>
        <v>342</v>
      </c>
      <c r="L276" s="123">
        <f t="shared" si="37"/>
        <v>9</v>
      </c>
      <c r="M276" s="125">
        <f t="shared" si="38"/>
        <v>342</v>
      </c>
      <c r="N276" s="131">
        <v>0</v>
      </c>
      <c r="O276" s="118">
        <f t="shared" si="39"/>
        <v>0</v>
      </c>
      <c r="P276" s="455"/>
      <c r="Q276" s="455"/>
      <c r="R276" s="455"/>
      <c r="S276" s="455"/>
      <c r="T276" s="154"/>
      <c r="U276" s="155"/>
      <c r="V276" s="136"/>
      <c r="W276" s="63"/>
      <c r="X276" s="63"/>
      <c r="Y276" s="62"/>
      <c r="Z276" s="62"/>
      <c r="AA276" s="103"/>
      <c r="AB276" s="103"/>
    </row>
    <row r="277" spans="1:28" s="70" customFormat="1" ht="14.25" x14ac:dyDescent="0.2">
      <c r="A277" s="60"/>
      <c r="B277" s="146"/>
      <c r="C277" s="152"/>
      <c r="D277" s="153"/>
      <c r="E277" s="122"/>
      <c r="F277" s="122"/>
      <c r="G277" s="122"/>
      <c r="H277" s="123"/>
      <c r="I277" s="135"/>
      <c r="J277" s="123"/>
      <c r="K277" s="124"/>
      <c r="L277" s="123"/>
      <c r="M277" s="125"/>
      <c r="N277" s="131"/>
      <c r="O277" s="118"/>
      <c r="P277" s="455"/>
      <c r="Q277" s="455"/>
      <c r="R277" s="455"/>
      <c r="S277" s="455"/>
      <c r="T277" s="154"/>
      <c r="U277" s="155"/>
      <c r="V277" s="136"/>
      <c r="W277" s="63"/>
      <c r="X277" s="63"/>
      <c r="Y277" s="62"/>
      <c r="Z277" s="62"/>
      <c r="AA277" s="103"/>
      <c r="AB277" s="103"/>
    </row>
    <row r="278" spans="1:28" s="70" customFormat="1" ht="14.25" x14ac:dyDescent="0.2">
      <c r="A278" s="60"/>
      <c r="B278" s="146" t="s">
        <v>124</v>
      </c>
      <c r="C278" s="152">
        <v>2</v>
      </c>
      <c r="D278" s="153" t="s">
        <v>45</v>
      </c>
      <c r="E278" s="122">
        <v>0.2</v>
      </c>
      <c r="F278" s="122">
        <f>C278*E278</f>
        <v>0.4</v>
      </c>
      <c r="G278" s="122">
        <f>$H$11*E278</f>
        <v>8</v>
      </c>
      <c r="H278" s="123">
        <f>F278*$H$11</f>
        <v>16</v>
      </c>
      <c r="I278" s="135">
        <v>16</v>
      </c>
      <c r="J278" s="123">
        <f>C278*I278</f>
        <v>32</v>
      </c>
      <c r="K278" s="124">
        <f>SUM(H278,J278)</f>
        <v>48</v>
      </c>
      <c r="L278" s="123">
        <f>K278/C278</f>
        <v>24</v>
      </c>
      <c r="M278" s="125">
        <f>C278*L278</f>
        <v>48</v>
      </c>
      <c r="N278" s="131">
        <v>0</v>
      </c>
      <c r="O278" s="118">
        <f>M278*N278</f>
        <v>0</v>
      </c>
      <c r="P278" s="455"/>
      <c r="Q278" s="455"/>
      <c r="R278" s="455"/>
      <c r="S278" s="455"/>
      <c r="T278" s="154"/>
      <c r="U278" s="155"/>
      <c r="V278" s="136"/>
      <c r="W278" s="63"/>
      <c r="X278" s="63"/>
      <c r="Y278" s="62"/>
      <c r="Z278" s="62"/>
      <c r="AA278" s="103"/>
      <c r="AB278" s="103"/>
    </row>
    <row r="279" spans="1:28" s="70" customFormat="1" ht="14.25" x14ac:dyDescent="0.2">
      <c r="A279" s="60"/>
      <c r="B279" s="146" t="s">
        <v>105</v>
      </c>
      <c r="C279" s="152">
        <v>10</v>
      </c>
      <c r="D279" s="153" t="s">
        <v>46</v>
      </c>
      <c r="E279" s="122">
        <v>0.1</v>
      </c>
      <c r="F279" s="122">
        <f>C279*E279</f>
        <v>1</v>
      </c>
      <c r="G279" s="122">
        <f>$H$11*E279</f>
        <v>4</v>
      </c>
      <c r="H279" s="123">
        <f>F279*$H$11</f>
        <v>40</v>
      </c>
      <c r="I279" s="135">
        <v>2.5</v>
      </c>
      <c r="J279" s="123">
        <f>C279*I279</f>
        <v>25</v>
      </c>
      <c r="K279" s="124">
        <f>SUM(H279,J279)</f>
        <v>65</v>
      </c>
      <c r="L279" s="123">
        <f>K279/C279</f>
        <v>6.5</v>
      </c>
      <c r="M279" s="125">
        <f>C279*L279</f>
        <v>65</v>
      </c>
      <c r="N279" s="131">
        <v>0</v>
      </c>
      <c r="O279" s="118">
        <f>M279*N279</f>
        <v>0</v>
      </c>
      <c r="P279" s="455"/>
      <c r="Q279" s="455"/>
      <c r="R279" s="455"/>
      <c r="S279" s="455"/>
      <c r="T279" s="154"/>
      <c r="U279" s="155"/>
      <c r="V279" s="136"/>
      <c r="W279" s="63"/>
      <c r="X279" s="63"/>
      <c r="Y279" s="62"/>
      <c r="Z279" s="62"/>
      <c r="AA279" s="103"/>
      <c r="AB279" s="103"/>
    </row>
    <row r="280" spans="1:28" s="70" customFormat="1" ht="14.25" x14ac:dyDescent="0.2">
      <c r="A280" s="60"/>
      <c r="B280" s="146" t="s">
        <v>128</v>
      </c>
      <c r="C280" s="152">
        <v>10</v>
      </c>
      <c r="D280" s="153" t="s">
        <v>46</v>
      </c>
      <c r="E280" s="122">
        <v>0.1</v>
      </c>
      <c r="F280" s="122">
        <f>C280*E280</f>
        <v>1</v>
      </c>
      <c r="G280" s="122">
        <f>$H$11*E280</f>
        <v>4</v>
      </c>
      <c r="H280" s="123">
        <f>F280*$H$11</f>
        <v>40</v>
      </c>
      <c r="I280" s="135">
        <v>0</v>
      </c>
      <c r="J280" s="123">
        <f>C280*I280</f>
        <v>0</v>
      </c>
      <c r="K280" s="124">
        <f>SUM(H280,J280)</f>
        <v>40</v>
      </c>
      <c r="L280" s="123">
        <f>K280/C280</f>
        <v>4</v>
      </c>
      <c r="M280" s="125">
        <f>C280*L280</f>
        <v>40</v>
      </c>
      <c r="N280" s="131">
        <v>0</v>
      </c>
      <c r="O280" s="118">
        <f>M280*N280</f>
        <v>0</v>
      </c>
      <c r="P280" s="455"/>
      <c r="Q280" s="455"/>
      <c r="R280" s="455"/>
      <c r="S280" s="455"/>
      <c r="T280" s="154"/>
      <c r="U280" s="155"/>
      <c r="V280" s="136"/>
      <c r="W280" s="63"/>
      <c r="X280" s="63"/>
      <c r="Y280" s="62"/>
      <c r="Z280" s="62"/>
      <c r="AA280" s="103"/>
      <c r="AB280" s="103"/>
    </row>
    <row r="281" spans="1:28" s="70" customFormat="1" ht="14.25" x14ac:dyDescent="0.2">
      <c r="A281" s="60"/>
      <c r="B281" s="146"/>
      <c r="C281" s="152"/>
      <c r="D281" s="153"/>
      <c r="E281" s="122"/>
      <c r="F281" s="122"/>
      <c r="G281" s="122"/>
      <c r="H281" s="123"/>
      <c r="I281" s="135"/>
      <c r="J281" s="123"/>
      <c r="K281" s="124"/>
      <c r="L281" s="123"/>
      <c r="M281" s="125"/>
      <c r="N281" s="131"/>
      <c r="O281" s="118"/>
      <c r="P281" s="455"/>
      <c r="Q281" s="455"/>
      <c r="R281" s="455"/>
      <c r="S281" s="455"/>
      <c r="T281" s="154"/>
      <c r="U281" s="155"/>
      <c r="V281" s="136"/>
      <c r="W281" s="63"/>
      <c r="X281" s="63"/>
      <c r="Y281" s="62"/>
      <c r="Z281" s="62"/>
      <c r="AA281" s="103"/>
      <c r="AB281" s="103"/>
    </row>
    <row r="282" spans="1:28" s="70" customFormat="1" ht="14.25" x14ac:dyDescent="0.2">
      <c r="A282" s="60"/>
      <c r="B282" s="146" t="s">
        <v>125</v>
      </c>
      <c r="C282" s="152">
        <v>4</v>
      </c>
      <c r="D282" s="153" t="s">
        <v>45</v>
      </c>
      <c r="E282" s="122">
        <v>0.2</v>
      </c>
      <c r="F282" s="122">
        <f>C282*E282</f>
        <v>0.8</v>
      </c>
      <c r="G282" s="122">
        <f>$H$11*E282</f>
        <v>8</v>
      </c>
      <c r="H282" s="123">
        <f>F282*$H$11</f>
        <v>32</v>
      </c>
      <c r="I282" s="135">
        <v>16</v>
      </c>
      <c r="J282" s="123">
        <f>C282*I282</f>
        <v>64</v>
      </c>
      <c r="K282" s="124">
        <f>SUM(H282,J282)</f>
        <v>96</v>
      </c>
      <c r="L282" s="123">
        <f>K282/C282</f>
        <v>24</v>
      </c>
      <c r="M282" s="125">
        <f>C282*L282</f>
        <v>96</v>
      </c>
      <c r="N282" s="131">
        <v>0</v>
      </c>
      <c r="O282" s="118">
        <f>M282*N282</f>
        <v>0</v>
      </c>
      <c r="P282" s="455"/>
      <c r="Q282" s="455"/>
      <c r="R282" s="455"/>
      <c r="S282" s="455"/>
      <c r="T282" s="154"/>
      <c r="U282" s="155"/>
      <c r="V282" s="136"/>
      <c r="W282" s="63"/>
      <c r="X282" s="63"/>
      <c r="Y282" s="62"/>
      <c r="Z282" s="62"/>
      <c r="AA282" s="103"/>
      <c r="AB282" s="103"/>
    </row>
    <row r="283" spans="1:28" s="70" customFormat="1" ht="14.25" x14ac:dyDescent="0.2">
      <c r="A283" s="60"/>
      <c r="B283" s="146" t="s">
        <v>105</v>
      </c>
      <c r="C283" s="152">
        <v>13</v>
      </c>
      <c r="D283" s="153" t="s">
        <v>46</v>
      </c>
      <c r="E283" s="122">
        <v>0.1</v>
      </c>
      <c r="F283" s="122">
        <f>C283*E283</f>
        <v>1.3</v>
      </c>
      <c r="G283" s="122">
        <f>$H$11*E283</f>
        <v>4</v>
      </c>
      <c r="H283" s="123">
        <f>F283*$H$11</f>
        <v>52</v>
      </c>
      <c r="I283" s="135">
        <v>2.5</v>
      </c>
      <c r="J283" s="123">
        <f>C283*I283</f>
        <v>32.5</v>
      </c>
      <c r="K283" s="124">
        <f>SUM(H283,J283)</f>
        <v>84.5</v>
      </c>
      <c r="L283" s="123">
        <f>K283/C283</f>
        <v>6.5</v>
      </c>
      <c r="M283" s="125">
        <f>C283*L283</f>
        <v>84.5</v>
      </c>
      <c r="N283" s="131">
        <v>0</v>
      </c>
      <c r="O283" s="118">
        <f>M283*N283</f>
        <v>0</v>
      </c>
      <c r="P283" s="455"/>
      <c r="Q283" s="455"/>
      <c r="R283" s="455"/>
      <c r="S283" s="455"/>
      <c r="T283" s="154"/>
      <c r="U283" s="155"/>
      <c r="V283" s="136"/>
      <c r="W283" s="63"/>
      <c r="X283" s="63"/>
      <c r="Y283" s="62"/>
      <c r="Z283" s="62"/>
      <c r="AA283" s="103"/>
      <c r="AB283" s="103"/>
    </row>
    <row r="284" spans="1:28" s="70" customFormat="1" ht="14.25" x14ac:dyDescent="0.2">
      <c r="A284" s="60"/>
      <c r="B284" s="146" t="s">
        <v>127</v>
      </c>
      <c r="C284" s="152">
        <v>13</v>
      </c>
      <c r="D284" s="153" t="s">
        <v>46</v>
      </c>
      <c r="E284" s="122">
        <v>0.1</v>
      </c>
      <c r="F284" s="122">
        <f>C284*E284</f>
        <v>1.3</v>
      </c>
      <c r="G284" s="122">
        <f>$H$11*E284</f>
        <v>4</v>
      </c>
      <c r="H284" s="123">
        <f>F284*$H$11</f>
        <v>52</v>
      </c>
      <c r="I284" s="135">
        <v>0</v>
      </c>
      <c r="J284" s="123">
        <f>C284*I284</f>
        <v>0</v>
      </c>
      <c r="K284" s="124">
        <f>SUM(H284,J284)</f>
        <v>52</v>
      </c>
      <c r="L284" s="123">
        <f>K284/C284</f>
        <v>4</v>
      </c>
      <c r="M284" s="125">
        <f>C284*L284</f>
        <v>52</v>
      </c>
      <c r="N284" s="131">
        <v>0</v>
      </c>
      <c r="O284" s="118">
        <f>M284*N284</f>
        <v>0</v>
      </c>
      <c r="P284" s="455"/>
      <c r="Q284" s="455"/>
      <c r="R284" s="455"/>
      <c r="S284" s="455"/>
      <c r="T284" s="154"/>
      <c r="U284" s="155"/>
      <c r="V284" s="136"/>
      <c r="W284" s="63"/>
      <c r="X284" s="63"/>
      <c r="Y284" s="62"/>
      <c r="Z284" s="62"/>
      <c r="AA284" s="103"/>
      <c r="AB284" s="103"/>
    </row>
    <row r="285" spans="1:28" s="70" customFormat="1" ht="14.25" x14ac:dyDescent="0.2">
      <c r="A285" s="60"/>
      <c r="B285" s="146"/>
      <c r="C285" s="152"/>
      <c r="D285" s="153"/>
      <c r="E285" s="122"/>
      <c r="F285" s="122"/>
      <c r="G285" s="122"/>
      <c r="H285" s="123"/>
      <c r="I285" s="135"/>
      <c r="J285" s="123"/>
      <c r="K285" s="124"/>
      <c r="L285" s="123"/>
      <c r="M285" s="125"/>
      <c r="N285" s="131"/>
      <c r="O285" s="118"/>
      <c r="P285" s="455"/>
      <c r="Q285" s="455"/>
      <c r="R285" s="455"/>
      <c r="S285" s="455"/>
      <c r="T285" s="154"/>
      <c r="U285" s="155"/>
      <c r="V285" s="136"/>
      <c r="W285" s="63"/>
      <c r="X285" s="63"/>
      <c r="Y285" s="62"/>
      <c r="Z285" s="62"/>
      <c r="AA285" s="103"/>
      <c r="AB285" s="103"/>
    </row>
    <row r="286" spans="1:28" s="70" customFormat="1" ht="14.25" x14ac:dyDescent="0.2">
      <c r="A286" s="60"/>
      <c r="B286" s="146" t="s">
        <v>126</v>
      </c>
      <c r="C286" s="152">
        <v>6</v>
      </c>
      <c r="D286" s="153" t="s">
        <v>45</v>
      </c>
      <c r="E286" s="390">
        <v>0.4</v>
      </c>
      <c r="F286" s="122">
        <f>C286*E286</f>
        <v>2.4000000000000004</v>
      </c>
      <c r="G286" s="122">
        <f>$H$11*E286</f>
        <v>16</v>
      </c>
      <c r="H286" s="123">
        <f>F286*$H$11</f>
        <v>96.000000000000014</v>
      </c>
      <c r="I286" s="135">
        <v>32</v>
      </c>
      <c r="J286" s="123">
        <f>C286*I286</f>
        <v>192</v>
      </c>
      <c r="K286" s="124">
        <f>SUM(H286,J286)</f>
        <v>288</v>
      </c>
      <c r="L286" s="123">
        <f>K286/C286</f>
        <v>48</v>
      </c>
      <c r="M286" s="125">
        <f>C286*L286</f>
        <v>288</v>
      </c>
      <c r="N286" s="131">
        <v>0</v>
      </c>
      <c r="O286" s="118">
        <f>M286*N286</f>
        <v>0</v>
      </c>
      <c r="P286" s="455"/>
      <c r="Q286" s="455"/>
      <c r="R286" s="455"/>
      <c r="S286" s="455"/>
      <c r="T286" s="154"/>
      <c r="U286" s="155"/>
      <c r="V286" s="136"/>
      <c r="W286" s="63"/>
      <c r="X286" s="63"/>
      <c r="Y286" s="62"/>
      <c r="Z286" s="62"/>
      <c r="AA286" s="103"/>
      <c r="AB286" s="103"/>
    </row>
    <row r="287" spans="1:28" s="70" customFormat="1" ht="14.25" x14ac:dyDescent="0.2">
      <c r="A287" s="60"/>
      <c r="B287" s="146" t="s">
        <v>105</v>
      </c>
      <c r="C287" s="152">
        <v>2</v>
      </c>
      <c r="D287" s="153" t="s">
        <v>46</v>
      </c>
      <c r="E287" s="122">
        <v>0.1</v>
      </c>
      <c r="F287" s="122">
        <f>C287*E287</f>
        <v>0.2</v>
      </c>
      <c r="G287" s="122">
        <f>$H$11*E287</f>
        <v>4</v>
      </c>
      <c r="H287" s="123">
        <f>F287*$H$11</f>
        <v>8</v>
      </c>
      <c r="I287" s="135">
        <v>2.5</v>
      </c>
      <c r="J287" s="123">
        <f>C287*I287</f>
        <v>5</v>
      </c>
      <c r="K287" s="124">
        <f>SUM(H287,J287)</f>
        <v>13</v>
      </c>
      <c r="L287" s="123">
        <f>K287/C287</f>
        <v>6.5</v>
      </c>
      <c r="M287" s="125">
        <f>C287*L287</f>
        <v>13</v>
      </c>
      <c r="N287" s="131">
        <v>0</v>
      </c>
      <c r="O287" s="118">
        <f>M287*N287</f>
        <v>0</v>
      </c>
      <c r="P287" s="455"/>
      <c r="Q287" s="455"/>
      <c r="R287" s="455"/>
      <c r="S287" s="455"/>
      <c r="T287" s="154"/>
      <c r="U287" s="155"/>
      <c r="V287" s="136"/>
      <c r="W287" s="63"/>
      <c r="X287" s="63"/>
      <c r="Y287" s="62"/>
      <c r="Z287" s="62"/>
      <c r="AA287" s="103"/>
      <c r="AB287" s="103"/>
    </row>
    <row r="288" spans="1:28" s="70" customFormat="1" ht="14.25" x14ac:dyDescent="0.2">
      <c r="A288" s="60"/>
      <c r="B288" s="146" t="s">
        <v>127</v>
      </c>
      <c r="C288" s="152">
        <v>17</v>
      </c>
      <c r="D288" s="153" t="s">
        <v>46</v>
      </c>
      <c r="E288" s="122">
        <v>0.2</v>
      </c>
      <c r="F288" s="122">
        <f>C288*E288</f>
        <v>3.4000000000000004</v>
      </c>
      <c r="G288" s="122">
        <f>$H$11*E288</f>
        <v>8</v>
      </c>
      <c r="H288" s="123">
        <f>F288*$H$11</f>
        <v>136</v>
      </c>
      <c r="I288" s="135">
        <v>0</v>
      </c>
      <c r="J288" s="123">
        <f>C288*I288</f>
        <v>0</v>
      </c>
      <c r="K288" s="124">
        <f>SUM(H288,J288)</f>
        <v>136</v>
      </c>
      <c r="L288" s="123">
        <f>K288/C288</f>
        <v>8</v>
      </c>
      <c r="M288" s="125">
        <f>C288*L288</f>
        <v>136</v>
      </c>
      <c r="N288" s="131">
        <v>0</v>
      </c>
      <c r="O288" s="118">
        <f>M288*N288</f>
        <v>0</v>
      </c>
      <c r="P288" s="455"/>
      <c r="Q288" s="455"/>
      <c r="R288" s="455"/>
      <c r="S288" s="455"/>
      <c r="T288" s="154"/>
      <c r="U288" s="155"/>
      <c r="V288" s="136"/>
      <c r="W288" s="63"/>
      <c r="X288" s="63"/>
      <c r="Y288" s="62"/>
      <c r="Z288" s="62"/>
      <c r="AA288" s="103"/>
      <c r="AB288" s="103"/>
    </row>
    <row r="289" spans="1:28" s="70" customFormat="1" ht="14.25" x14ac:dyDescent="0.2">
      <c r="A289" s="60"/>
      <c r="B289" s="146"/>
      <c r="C289" s="152"/>
      <c r="D289" s="153"/>
      <c r="E289" s="122"/>
      <c r="F289" s="122"/>
      <c r="G289" s="122"/>
      <c r="H289" s="123"/>
      <c r="I289" s="135"/>
      <c r="J289" s="123"/>
      <c r="K289" s="124"/>
      <c r="L289" s="123"/>
      <c r="M289" s="125"/>
      <c r="N289" s="131"/>
      <c r="O289" s="118"/>
      <c r="P289" s="455"/>
      <c r="Q289" s="455"/>
      <c r="R289" s="455"/>
      <c r="S289" s="455"/>
      <c r="T289" s="154"/>
      <c r="U289" s="155"/>
      <c r="V289" s="136"/>
      <c r="W289" s="63"/>
      <c r="X289" s="63"/>
      <c r="Y289" s="62"/>
      <c r="Z289" s="62"/>
      <c r="AA289" s="103"/>
      <c r="AB289" s="103"/>
    </row>
    <row r="290" spans="1:28" s="70" customFormat="1" ht="14.25" x14ac:dyDescent="0.2">
      <c r="A290" s="60"/>
      <c r="B290" s="146" t="s">
        <v>123</v>
      </c>
      <c r="C290" s="152">
        <v>7</v>
      </c>
      <c r="D290" s="153" t="s">
        <v>45</v>
      </c>
      <c r="E290" s="390">
        <v>0.2</v>
      </c>
      <c r="F290" s="122">
        <f>C290*E290</f>
        <v>1.4000000000000001</v>
      </c>
      <c r="G290" s="122">
        <f>$H$11*E290</f>
        <v>8</v>
      </c>
      <c r="H290" s="123">
        <f>F290*$H$11</f>
        <v>56.000000000000007</v>
      </c>
      <c r="I290" s="135">
        <v>17.87</v>
      </c>
      <c r="J290" s="123">
        <f>C290*I290</f>
        <v>125.09</v>
      </c>
      <c r="K290" s="124">
        <f>SUM(H290,J290)</f>
        <v>181.09</v>
      </c>
      <c r="L290" s="123">
        <f>K290/C290</f>
        <v>25.87</v>
      </c>
      <c r="M290" s="125">
        <f>C290*L290</f>
        <v>181.09</v>
      </c>
      <c r="N290" s="131">
        <v>0</v>
      </c>
      <c r="O290" s="118">
        <f>M290*N290</f>
        <v>0</v>
      </c>
      <c r="P290" s="455"/>
      <c r="Q290" s="455"/>
      <c r="R290" s="455"/>
      <c r="S290" s="455"/>
      <c r="T290" s="154"/>
      <c r="U290" s="155"/>
      <c r="V290" s="136"/>
      <c r="W290" s="63"/>
      <c r="X290" s="63"/>
      <c r="Y290" s="62"/>
      <c r="Z290" s="62"/>
      <c r="AA290" s="103"/>
      <c r="AB290" s="103"/>
    </row>
    <row r="291" spans="1:28" s="70" customFormat="1" ht="14.25" x14ac:dyDescent="0.2">
      <c r="A291" s="60"/>
      <c r="B291" s="146" t="s">
        <v>127</v>
      </c>
      <c r="C291" s="152">
        <v>17</v>
      </c>
      <c r="D291" s="153" t="s">
        <v>46</v>
      </c>
      <c r="E291" s="122">
        <v>0.1</v>
      </c>
      <c r="F291" s="122">
        <f>C291*E291</f>
        <v>1.7000000000000002</v>
      </c>
      <c r="G291" s="122">
        <f>$H$11*E291</f>
        <v>4</v>
      </c>
      <c r="H291" s="123">
        <f>F291*$H$11</f>
        <v>68</v>
      </c>
      <c r="I291" s="135">
        <v>0</v>
      </c>
      <c r="J291" s="123">
        <f>C291*I291</f>
        <v>0</v>
      </c>
      <c r="K291" s="124">
        <f>SUM(H291,J291)</f>
        <v>68</v>
      </c>
      <c r="L291" s="123">
        <f>K291/C291</f>
        <v>4</v>
      </c>
      <c r="M291" s="125">
        <f>C291*L291</f>
        <v>68</v>
      </c>
      <c r="N291" s="131">
        <v>0</v>
      </c>
      <c r="O291" s="118">
        <f>M291*N291</f>
        <v>0</v>
      </c>
      <c r="P291" s="455"/>
      <c r="Q291" s="455"/>
      <c r="R291" s="455"/>
      <c r="S291" s="455"/>
      <c r="T291" s="154"/>
      <c r="U291" s="155"/>
      <c r="V291" s="136"/>
      <c r="W291" s="63"/>
      <c r="X291" s="63"/>
      <c r="Y291" s="62"/>
      <c r="Z291" s="62"/>
      <c r="AA291" s="103"/>
      <c r="AB291" s="103"/>
    </row>
    <row r="292" spans="1:28" s="70" customFormat="1" ht="14.25" x14ac:dyDescent="0.2">
      <c r="A292" s="60"/>
      <c r="B292" s="165"/>
      <c r="C292" s="152"/>
      <c r="D292" s="153"/>
      <c r="E292" s="122"/>
      <c r="F292" s="122"/>
      <c r="G292" s="122"/>
      <c r="H292" s="123"/>
      <c r="I292" s="135"/>
      <c r="J292" s="123"/>
      <c r="K292" s="124"/>
      <c r="L292" s="123"/>
      <c r="M292" s="125"/>
      <c r="N292" s="131"/>
      <c r="O292" s="118"/>
      <c r="P292" s="455"/>
      <c r="Q292" s="455"/>
      <c r="R292" s="455"/>
      <c r="S292" s="455"/>
      <c r="T292" s="154"/>
      <c r="U292" s="155"/>
      <c r="V292" s="136"/>
      <c r="W292" s="63"/>
      <c r="X292" s="63"/>
      <c r="Y292" s="62"/>
      <c r="Z292" s="62"/>
      <c r="AA292" s="103"/>
      <c r="AB292" s="103"/>
    </row>
    <row r="293" spans="1:28" s="70" customFormat="1" ht="14.25" x14ac:dyDescent="0.2">
      <c r="A293" s="60"/>
      <c r="B293" s="146" t="s">
        <v>361</v>
      </c>
      <c r="C293" s="152">
        <v>44</v>
      </c>
      <c r="D293" s="153" t="s">
        <v>60</v>
      </c>
      <c r="E293" s="122">
        <v>0.12</v>
      </c>
      <c r="F293" s="122">
        <f>C293*E293</f>
        <v>5.2799999999999994</v>
      </c>
      <c r="G293" s="122">
        <f>$H$11*E293</f>
        <v>4.8</v>
      </c>
      <c r="H293" s="123">
        <f>F293*$H$11</f>
        <v>211.2</v>
      </c>
      <c r="I293" s="135">
        <v>10</v>
      </c>
      <c r="J293" s="123">
        <f>C293*I293</f>
        <v>440</v>
      </c>
      <c r="K293" s="124">
        <f>SUM(H293,J293)</f>
        <v>651.20000000000005</v>
      </c>
      <c r="L293" s="123">
        <f>K293/C293</f>
        <v>14.8</v>
      </c>
      <c r="M293" s="125">
        <f>C293*L293</f>
        <v>651.20000000000005</v>
      </c>
      <c r="N293" s="131">
        <v>0</v>
      </c>
      <c r="O293" s="118">
        <f>M293*N293</f>
        <v>0</v>
      </c>
      <c r="P293" s="455"/>
      <c r="Q293" s="455"/>
      <c r="R293" s="455"/>
      <c r="S293" s="455"/>
      <c r="T293" s="154"/>
      <c r="U293" s="155"/>
      <c r="V293" s="136"/>
      <c r="W293" s="63"/>
      <c r="X293" s="63"/>
      <c r="Y293" s="62"/>
      <c r="Z293" s="62"/>
      <c r="AA293" s="103"/>
      <c r="AB293" s="103"/>
    </row>
    <row r="294" spans="1:28" s="70" customFormat="1" ht="14.25" x14ac:dyDescent="0.2">
      <c r="A294" s="60"/>
      <c r="B294" s="165"/>
      <c r="C294" s="152"/>
      <c r="D294" s="153"/>
      <c r="E294" s="122"/>
      <c r="F294" s="122"/>
      <c r="G294" s="122"/>
      <c r="H294" s="123"/>
      <c r="I294" s="135"/>
      <c r="J294" s="123"/>
      <c r="K294" s="124"/>
      <c r="L294" s="123"/>
      <c r="M294" s="125"/>
      <c r="N294" s="131"/>
      <c r="O294" s="118"/>
      <c r="P294" s="455"/>
      <c r="Q294" s="455"/>
      <c r="R294" s="455"/>
      <c r="S294" s="455"/>
      <c r="T294" s="154"/>
      <c r="U294" s="155"/>
      <c r="V294" s="136"/>
      <c r="W294" s="63"/>
      <c r="X294" s="63"/>
      <c r="Y294" s="62"/>
      <c r="Z294" s="62"/>
      <c r="AA294" s="103"/>
      <c r="AB294" s="103"/>
    </row>
    <row r="295" spans="1:28" s="70" customFormat="1" ht="14.25" x14ac:dyDescent="0.2">
      <c r="A295" s="60"/>
      <c r="B295" s="165" t="s">
        <v>65</v>
      </c>
      <c r="C295" s="152"/>
      <c r="D295" s="153"/>
      <c r="E295" s="122"/>
      <c r="F295" s="122"/>
      <c r="G295" s="122"/>
      <c r="H295" s="123"/>
      <c r="I295" s="135"/>
      <c r="J295" s="123"/>
      <c r="K295" s="124"/>
      <c r="L295" s="123"/>
      <c r="M295" s="125"/>
      <c r="N295" s="131"/>
      <c r="O295" s="118"/>
      <c r="P295" s="455"/>
      <c r="Q295" s="455"/>
      <c r="R295" s="455"/>
      <c r="S295" s="455"/>
      <c r="T295" s="154"/>
      <c r="U295" s="155"/>
      <c r="V295" s="136"/>
      <c r="W295" s="63"/>
      <c r="X295" s="63"/>
      <c r="Y295" s="62"/>
      <c r="Z295" s="62"/>
      <c r="AA295" s="103"/>
      <c r="AB295" s="103"/>
    </row>
    <row r="296" spans="1:28" s="70" customFormat="1" ht="14.25" x14ac:dyDescent="0.2">
      <c r="A296" s="60"/>
      <c r="B296" s="151" t="s">
        <v>138</v>
      </c>
      <c r="C296" s="152">
        <v>56</v>
      </c>
      <c r="D296" s="153" t="s">
        <v>45</v>
      </c>
      <c r="E296" s="392">
        <v>0.4</v>
      </c>
      <c r="F296" s="122">
        <f>C296*E296</f>
        <v>22.400000000000002</v>
      </c>
      <c r="G296" s="122">
        <f>$H$11*E296</f>
        <v>16</v>
      </c>
      <c r="H296" s="123">
        <f>F296*$H$11</f>
        <v>896.00000000000011</v>
      </c>
      <c r="I296" s="135">
        <v>32</v>
      </c>
      <c r="J296" s="123">
        <f>C296*I296</f>
        <v>1792</v>
      </c>
      <c r="K296" s="124">
        <f>SUM(H296,J296)</f>
        <v>2688</v>
      </c>
      <c r="L296" s="123">
        <f>K296/C296</f>
        <v>48</v>
      </c>
      <c r="M296" s="125">
        <f>C296*L296</f>
        <v>2688</v>
      </c>
      <c r="N296" s="131">
        <v>0</v>
      </c>
      <c r="O296" s="118">
        <f>M296*N296</f>
        <v>0</v>
      </c>
      <c r="P296" s="455"/>
      <c r="Q296" s="455"/>
      <c r="R296" s="455"/>
      <c r="S296" s="455"/>
      <c r="T296" s="154"/>
      <c r="U296" s="155"/>
      <c r="V296" s="136"/>
      <c r="W296" s="63"/>
      <c r="X296" s="63"/>
      <c r="Y296" s="62"/>
      <c r="Z296" s="62"/>
      <c r="AA296" s="103"/>
      <c r="AB296" s="103"/>
    </row>
    <row r="297" spans="1:28" s="70" customFormat="1" ht="14.25" x14ac:dyDescent="0.2">
      <c r="A297" s="60"/>
      <c r="B297" s="151" t="s">
        <v>139</v>
      </c>
      <c r="C297" s="152">
        <v>38</v>
      </c>
      <c r="D297" s="153" t="s">
        <v>46</v>
      </c>
      <c r="E297" s="122">
        <v>0.2</v>
      </c>
      <c r="F297" s="122">
        <f>C297*E297</f>
        <v>7.6000000000000005</v>
      </c>
      <c r="G297" s="122">
        <f>$H$11*E297</f>
        <v>8</v>
      </c>
      <c r="H297" s="123">
        <f>F297*$H$11</f>
        <v>304</v>
      </c>
      <c r="I297" s="135">
        <v>0</v>
      </c>
      <c r="J297" s="123">
        <f>C297*I297</f>
        <v>0</v>
      </c>
      <c r="K297" s="124">
        <f>SUM(H297,J297)</f>
        <v>304</v>
      </c>
      <c r="L297" s="123">
        <f>K297/C297</f>
        <v>8</v>
      </c>
      <c r="M297" s="125">
        <f>C297*L297</f>
        <v>304</v>
      </c>
      <c r="N297" s="131">
        <v>0</v>
      </c>
      <c r="O297" s="118">
        <f>M297*N297</f>
        <v>0</v>
      </c>
      <c r="P297" s="455"/>
      <c r="Q297" s="455"/>
      <c r="R297" s="455"/>
      <c r="S297" s="455"/>
      <c r="T297" s="154"/>
      <c r="U297" s="155"/>
      <c r="V297" s="136"/>
      <c r="W297" s="63"/>
      <c r="X297" s="63"/>
      <c r="Y297" s="62"/>
      <c r="Z297" s="62"/>
      <c r="AA297" s="103"/>
      <c r="AB297" s="103"/>
    </row>
    <row r="298" spans="1:28" s="70" customFormat="1" ht="14.25" x14ac:dyDescent="0.2">
      <c r="A298" s="60"/>
      <c r="B298" s="151" t="s">
        <v>105</v>
      </c>
      <c r="C298" s="152">
        <v>76</v>
      </c>
      <c r="D298" s="153" t="s">
        <v>46</v>
      </c>
      <c r="E298" s="122">
        <v>0.1</v>
      </c>
      <c r="F298" s="122">
        <f>C298*E298</f>
        <v>7.6000000000000005</v>
      </c>
      <c r="G298" s="122">
        <f>$H$11*E298</f>
        <v>4</v>
      </c>
      <c r="H298" s="123">
        <f>F298*$H$11</f>
        <v>304</v>
      </c>
      <c r="I298" s="135">
        <v>2.5</v>
      </c>
      <c r="J298" s="123">
        <f>C298*I298</f>
        <v>190</v>
      </c>
      <c r="K298" s="124">
        <f>SUM(H298,J298)</f>
        <v>494</v>
      </c>
      <c r="L298" s="123">
        <f>K298/C298</f>
        <v>6.5</v>
      </c>
      <c r="M298" s="125">
        <f>C298*L298</f>
        <v>494</v>
      </c>
      <c r="N298" s="131">
        <v>0</v>
      </c>
      <c r="O298" s="118">
        <f>M298*N298</f>
        <v>0</v>
      </c>
      <c r="P298" s="455"/>
      <c r="Q298" s="455"/>
      <c r="R298" s="455"/>
      <c r="S298" s="455"/>
      <c r="T298" s="154"/>
      <c r="U298" s="155"/>
      <c r="V298" s="136"/>
      <c r="W298" s="63"/>
      <c r="X298" s="63"/>
      <c r="Y298" s="62"/>
      <c r="Z298" s="62"/>
      <c r="AA298" s="103"/>
      <c r="AB298" s="103"/>
    </row>
    <row r="299" spans="1:28" s="70" customFormat="1" ht="14.25" x14ac:dyDescent="0.2">
      <c r="A299" s="60"/>
      <c r="B299" s="151"/>
      <c r="C299" s="152"/>
      <c r="D299" s="153"/>
      <c r="E299" s="122"/>
      <c r="F299" s="122"/>
      <c r="G299" s="122"/>
      <c r="H299" s="123"/>
      <c r="I299" s="135"/>
      <c r="J299" s="123"/>
      <c r="K299" s="124"/>
      <c r="L299" s="123"/>
      <c r="M299" s="125"/>
      <c r="N299" s="131"/>
      <c r="O299" s="118"/>
      <c r="P299" s="455"/>
      <c r="Q299" s="455"/>
      <c r="R299" s="455"/>
      <c r="S299" s="455"/>
      <c r="T299" s="154"/>
      <c r="U299" s="155"/>
      <c r="V299" s="136"/>
      <c r="W299" s="63"/>
      <c r="X299" s="63"/>
      <c r="Y299" s="62"/>
      <c r="Z299" s="62"/>
      <c r="AA299" s="103"/>
      <c r="AB299" s="103"/>
    </row>
    <row r="300" spans="1:28" s="70" customFormat="1" ht="14.25" x14ac:dyDescent="0.2">
      <c r="A300" s="60"/>
      <c r="B300" s="151" t="s">
        <v>141</v>
      </c>
      <c r="C300" s="152">
        <v>17</v>
      </c>
      <c r="D300" s="153" t="s">
        <v>45</v>
      </c>
      <c r="E300" s="392">
        <v>0.4</v>
      </c>
      <c r="F300" s="122">
        <f>C300*E300</f>
        <v>6.8000000000000007</v>
      </c>
      <c r="G300" s="122">
        <f>$H$11*E300</f>
        <v>16</v>
      </c>
      <c r="H300" s="123">
        <f>F300*$H$11</f>
        <v>272</v>
      </c>
      <c r="I300" s="135">
        <v>32</v>
      </c>
      <c r="J300" s="123">
        <f>C300*I300</f>
        <v>544</v>
      </c>
      <c r="K300" s="124">
        <f>SUM(H300,J300)</f>
        <v>816</v>
      </c>
      <c r="L300" s="123">
        <f>K300/C300</f>
        <v>48</v>
      </c>
      <c r="M300" s="125">
        <f>C300*L300</f>
        <v>816</v>
      </c>
      <c r="N300" s="131">
        <v>0</v>
      </c>
      <c r="O300" s="118">
        <f>M300*N300</f>
        <v>0</v>
      </c>
      <c r="P300" s="455"/>
      <c r="Q300" s="455"/>
      <c r="R300" s="455"/>
      <c r="S300" s="455"/>
      <c r="T300" s="154"/>
      <c r="U300" s="155"/>
      <c r="V300" s="136"/>
      <c r="W300" s="63"/>
      <c r="X300" s="63"/>
      <c r="Y300" s="62"/>
      <c r="Z300" s="62"/>
      <c r="AA300" s="103"/>
      <c r="AB300" s="103"/>
    </row>
    <row r="301" spans="1:28" s="70" customFormat="1" ht="14.25" x14ac:dyDescent="0.2">
      <c r="A301" s="60"/>
      <c r="B301" s="151" t="s">
        <v>139</v>
      </c>
      <c r="C301" s="152">
        <v>46</v>
      </c>
      <c r="D301" s="153" t="s">
        <v>46</v>
      </c>
      <c r="E301" s="122">
        <v>0.2</v>
      </c>
      <c r="F301" s="122">
        <f>C301*E301</f>
        <v>9.2000000000000011</v>
      </c>
      <c r="G301" s="122">
        <f>$H$11*E301</f>
        <v>8</v>
      </c>
      <c r="H301" s="123">
        <f>F301*$H$11</f>
        <v>368.00000000000006</v>
      </c>
      <c r="I301" s="135">
        <v>0</v>
      </c>
      <c r="J301" s="123">
        <f>C301*I301</f>
        <v>0</v>
      </c>
      <c r="K301" s="124">
        <f>SUM(H301,J301)</f>
        <v>368.00000000000006</v>
      </c>
      <c r="L301" s="123">
        <f>K301/C301</f>
        <v>8.0000000000000018</v>
      </c>
      <c r="M301" s="125">
        <f>C301*L301</f>
        <v>368.00000000000006</v>
      </c>
      <c r="N301" s="131">
        <v>0</v>
      </c>
      <c r="O301" s="118">
        <f>M301*N301</f>
        <v>0</v>
      </c>
      <c r="P301" s="455"/>
      <c r="Q301" s="455"/>
      <c r="R301" s="455"/>
      <c r="S301" s="455"/>
      <c r="T301" s="154"/>
      <c r="U301" s="155"/>
      <c r="V301" s="136"/>
      <c r="W301" s="63"/>
      <c r="X301" s="63"/>
      <c r="Y301" s="62"/>
      <c r="Z301" s="62"/>
      <c r="AA301" s="103"/>
      <c r="AB301" s="103"/>
    </row>
    <row r="302" spans="1:28" s="70" customFormat="1" ht="14.25" x14ac:dyDescent="0.2">
      <c r="A302" s="60"/>
      <c r="B302" s="151" t="s">
        <v>105</v>
      </c>
      <c r="C302" s="152">
        <v>46</v>
      </c>
      <c r="D302" s="153" t="s">
        <v>46</v>
      </c>
      <c r="E302" s="122">
        <v>0.1</v>
      </c>
      <c r="F302" s="122">
        <f>C302*E302</f>
        <v>4.6000000000000005</v>
      </c>
      <c r="G302" s="122">
        <f>$H$11*E302</f>
        <v>4</v>
      </c>
      <c r="H302" s="123">
        <f>F302*$H$11</f>
        <v>184.00000000000003</v>
      </c>
      <c r="I302" s="135">
        <v>2.5</v>
      </c>
      <c r="J302" s="123">
        <f>C302*I302</f>
        <v>115</v>
      </c>
      <c r="K302" s="124">
        <f>SUM(H302,J302)</f>
        <v>299</v>
      </c>
      <c r="L302" s="123">
        <f>K302/C302</f>
        <v>6.5</v>
      </c>
      <c r="M302" s="125">
        <f>C302*L302</f>
        <v>299</v>
      </c>
      <c r="N302" s="131">
        <v>0</v>
      </c>
      <c r="O302" s="118">
        <f>M302*N302</f>
        <v>0</v>
      </c>
      <c r="P302" s="455"/>
      <c r="Q302" s="455"/>
      <c r="R302" s="455"/>
      <c r="S302" s="455"/>
      <c r="T302" s="154"/>
      <c r="U302" s="155"/>
      <c r="V302" s="136"/>
      <c r="W302" s="63"/>
      <c r="X302" s="63"/>
      <c r="Y302" s="62"/>
      <c r="Z302" s="62"/>
      <c r="AA302" s="103"/>
      <c r="AB302" s="103"/>
    </row>
    <row r="303" spans="1:28" s="70" customFormat="1" ht="14.25" x14ac:dyDescent="0.2">
      <c r="A303" s="60"/>
      <c r="B303" s="151"/>
      <c r="C303" s="152"/>
      <c r="D303" s="153"/>
      <c r="E303" s="122"/>
      <c r="F303" s="122"/>
      <c r="G303" s="122"/>
      <c r="H303" s="123"/>
      <c r="I303" s="135"/>
      <c r="J303" s="123"/>
      <c r="K303" s="124"/>
      <c r="L303" s="123"/>
      <c r="M303" s="125"/>
      <c r="N303" s="131"/>
      <c r="O303" s="118"/>
      <c r="P303" s="455"/>
      <c r="Q303" s="455"/>
      <c r="R303" s="455"/>
      <c r="S303" s="455"/>
      <c r="T303" s="154"/>
      <c r="U303" s="155"/>
      <c r="V303" s="136"/>
      <c r="W303" s="63"/>
      <c r="X303" s="63"/>
      <c r="Y303" s="62"/>
      <c r="Z303" s="62"/>
      <c r="AA303" s="103"/>
      <c r="AB303" s="103"/>
    </row>
    <row r="304" spans="1:28" s="70" customFormat="1" ht="14.25" x14ac:dyDescent="0.2">
      <c r="A304" s="60"/>
      <c r="B304" s="151" t="s">
        <v>140</v>
      </c>
      <c r="C304" s="152">
        <v>5</v>
      </c>
      <c r="D304" s="153" t="s">
        <v>45</v>
      </c>
      <c r="E304" s="392">
        <v>0.4</v>
      </c>
      <c r="F304" s="122">
        <f>C304*E304</f>
        <v>2</v>
      </c>
      <c r="G304" s="122">
        <f>$H$11*E304</f>
        <v>16</v>
      </c>
      <c r="H304" s="123">
        <f>F304*$H$11</f>
        <v>80</v>
      </c>
      <c r="I304" s="135">
        <v>32</v>
      </c>
      <c r="J304" s="123">
        <f>C304*I304</f>
        <v>160</v>
      </c>
      <c r="K304" s="124">
        <f>SUM(H304,J304)</f>
        <v>240</v>
      </c>
      <c r="L304" s="123">
        <f>K304/C304</f>
        <v>48</v>
      </c>
      <c r="M304" s="125">
        <f>C304*L304</f>
        <v>240</v>
      </c>
      <c r="N304" s="131">
        <v>0</v>
      </c>
      <c r="O304" s="118">
        <f>M304*N304</f>
        <v>0</v>
      </c>
      <c r="P304" s="455"/>
      <c r="Q304" s="455"/>
      <c r="R304" s="455"/>
      <c r="S304" s="455"/>
      <c r="T304" s="154"/>
      <c r="U304" s="155"/>
      <c r="V304" s="136"/>
      <c r="W304" s="63"/>
      <c r="X304" s="63"/>
      <c r="Y304" s="62"/>
      <c r="Z304" s="62"/>
      <c r="AA304" s="103"/>
      <c r="AB304" s="103"/>
    </row>
    <row r="305" spans="1:28" s="70" customFormat="1" ht="14.25" x14ac:dyDescent="0.2">
      <c r="A305" s="60"/>
      <c r="B305" s="151" t="s">
        <v>139</v>
      </c>
      <c r="C305" s="152">
        <v>10</v>
      </c>
      <c r="D305" s="153" t="s">
        <v>46</v>
      </c>
      <c r="E305" s="122">
        <v>0.2</v>
      </c>
      <c r="F305" s="122">
        <f>C305*E305</f>
        <v>2</v>
      </c>
      <c r="G305" s="122">
        <f>$H$11*E305</f>
        <v>8</v>
      </c>
      <c r="H305" s="123">
        <f>F305*$H$11</f>
        <v>80</v>
      </c>
      <c r="I305" s="135">
        <v>0</v>
      </c>
      <c r="J305" s="123">
        <f>C305*I305</f>
        <v>0</v>
      </c>
      <c r="K305" s="124">
        <f>SUM(H305,J305)</f>
        <v>80</v>
      </c>
      <c r="L305" s="123">
        <f>K305/C305</f>
        <v>8</v>
      </c>
      <c r="M305" s="125">
        <f>C305*L305</f>
        <v>80</v>
      </c>
      <c r="N305" s="131">
        <v>0</v>
      </c>
      <c r="O305" s="118">
        <f>M305*N305</f>
        <v>0</v>
      </c>
      <c r="P305" s="455"/>
      <c r="Q305" s="455"/>
      <c r="R305" s="455"/>
      <c r="S305" s="455"/>
      <c r="T305" s="154"/>
      <c r="U305" s="155"/>
      <c r="V305" s="136"/>
      <c r="W305" s="63"/>
      <c r="X305" s="63"/>
      <c r="Y305" s="62"/>
      <c r="Z305" s="62"/>
      <c r="AA305" s="103"/>
      <c r="AB305" s="103"/>
    </row>
    <row r="306" spans="1:28" s="70" customFormat="1" ht="14.25" x14ac:dyDescent="0.2">
      <c r="A306" s="60"/>
      <c r="B306" s="151" t="s">
        <v>105</v>
      </c>
      <c r="C306" s="152">
        <v>10</v>
      </c>
      <c r="D306" s="153" t="s">
        <v>46</v>
      </c>
      <c r="E306" s="122">
        <v>0.1</v>
      </c>
      <c r="F306" s="122">
        <f>C306*E306</f>
        <v>1</v>
      </c>
      <c r="G306" s="122">
        <f>$H$11*E306</f>
        <v>4</v>
      </c>
      <c r="H306" s="123">
        <f>F306*$H$11</f>
        <v>40</v>
      </c>
      <c r="I306" s="135">
        <v>2.5</v>
      </c>
      <c r="J306" s="123">
        <f>C306*I306</f>
        <v>25</v>
      </c>
      <c r="K306" s="124">
        <f>SUM(H306,J306)</f>
        <v>65</v>
      </c>
      <c r="L306" s="123">
        <f>K306/C306</f>
        <v>6.5</v>
      </c>
      <c r="M306" s="125">
        <f>C306*L306</f>
        <v>65</v>
      </c>
      <c r="N306" s="131">
        <v>0</v>
      </c>
      <c r="O306" s="118">
        <f>M306*N306</f>
        <v>0</v>
      </c>
      <c r="P306" s="455"/>
      <c r="Q306" s="455"/>
      <c r="R306" s="455"/>
      <c r="S306" s="455"/>
      <c r="T306" s="154"/>
      <c r="U306" s="155"/>
      <c r="V306" s="136"/>
      <c r="W306" s="63"/>
      <c r="X306" s="63"/>
      <c r="Y306" s="62"/>
      <c r="Z306" s="62"/>
      <c r="AA306" s="103"/>
      <c r="AB306" s="103"/>
    </row>
    <row r="307" spans="1:28" s="70" customFormat="1" ht="14.25" x14ac:dyDescent="0.2">
      <c r="A307" s="60"/>
      <c r="B307" s="151"/>
      <c r="C307" s="152"/>
      <c r="D307" s="153"/>
      <c r="E307" s="122"/>
      <c r="F307" s="122"/>
      <c r="G307" s="122"/>
      <c r="H307" s="123"/>
      <c r="I307" s="135"/>
      <c r="J307" s="123"/>
      <c r="K307" s="124"/>
      <c r="L307" s="123"/>
      <c r="M307" s="125"/>
      <c r="N307" s="131"/>
      <c r="O307" s="118"/>
      <c r="P307" s="455"/>
      <c r="Q307" s="455"/>
      <c r="R307" s="455"/>
      <c r="S307" s="455"/>
      <c r="T307" s="154"/>
      <c r="U307" s="155"/>
      <c r="V307" s="136"/>
      <c r="W307" s="63"/>
      <c r="X307" s="63"/>
      <c r="Y307" s="62"/>
      <c r="Z307" s="62"/>
      <c r="AA307" s="103"/>
      <c r="AB307" s="103"/>
    </row>
    <row r="308" spans="1:28" s="70" customFormat="1" ht="14.25" x14ac:dyDescent="0.2">
      <c r="A308" s="60"/>
      <c r="B308" s="151" t="s">
        <v>142</v>
      </c>
      <c r="C308" s="152">
        <v>7</v>
      </c>
      <c r="D308" s="153" t="s">
        <v>45</v>
      </c>
      <c r="E308" s="392">
        <v>0.4</v>
      </c>
      <c r="F308" s="122">
        <f>C308*E308</f>
        <v>2.8000000000000003</v>
      </c>
      <c r="G308" s="122">
        <f>$H$11*E308</f>
        <v>16</v>
      </c>
      <c r="H308" s="123">
        <f>F308*$H$11</f>
        <v>112.00000000000001</v>
      </c>
      <c r="I308" s="135">
        <v>32</v>
      </c>
      <c r="J308" s="123">
        <f>C308*I308</f>
        <v>224</v>
      </c>
      <c r="K308" s="124">
        <f>SUM(H308,J308)</f>
        <v>336</v>
      </c>
      <c r="L308" s="123">
        <f>K308/C308</f>
        <v>48</v>
      </c>
      <c r="M308" s="125">
        <f>C308*L308</f>
        <v>336</v>
      </c>
      <c r="N308" s="131">
        <v>0</v>
      </c>
      <c r="O308" s="118">
        <f>M308*N308</f>
        <v>0</v>
      </c>
      <c r="P308" s="455"/>
      <c r="Q308" s="455"/>
      <c r="R308" s="455"/>
      <c r="S308" s="455"/>
      <c r="T308" s="154"/>
      <c r="U308" s="155"/>
      <c r="V308" s="136"/>
      <c r="W308" s="63"/>
      <c r="X308" s="63"/>
      <c r="Y308" s="62"/>
      <c r="Z308" s="62"/>
      <c r="AA308" s="103"/>
      <c r="AB308" s="103"/>
    </row>
    <row r="309" spans="1:28" s="70" customFormat="1" ht="14.25" x14ac:dyDescent="0.2">
      <c r="A309" s="60"/>
      <c r="B309" s="151" t="s">
        <v>139</v>
      </c>
      <c r="C309" s="152">
        <v>10</v>
      </c>
      <c r="D309" s="153" t="s">
        <v>46</v>
      </c>
      <c r="E309" s="122">
        <v>0.2</v>
      </c>
      <c r="F309" s="122">
        <f>C309*E309</f>
        <v>2</v>
      </c>
      <c r="G309" s="122">
        <f>$H$11*E309</f>
        <v>8</v>
      </c>
      <c r="H309" s="123">
        <f>F309*$H$11</f>
        <v>80</v>
      </c>
      <c r="I309" s="135">
        <v>0</v>
      </c>
      <c r="J309" s="123">
        <f>C309*I309</f>
        <v>0</v>
      </c>
      <c r="K309" s="124">
        <f>SUM(H309,J309)</f>
        <v>80</v>
      </c>
      <c r="L309" s="123">
        <f>K309/C309</f>
        <v>8</v>
      </c>
      <c r="M309" s="125">
        <f>C309*L309</f>
        <v>80</v>
      </c>
      <c r="N309" s="131">
        <v>0</v>
      </c>
      <c r="O309" s="118">
        <f>M309*N309</f>
        <v>0</v>
      </c>
      <c r="P309" s="455"/>
      <c r="Q309" s="455"/>
      <c r="R309" s="455"/>
      <c r="S309" s="455"/>
      <c r="T309" s="154"/>
      <c r="U309" s="155"/>
      <c r="V309" s="136"/>
      <c r="W309" s="63"/>
      <c r="X309" s="63"/>
      <c r="Y309" s="62"/>
      <c r="Z309" s="62"/>
      <c r="AA309" s="103"/>
      <c r="AB309" s="103"/>
    </row>
    <row r="310" spans="1:28" s="70" customFormat="1" ht="14.25" x14ac:dyDescent="0.2">
      <c r="A310" s="60"/>
      <c r="B310" s="151"/>
      <c r="C310" s="152"/>
      <c r="D310" s="153"/>
      <c r="E310" s="122"/>
      <c r="F310" s="122"/>
      <c r="G310" s="122"/>
      <c r="H310" s="123"/>
      <c r="I310" s="135"/>
      <c r="J310" s="123"/>
      <c r="K310" s="124"/>
      <c r="L310" s="123"/>
      <c r="M310" s="125"/>
      <c r="N310" s="131"/>
      <c r="O310" s="118"/>
      <c r="P310" s="455"/>
      <c r="Q310" s="455"/>
      <c r="R310" s="455"/>
      <c r="S310" s="455"/>
      <c r="T310" s="154"/>
      <c r="U310" s="155"/>
      <c r="V310" s="136"/>
      <c r="W310" s="63"/>
      <c r="X310" s="63"/>
      <c r="Y310" s="62"/>
      <c r="Z310" s="62"/>
      <c r="AA310" s="103"/>
      <c r="AB310" s="103"/>
    </row>
    <row r="311" spans="1:28" s="70" customFormat="1" ht="14.25" x14ac:dyDescent="0.2">
      <c r="A311" s="60"/>
      <c r="B311" s="151" t="s">
        <v>260</v>
      </c>
      <c r="C311" s="152">
        <v>1</v>
      </c>
      <c r="D311" s="153" t="s">
        <v>45</v>
      </c>
      <c r="E311" s="392">
        <v>0.4</v>
      </c>
      <c r="F311" s="122">
        <f>C311*E311</f>
        <v>0.4</v>
      </c>
      <c r="G311" s="122">
        <f>$H$11*E311</f>
        <v>16</v>
      </c>
      <c r="H311" s="123">
        <f>F311*$H$11</f>
        <v>16</v>
      </c>
      <c r="I311" s="135">
        <v>32</v>
      </c>
      <c r="J311" s="123">
        <f>C311*I311</f>
        <v>32</v>
      </c>
      <c r="K311" s="124">
        <f>SUM(H311,J311)</f>
        <v>48</v>
      </c>
      <c r="L311" s="123">
        <f>K311/C311</f>
        <v>48</v>
      </c>
      <c r="M311" s="125">
        <f>C311*L311</f>
        <v>48</v>
      </c>
      <c r="N311" s="131">
        <v>0</v>
      </c>
      <c r="O311" s="118">
        <f>M311*N311</f>
        <v>0</v>
      </c>
      <c r="P311" s="455"/>
      <c r="Q311" s="455"/>
      <c r="R311" s="455"/>
      <c r="S311" s="455"/>
      <c r="T311" s="154"/>
      <c r="U311" s="155"/>
      <c r="V311" s="136"/>
      <c r="W311" s="63"/>
      <c r="X311" s="63"/>
      <c r="Y311" s="62"/>
      <c r="Z311" s="62"/>
      <c r="AA311" s="103"/>
      <c r="AB311" s="103"/>
    </row>
    <row r="312" spans="1:28" s="70" customFormat="1" ht="14.25" x14ac:dyDescent="0.2">
      <c r="A312" s="60"/>
      <c r="B312" s="151" t="s">
        <v>139</v>
      </c>
      <c r="C312" s="152">
        <v>14</v>
      </c>
      <c r="D312" s="153" t="s">
        <v>46</v>
      </c>
      <c r="E312" s="122">
        <v>0.2</v>
      </c>
      <c r="F312" s="122">
        <f>C312*E312</f>
        <v>2.8000000000000003</v>
      </c>
      <c r="G312" s="122">
        <f>$H$11*E312</f>
        <v>8</v>
      </c>
      <c r="H312" s="123">
        <f>F312*$H$11</f>
        <v>112.00000000000001</v>
      </c>
      <c r="I312" s="135">
        <v>0</v>
      </c>
      <c r="J312" s="123">
        <f>C312*I312</f>
        <v>0</v>
      </c>
      <c r="K312" s="124">
        <f>SUM(H312,J312)</f>
        <v>112.00000000000001</v>
      </c>
      <c r="L312" s="123">
        <f>K312/C312</f>
        <v>8.0000000000000018</v>
      </c>
      <c r="M312" s="125">
        <f>C312*L312</f>
        <v>112.00000000000003</v>
      </c>
      <c r="N312" s="131">
        <v>0</v>
      </c>
      <c r="O312" s="118">
        <f>M312*N312</f>
        <v>0</v>
      </c>
      <c r="P312" s="455"/>
      <c r="Q312" s="455"/>
      <c r="R312" s="455"/>
      <c r="S312" s="455"/>
      <c r="T312" s="154"/>
      <c r="U312" s="155"/>
      <c r="V312" s="136"/>
      <c r="W312" s="63"/>
      <c r="X312" s="63"/>
      <c r="Y312" s="62"/>
      <c r="Z312" s="62"/>
      <c r="AA312" s="103"/>
      <c r="AB312" s="103"/>
    </row>
    <row r="313" spans="1:28" s="70" customFormat="1" ht="14.25" x14ac:dyDescent="0.2">
      <c r="A313" s="60"/>
      <c r="B313" s="151" t="s">
        <v>105</v>
      </c>
      <c r="C313" s="152">
        <v>14</v>
      </c>
      <c r="D313" s="153" t="s">
        <v>46</v>
      </c>
      <c r="E313" s="122">
        <v>0.1</v>
      </c>
      <c r="F313" s="122">
        <f>C313*E313</f>
        <v>1.4000000000000001</v>
      </c>
      <c r="G313" s="122">
        <f>$H$11*E313</f>
        <v>4</v>
      </c>
      <c r="H313" s="123">
        <f>F313*$H$11</f>
        <v>56.000000000000007</v>
      </c>
      <c r="I313" s="135">
        <v>2.5</v>
      </c>
      <c r="J313" s="123">
        <f>C313*I313</f>
        <v>35</v>
      </c>
      <c r="K313" s="124">
        <f>SUM(H313,J313)</f>
        <v>91</v>
      </c>
      <c r="L313" s="123">
        <f>K313/C313</f>
        <v>6.5</v>
      </c>
      <c r="M313" s="125">
        <f>C313*L313</f>
        <v>91</v>
      </c>
      <c r="N313" s="131">
        <v>0</v>
      </c>
      <c r="O313" s="118">
        <f>M313*N313</f>
        <v>0</v>
      </c>
      <c r="P313" s="455"/>
      <c r="Q313" s="455"/>
      <c r="R313" s="455"/>
      <c r="S313" s="455"/>
      <c r="T313" s="154"/>
      <c r="U313" s="155"/>
      <c r="V313" s="136"/>
      <c r="W313" s="63"/>
      <c r="X313" s="63"/>
      <c r="Y313" s="62"/>
      <c r="Z313" s="62"/>
      <c r="AA313" s="103"/>
      <c r="AB313" s="103"/>
    </row>
    <row r="314" spans="1:28" s="70" customFormat="1" ht="14.25" x14ac:dyDescent="0.2">
      <c r="A314" s="60"/>
      <c r="B314" s="151"/>
      <c r="C314" s="152"/>
      <c r="D314" s="153"/>
      <c r="E314" s="122"/>
      <c r="F314" s="122"/>
      <c r="G314" s="122"/>
      <c r="H314" s="123"/>
      <c r="I314" s="135"/>
      <c r="J314" s="123"/>
      <c r="K314" s="124"/>
      <c r="L314" s="123"/>
      <c r="M314" s="125"/>
      <c r="N314" s="131"/>
      <c r="O314" s="118"/>
      <c r="P314" s="455"/>
      <c r="Q314" s="455"/>
      <c r="R314" s="455"/>
      <c r="S314" s="455"/>
      <c r="T314" s="154"/>
      <c r="U314" s="155"/>
      <c r="V314" s="136"/>
      <c r="W314" s="63"/>
      <c r="X314" s="63"/>
      <c r="Y314" s="62"/>
      <c r="Z314" s="62"/>
      <c r="AA314" s="103"/>
      <c r="AB314" s="103"/>
    </row>
    <row r="315" spans="1:28" s="70" customFormat="1" ht="25.5" x14ac:dyDescent="0.2">
      <c r="A315" s="60"/>
      <c r="B315" s="151" t="s">
        <v>261</v>
      </c>
      <c r="C315" s="152">
        <v>232</v>
      </c>
      <c r="D315" s="153" t="s">
        <v>45</v>
      </c>
      <c r="E315" s="392">
        <v>0.4</v>
      </c>
      <c r="F315" s="122">
        <f>C315*E315</f>
        <v>92.800000000000011</v>
      </c>
      <c r="G315" s="122">
        <f>$H$11*E315</f>
        <v>16</v>
      </c>
      <c r="H315" s="123">
        <f>F315*$H$11</f>
        <v>3712.0000000000005</v>
      </c>
      <c r="I315" s="135">
        <v>32</v>
      </c>
      <c r="J315" s="123">
        <f>C315*I315</f>
        <v>7424</v>
      </c>
      <c r="K315" s="124">
        <f>SUM(H315,J315)</f>
        <v>11136</v>
      </c>
      <c r="L315" s="123">
        <f>K315/C315</f>
        <v>48</v>
      </c>
      <c r="M315" s="125">
        <f>C315*L315</f>
        <v>11136</v>
      </c>
      <c r="N315" s="131">
        <v>0</v>
      </c>
      <c r="O315" s="118">
        <f>M315*N315</f>
        <v>0</v>
      </c>
      <c r="P315" s="455"/>
      <c r="Q315" s="455"/>
      <c r="R315" s="455"/>
      <c r="S315" s="455"/>
      <c r="T315" s="265">
        <f>SUM(C257,C259,C262,C263,C264,C267,C270,C271,C272,C278,C282,C286,C290,C296,C300,C304,C308,C311,C315)</f>
        <v>1306</v>
      </c>
      <c r="U315" s="155"/>
      <c r="V315" s="136"/>
      <c r="W315" s="63"/>
      <c r="X315" s="63"/>
      <c r="Y315" s="62"/>
      <c r="Z315" s="62"/>
      <c r="AA315" s="103"/>
      <c r="AB315" s="103"/>
    </row>
    <row r="316" spans="1:28" s="70" customFormat="1" ht="14.25" x14ac:dyDescent="0.2">
      <c r="A316" s="60"/>
      <c r="B316" s="151" t="s">
        <v>139</v>
      </c>
      <c r="C316" s="152" t="s">
        <v>89</v>
      </c>
      <c r="D316" s="153"/>
      <c r="E316" s="122"/>
      <c r="F316" s="122"/>
      <c r="G316" s="122"/>
      <c r="H316" s="123"/>
      <c r="I316" s="135"/>
      <c r="J316" s="123"/>
      <c r="K316" s="124"/>
      <c r="L316" s="123"/>
      <c r="M316" s="125"/>
      <c r="N316" s="131"/>
      <c r="O316" s="118"/>
      <c r="P316" s="455"/>
      <c r="Q316" s="455"/>
      <c r="R316" s="455"/>
      <c r="S316" s="455"/>
      <c r="T316" s="154"/>
      <c r="U316" s="155"/>
      <c r="V316" s="136"/>
      <c r="W316" s="63"/>
      <c r="X316" s="63"/>
      <c r="Y316" s="62"/>
      <c r="Z316" s="62"/>
      <c r="AA316" s="103"/>
      <c r="AB316" s="103"/>
    </row>
    <row r="317" spans="1:28" s="70" customFormat="1" ht="14.25" x14ac:dyDescent="0.2">
      <c r="A317" s="60"/>
      <c r="B317" s="151" t="s">
        <v>105</v>
      </c>
      <c r="C317" s="152">
        <v>290</v>
      </c>
      <c r="D317" s="153" t="s">
        <v>46</v>
      </c>
      <c r="E317" s="122">
        <v>0.1</v>
      </c>
      <c r="F317" s="122">
        <f>C317*E317</f>
        <v>29</v>
      </c>
      <c r="G317" s="122">
        <f>$H$11*E317</f>
        <v>4</v>
      </c>
      <c r="H317" s="123">
        <f>F317*$H$11</f>
        <v>1160</v>
      </c>
      <c r="I317" s="135">
        <v>2.5</v>
      </c>
      <c r="J317" s="123">
        <f>C317*I317</f>
        <v>725</v>
      </c>
      <c r="K317" s="124">
        <f>SUM(H317,J317)</f>
        <v>1885</v>
      </c>
      <c r="L317" s="123">
        <f>K317/C317</f>
        <v>6.5</v>
      </c>
      <c r="M317" s="125">
        <f>C317*L317</f>
        <v>1885</v>
      </c>
      <c r="N317" s="131">
        <v>0</v>
      </c>
      <c r="O317" s="118">
        <f>M317*N317</f>
        <v>0</v>
      </c>
      <c r="P317" s="455"/>
      <c r="Q317" s="455"/>
      <c r="R317" s="455"/>
      <c r="S317" s="455"/>
      <c r="T317" s="154"/>
      <c r="U317" s="155"/>
      <c r="V317" s="136"/>
      <c r="W317" s="63"/>
      <c r="X317" s="63"/>
      <c r="Y317" s="62"/>
      <c r="Z317" s="62"/>
      <c r="AA317" s="103"/>
      <c r="AB317" s="103"/>
    </row>
    <row r="318" spans="1:28" s="70" customFormat="1" ht="14.25" x14ac:dyDescent="0.2">
      <c r="A318" s="60"/>
      <c r="B318" s="151"/>
      <c r="C318" s="152"/>
      <c r="D318" s="153"/>
      <c r="E318" s="122"/>
      <c r="F318" s="122"/>
      <c r="G318" s="122"/>
      <c r="H318" s="123"/>
      <c r="I318" s="135"/>
      <c r="J318" s="123"/>
      <c r="K318" s="124"/>
      <c r="L318" s="123"/>
      <c r="M318" s="125">
        <f>-T254</f>
        <v>-1687</v>
      </c>
      <c r="N318" s="131"/>
      <c r="O318" s="118"/>
      <c r="P318" s="455"/>
      <c r="Q318" s="455"/>
      <c r="R318" s="455"/>
      <c r="S318" s="455"/>
      <c r="T318" s="154"/>
      <c r="U318" s="155"/>
      <c r="V318" s="136"/>
      <c r="W318" s="63"/>
      <c r="X318" s="63"/>
      <c r="Y318" s="62"/>
      <c r="Z318" s="62"/>
      <c r="AA318" s="103"/>
      <c r="AB318" s="103"/>
    </row>
    <row r="319" spans="1:28" s="70" customFormat="1" ht="14.25" x14ac:dyDescent="0.2">
      <c r="A319" s="60"/>
      <c r="B319" s="151"/>
      <c r="C319" s="152"/>
      <c r="D319" s="153"/>
      <c r="E319" s="122"/>
      <c r="F319" s="122"/>
      <c r="G319" s="122"/>
      <c r="H319" s="123"/>
      <c r="I319" s="135"/>
      <c r="J319" s="123"/>
      <c r="K319" s="124"/>
      <c r="L319" s="123"/>
      <c r="M319" s="125"/>
      <c r="N319" s="131"/>
      <c r="O319" s="118"/>
      <c r="P319" s="452">
        <f>SUM(M257:M318)</f>
        <v>49233.89</v>
      </c>
      <c r="Q319" s="450">
        <f>P319*SUM($L$585:$L$589)</f>
        <v>4677.2195499999998</v>
      </c>
      <c r="R319" s="266"/>
      <c r="S319" s="266"/>
      <c r="T319" s="154"/>
      <c r="U319" s="155"/>
      <c r="V319" s="136"/>
      <c r="W319" s="63"/>
      <c r="X319" s="63"/>
      <c r="Y319" s="62"/>
      <c r="Z319" s="62"/>
      <c r="AA319" s="103"/>
      <c r="AB319" s="103"/>
    </row>
    <row r="320" spans="1:28" s="70" customFormat="1" ht="14.25" x14ac:dyDescent="0.2">
      <c r="A320" s="60"/>
      <c r="B320" s="151"/>
      <c r="C320" s="152"/>
      <c r="D320" s="153"/>
      <c r="E320" s="122"/>
      <c r="F320" s="122"/>
      <c r="G320" s="122"/>
      <c r="H320" s="123"/>
      <c r="I320" s="135"/>
      <c r="J320" s="123"/>
      <c r="K320" s="124"/>
      <c r="L320" s="123"/>
      <c r="M320" s="125"/>
      <c r="N320" s="131"/>
      <c r="O320" s="118"/>
      <c r="P320" s="451">
        <f>P319/$M$582</f>
        <v>0.12645224956778986</v>
      </c>
      <c r="Q320" s="452">
        <f>P320*$M$593</f>
        <v>1067.6493044564315</v>
      </c>
      <c r="R320" s="452">
        <f>SUM(P319,Q319,Q320)</f>
        <v>54978.758854456435</v>
      </c>
      <c r="S320" s="452">
        <f>R320*1.08</f>
        <v>59377.059562812952</v>
      </c>
      <c r="T320" s="154"/>
      <c r="U320" s="155"/>
      <c r="V320" s="136"/>
      <c r="W320" s="63"/>
      <c r="X320" s="63"/>
      <c r="Y320" s="62"/>
      <c r="Z320" s="62"/>
      <c r="AA320" s="103"/>
      <c r="AB320" s="103"/>
    </row>
    <row r="321" spans="1:28" s="70" customFormat="1" ht="14.25" x14ac:dyDescent="0.2">
      <c r="A321" s="60"/>
      <c r="B321" s="151"/>
      <c r="C321" s="152"/>
      <c r="D321" s="153"/>
      <c r="E321" s="122"/>
      <c r="F321" s="122"/>
      <c r="G321" s="122"/>
      <c r="H321" s="123"/>
      <c r="I321" s="135"/>
      <c r="J321" s="123"/>
      <c r="K321" s="124"/>
      <c r="L321" s="123"/>
      <c r="M321" s="125"/>
      <c r="N321" s="131"/>
      <c r="O321" s="118"/>
      <c r="P321" s="455"/>
      <c r="Q321" s="455"/>
      <c r="R321" s="455"/>
      <c r="S321" s="455"/>
      <c r="T321" s="154"/>
      <c r="U321" s="155"/>
      <c r="V321" s="136"/>
      <c r="W321" s="63"/>
      <c r="X321" s="63"/>
      <c r="Y321" s="62"/>
      <c r="Z321" s="62"/>
      <c r="AA321" s="103"/>
      <c r="AB321" s="103"/>
    </row>
    <row r="322" spans="1:28" s="70" customFormat="1" ht="15" x14ac:dyDescent="0.2">
      <c r="A322" s="60"/>
      <c r="B322" s="169" t="s">
        <v>69</v>
      </c>
      <c r="C322" s="152"/>
      <c r="D322" s="153"/>
      <c r="E322" s="122"/>
      <c r="F322" s="122"/>
      <c r="G322" s="122"/>
      <c r="H322" s="123"/>
      <c r="I322" s="135"/>
      <c r="J322" s="123"/>
      <c r="K322" s="124"/>
      <c r="L322" s="123"/>
      <c r="M322" s="125"/>
      <c r="N322" s="131"/>
      <c r="O322" s="118"/>
      <c r="P322" s="455"/>
      <c r="Q322" s="455"/>
      <c r="R322" s="455"/>
      <c r="S322" s="455"/>
      <c r="T322" s="394">
        <f>SUM(C324,C326,C328,C329,C330,C331,C334,C337,C338,C338,C339,C345,C349,C353,C353,C357,C363,C363,C367,C367,C371,C371,C375,C375,C378,C378)</f>
        <v>1223</v>
      </c>
      <c r="U322" s="155"/>
      <c r="V322" s="136"/>
      <c r="W322" s="63"/>
      <c r="X322" s="63"/>
      <c r="Y322" s="62"/>
      <c r="Z322" s="62"/>
      <c r="AA322" s="103"/>
      <c r="AB322" s="103"/>
    </row>
    <row r="323" spans="1:28" s="70" customFormat="1" ht="14.25" x14ac:dyDescent="0.2">
      <c r="A323" s="60"/>
      <c r="B323" s="165" t="s">
        <v>72</v>
      </c>
      <c r="C323" s="152"/>
      <c r="D323" s="153"/>
      <c r="E323" s="122"/>
      <c r="F323" s="122"/>
      <c r="G323" s="122"/>
      <c r="H323" s="123"/>
      <c r="I323" s="135"/>
      <c r="J323" s="123"/>
      <c r="K323" s="124"/>
      <c r="L323" s="123"/>
      <c r="M323" s="125"/>
      <c r="N323" s="131"/>
      <c r="O323" s="118"/>
      <c r="P323" s="455"/>
      <c r="Q323" s="455"/>
      <c r="R323" s="455"/>
      <c r="S323" s="455"/>
      <c r="T323" s="154"/>
      <c r="U323" s="155"/>
      <c r="V323" s="136"/>
      <c r="W323" s="63"/>
      <c r="X323" s="63"/>
      <c r="Y323" s="62"/>
      <c r="Z323" s="62"/>
      <c r="AA323" s="103"/>
      <c r="AB323" s="103"/>
    </row>
    <row r="324" spans="1:28" s="70" customFormat="1" ht="14.25" x14ac:dyDescent="0.2">
      <c r="A324" s="60"/>
      <c r="B324" s="146" t="s">
        <v>133</v>
      </c>
      <c r="C324" s="152">
        <v>232</v>
      </c>
      <c r="D324" s="153" t="s">
        <v>45</v>
      </c>
      <c r="E324" s="390">
        <v>0.2</v>
      </c>
      <c r="F324" s="122">
        <f>C324*E324</f>
        <v>46.400000000000006</v>
      </c>
      <c r="G324" s="122">
        <f>$H$11*E324</f>
        <v>8</v>
      </c>
      <c r="H324" s="123">
        <f>F324*$H$11</f>
        <v>1856.0000000000002</v>
      </c>
      <c r="I324" s="135">
        <v>17.87</v>
      </c>
      <c r="J324" s="123">
        <f>C324*I324</f>
        <v>4145.84</v>
      </c>
      <c r="K324" s="124">
        <f>SUM(H324,J324)</f>
        <v>6001.84</v>
      </c>
      <c r="L324" s="123">
        <f>K324/C324</f>
        <v>25.87</v>
      </c>
      <c r="M324" s="125">
        <f>C324*L324</f>
        <v>6001.84</v>
      </c>
      <c r="N324" s="131">
        <v>0</v>
      </c>
      <c r="O324" s="118">
        <f>M324*N324</f>
        <v>0</v>
      </c>
      <c r="P324" s="455"/>
      <c r="Q324" s="455"/>
      <c r="R324" s="455"/>
      <c r="S324" s="455"/>
      <c r="T324" s="154"/>
      <c r="U324" s="155"/>
      <c r="V324" s="136"/>
      <c r="W324" s="63"/>
      <c r="X324" s="63"/>
      <c r="Y324" s="62"/>
      <c r="Z324" s="62"/>
      <c r="AA324" s="103"/>
      <c r="AB324" s="103"/>
    </row>
    <row r="325" spans="1:28" s="70" customFormat="1" ht="14.25" x14ac:dyDescent="0.2">
      <c r="A325" s="60"/>
      <c r="B325" s="146" t="s">
        <v>105</v>
      </c>
      <c r="C325" s="152">
        <v>110</v>
      </c>
      <c r="D325" s="153" t="s">
        <v>46</v>
      </c>
      <c r="E325" s="122">
        <v>0.1</v>
      </c>
      <c r="F325" s="122">
        <f>C325*E325</f>
        <v>11</v>
      </c>
      <c r="G325" s="122">
        <f>$H$11*E325</f>
        <v>4</v>
      </c>
      <c r="H325" s="123">
        <f>F325*$H$11</f>
        <v>440</v>
      </c>
      <c r="I325" s="135">
        <v>2.5</v>
      </c>
      <c r="J325" s="123">
        <f>C325*I325</f>
        <v>275</v>
      </c>
      <c r="K325" s="124">
        <f>SUM(H325,J325)</f>
        <v>715</v>
      </c>
      <c r="L325" s="123">
        <f>K325/C325</f>
        <v>6.5</v>
      </c>
      <c r="M325" s="125">
        <f>C325*L325</f>
        <v>715</v>
      </c>
      <c r="N325" s="131">
        <v>0</v>
      </c>
      <c r="O325" s="118">
        <f>M325*N325</f>
        <v>0</v>
      </c>
      <c r="P325" s="455"/>
      <c r="Q325" s="455"/>
      <c r="R325" s="455"/>
      <c r="S325" s="455"/>
      <c r="T325" s="154"/>
      <c r="U325" s="155"/>
      <c r="V325" s="136"/>
      <c r="W325" s="63"/>
      <c r="X325" s="63"/>
      <c r="Y325" s="62"/>
      <c r="Z325" s="62"/>
      <c r="AA325" s="103"/>
      <c r="AB325" s="103"/>
    </row>
    <row r="326" spans="1:28" s="70" customFormat="1" ht="14.25" x14ac:dyDescent="0.2">
      <c r="A326" s="60"/>
      <c r="B326" s="146" t="s">
        <v>135</v>
      </c>
      <c r="C326" s="152">
        <v>136</v>
      </c>
      <c r="D326" s="153" t="s">
        <v>45</v>
      </c>
      <c r="E326" s="122">
        <v>0.2</v>
      </c>
      <c r="F326" s="122">
        <f>C326*E326</f>
        <v>27.200000000000003</v>
      </c>
      <c r="G326" s="122">
        <f>$H$11*E326</f>
        <v>8</v>
      </c>
      <c r="H326" s="123">
        <f>F326*$H$11</f>
        <v>1088</v>
      </c>
      <c r="I326" s="135">
        <v>16</v>
      </c>
      <c r="J326" s="123">
        <f>C326*I326</f>
        <v>2176</v>
      </c>
      <c r="K326" s="124">
        <f>SUM(H326,J326)</f>
        <v>3264</v>
      </c>
      <c r="L326" s="123">
        <f>K326/C326</f>
        <v>24</v>
      </c>
      <c r="M326" s="125">
        <f>C326*L326</f>
        <v>3264</v>
      </c>
      <c r="N326" s="131">
        <v>0</v>
      </c>
      <c r="O326" s="118">
        <f>M326*N326</f>
        <v>0</v>
      </c>
      <c r="P326" s="455"/>
      <c r="Q326" s="455"/>
      <c r="R326" s="455"/>
      <c r="S326" s="455"/>
      <c r="T326" s="154"/>
      <c r="U326" s="155"/>
      <c r="V326" s="136"/>
      <c r="W326" s="63"/>
      <c r="X326" s="63"/>
      <c r="Y326" s="62"/>
      <c r="Z326" s="62"/>
      <c r="AA326" s="103"/>
      <c r="AB326" s="103"/>
    </row>
    <row r="327" spans="1:28" s="70" customFormat="1" ht="14.25" x14ac:dyDescent="0.2">
      <c r="A327" s="60"/>
      <c r="B327" s="146" t="s">
        <v>105</v>
      </c>
      <c r="C327" s="152">
        <v>64</v>
      </c>
      <c r="D327" s="153" t="s">
        <v>46</v>
      </c>
      <c r="E327" s="122">
        <v>0.1</v>
      </c>
      <c r="F327" s="122">
        <f>C327*E327</f>
        <v>6.4</v>
      </c>
      <c r="G327" s="122">
        <f>$H$11*E327</f>
        <v>4</v>
      </c>
      <c r="H327" s="123">
        <f>F327*$H$11</f>
        <v>256</v>
      </c>
      <c r="I327" s="135">
        <v>2.5</v>
      </c>
      <c r="J327" s="123">
        <f>C327*I327</f>
        <v>160</v>
      </c>
      <c r="K327" s="124">
        <f>SUM(H327,J327)</f>
        <v>416</v>
      </c>
      <c r="L327" s="123">
        <f>K327/C327</f>
        <v>6.5</v>
      </c>
      <c r="M327" s="125">
        <f>C327*L327</f>
        <v>416</v>
      </c>
      <c r="N327" s="131">
        <v>0</v>
      </c>
      <c r="O327" s="118">
        <f>M327*N327</f>
        <v>0</v>
      </c>
      <c r="P327" s="455"/>
      <c r="Q327" s="455"/>
      <c r="R327" s="455"/>
      <c r="S327" s="455"/>
      <c r="T327" s="154"/>
      <c r="U327" s="155"/>
      <c r="V327" s="136"/>
      <c r="W327" s="63"/>
      <c r="X327" s="63"/>
      <c r="Y327" s="62"/>
      <c r="Z327" s="62"/>
      <c r="AA327" s="103"/>
      <c r="AB327" s="103"/>
    </row>
    <row r="328" spans="1:28" s="70" customFormat="1" ht="14.25" x14ac:dyDescent="0.2">
      <c r="A328" s="60"/>
      <c r="B328" s="264" t="s">
        <v>137</v>
      </c>
      <c r="C328" s="152">
        <v>6</v>
      </c>
      <c r="D328" s="153" t="s">
        <v>45</v>
      </c>
      <c r="E328" s="390">
        <v>0.2</v>
      </c>
      <c r="F328" s="122">
        <f>C328*E328</f>
        <v>1.2000000000000002</v>
      </c>
      <c r="G328" s="122">
        <f>$H$11*E328</f>
        <v>8</v>
      </c>
      <c r="H328" s="123">
        <f>F328*$H$11</f>
        <v>48.000000000000007</v>
      </c>
      <c r="I328" s="135">
        <v>45</v>
      </c>
      <c r="J328" s="123">
        <f>C328*I328</f>
        <v>270</v>
      </c>
      <c r="K328" s="124">
        <f>SUM(H328,J328)</f>
        <v>318</v>
      </c>
      <c r="L328" s="123">
        <f>K328/C328</f>
        <v>53</v>
      </c>
      <c r="M328" s="125">
        <f>C328*L328</f>
        <v>318</v>
      </c>
      <c r="N328" s="131">
        <v>0</v>
      </c>
      <c r="O328" s="118">
        <f>M328*N328</f>
        <v>0</v>
      </c>
      <c r="P328" s="455"/>
      <c r="Q328" s="455"/>
      <c r="R328" s="455"/>
      <c r="S328" s="455"/>
      <c r="T328" s="154"/>
      <c r="U328" s="155"/>
      <c r="V328" s="136"/>
      <c r="W328" s="63"/>
      <c r="X328" s="63"/>
      <c r="Y328" s="62"/>
      <c r="Z328" s="62"/>
      <c r="AA328" s="103"/>
      <c r="AB328" s="103"/>
    </row>
    <row r="329" spans="1:28" s="70" customFormat="1" ht="14.25" x14ac:dyDescent="0.2">
      <c r="A329" s="60"/>
      <c r="B329" s="146" t="s">
        <v>134</v>
      </c>
      <c r="C329" s="152">
        <v>154</v>
      </c>
      <c r="D329" s="153" t="s">
        <v>45</v>
      </c>
      <c r="E329" s="122">
        <v>0.2</v>
      </c>
      <c r="F329" s="122">
        <f t="shared" ref="F329:F343" si="40">C329*E329</f>
        <v>30.8</v>
      </c>
      <c r="G329" s="122">
        <f t="shared" ref="G329:G343" si="41">$H$11*E329</f>
        <v>8</v>
      </c>
      <c r="H329" s="123">
        <f t="shared" ref="H329:H343" si="42">F329*$H$11</f>
        <v>1232</v>
      </c>
      <c r="I329" s="135">
        <v>13.51</v>
      </c>
      <c r="J329" s="123">
        <f t="shared" ref="J329:J343" si="43">C329*I329</f>
        <v>2080.54</v>
      </c>
      <c r="K329" s="124">
        <f t="shared" ref="K329:K343" si="44">SUM(H329,J329)</f>
        <v>3312.54</v>
      </c>
      <c r="L329" s="123">
        <f t="shared" ref="L329:L343" si="45">K329/C329</f>
        <v>21.509999999999998</v>
      </c>
      <c r="M329" s="125">
        <f t="shared" ref="M329:M343" si="46">C329*L329</f>
        <v>3312.5399999999995</v>
      </c>
      <c r="N329" s="131">
        <v>0</v>
      </c>
      <c r="O329" s="118">
        <f t="shared" ref="O329:O343" si="47">M329*N329</f>
        <v>0</v>
      </c>
      <c r="P329" s="455"/>
      <c r="Q329" s="455"/>
      <c r="R329" s="455"/>
      <c r="S329" s="455"/>
      <c r="T329" s="154"/>
      <c r="U329" s="155"/>
      <c r="V329" s="136"/>
      <c r="W329" s="63"/>
      <c r="X329" s="63"/>
      <c r="Y329" s="62"/>
      <c r="Z329" s="62"/>
      <c r="AA329" s="103"/>
      <c r="AB329" s="103"/>
    </row>
    <row r="330" spans="1:28" s="70" customFormat="1" ht="14.25" x14ac:dyDescent="0.2">
      <c r="A330" s="60"/>
      <c r="B330" s="146" t="s">
        <v>103</v>
      </c>
      <c r="C330" s="152">
        <v>53</v>
      </c>
      <c r="D330" s="153" t="s">
        <v>45</v>
      </c>
      <c r="E330" s="122">
        <v>0.2</v>
      </c>
      <c r="F330" s="122">
        <f t="shared" si="40"/>
        <v>10.600000000000001</v>
      </c>
      <c r="G330" s="122">
        <f t="shared" si="41"/>
        <v>8</v>
      </c>
      <c r="H330" s="123">
        <f t="shared" si="42"/>
        <v>424.00000000000006</v>
      </c>
      <c r="I330" s="135">
        <v>13.51</v>
      </c>
      <c r="J330" s="123">
        <f t="shared" si="43"/>
        <v>716.03</v>
      </c>
      <c r="K330" s="124">
        <f t="shared" si="44"/>
        <v>1140.03</v>
      </c>
      <c r="L330" s="123">
        <f t="shared" si="45"/>
        <v>21.509999999999998</v>
      </c>
      <c r="M330" s="125">
        <f t="shared" si="46"/>
        <v>1140.03</v>
      </c>
      <c r="N330" s="131">
        <v>0</v>
      </c>
      <c r="O330" s="118">
        <f t="shared" si="47"/>
        <v>0</v>
      </c>
      <c r="P330" s="455"/>
      <c r="Q330" s="455"/>
      <c r="R330" s="455"/>
      <c r="S330" s="455"/>
      <c r="T330" s="154"/>
      <c r="U330" s="155"/>
      <c r="V330" s="136"/>
      <c r="W330" s="63"/>
      <c r="X330" s="63"/>
      <c r="Y330" s="62"/>
      <c r="Z330" s="62"/>
      <c r="AA330" s="103"/>
      <c r="AB330" s="103"/>
    </row>
    <row r="331" spans="1:28" s="70" customFormat="1" ht="14.25" x14ac:dyDescent="0.2">
      <c r="A331" s="60"/>
      <c r="B331" s="146" t="s">
        <v>136</v>
      </c>
      <c r="C331" s="152">
        <v>128</v>
      </c>
      <c r="D331" s="153" t="s">
        <v>45</v>
      </c>
      <c r="E331" s="390">
        <v>0.2</v>
      </c>
      <c r="F331" s="122">
        <f t="shared" si="40"/>
        <v>25.6</v>
      </c>
      <c r="G331" s="122">
        <f t="shared" si="41"/>
        <v>8</v>
      </c>
      <c r="H331" s="123">
        <f t="shared" si="42"/>
        <v>1024</v>
      </c>
      <c r="I331" s="135">
        <v>16</v>
      </c>
      <c r="J331" s="123">
        <f t="shared" si="43"/>
        <v>2048</v>
      </c>
      <c r="K331" s="124">
        <f t="shared" si="44"/>
        <v>3072</v>
      </c>
      <c r="L331" s="123">
        <f t="shared" si="45"/>
        <v>24</v>
      </c>
      <c r="M331" s="125">
        <f t="shared" si="46"/>
        <v>3072</v>
      </c>
      <c r="N331" s="131">
        <v>0</v>
      </c>
      <c r="O331" s="118">
        <f t="shared" si="47"/>
        <v>0</v>
      </c>
      <c r="P331" s="455"/>
      <c r="Q331" s="455"/>
      <c r="R331" s="455"/>
      <c r="S331" s="455"/>
      <c r="T331" s="154"/>
      <c r="U331" s="155"/>
      <c r="V331" s="136"/>
      <c r="W331" s="63"/>
      <c r="X331" s="63"/>
      <c r="Y331" s="62"/>
      <c r="Z331" s="62"/>
      <c r="AA331" s="103"/>
      <c r="AB331" s="103"/>
    </row>
    <row r="332" spans="1:28" s="70" customFormat="1" ht="14.25" x14ac:dyDescent="0.2">
      <c r="A332" s="60"/>
      <c r="B332" s="146" t="s">
        <v>105</v>
      </c>
      <c r="C332" s="152">
        <v>72</v>
      </c>
      <c r="D332" s="153" t="s">
        <v>46</v>
      </c>
      <c r="E332" s="122">
        <v>0.1</v>
      </c>
      <c r="F332" s="122">
        <f t="shared" si="40"/>
        <v>7.2</v>
      </c>
      <c r="G332" s="122">
        <f t="shared" si="41"/>
        <v>4</v>
      </c>
      <c r="H332" s="123">
        <f t="shared" si="42"/>
        <v>288</v>
      </c>
      <c r="I332" s="135">
        <v>2.5</v>
      </c>
      <c r="J332" s="123">
        <f t="shared" si="43"/>
        <v>180</v>
      </c>
      <c r="K332" s="124">
        <f t="shared" si="44"/>
        <v>468</v>
      </c>
      <c r="L332" s="123">
        <f t="shared" si="45"/>
        <v>6.5</v>
      </c>
      <c r="M332" s="125">
        <f t="shared" si="46"/>
        <v>468</v>
      </c>
      <c r="N332" s="131">
        <v>0</v>
      </c>
      <c r="O332" s="118">
        <f t="shared" si="47"/>
        <v>0</v>
      </c>
      <c r="P332" s="455"/>
      <c r="Q332" s="455"/>
      <c r="R332" s="455"/>
      <c r="S332" s="455"/>
      <c r="T332" s="154"/>
      <c r="U332" s="155"/>
      <c r="V332" s="136"/>
      <c r="W332" s="63"/>
      <c r="X332" s="63"/>
      <c r="Y332" s="62"/>
      <c r="Z332" s="62"/>
      <c r="AA332" s="103"/>
      <c r="AB332" s="103"/>
    </row>
    <row r="333" spans="1:28" s="70" customFormat="1" ht="14.25" x14ac:dyDescent="0.2">
      <c r="A333" s="60"/>
      <c r="B333" s="151" t="s">
        <v>358</v>
      </c>
      <c r="C333" s="152">
        <v>36</v>
      </c>
      <c r="D333" s="153" t="s">
        <v>46</v>
      </c>
      <c r="E333" s="310">
        <v>0.2</v>
      </c>
      <c r="F333" s="122">
        <f t="shared" si="40"/>
        <v>7.2</v>
      </c>
      <c r="G333" s="122">
        <f t="shared" si="41"/>
        <v>8</v>
      </c>
      <c r="H333" s="123">
        <f t="shared" si="42"/>
        <v>288</v>
      </c>
      <c r="I333" s="135">
        <v>6</v>
      </c>
      <c r="J333" s="123">
        <f t="shared" si="43"/>
        <v>216</v>
      </c>
      <c r="K333" s="124">
        <f t="shared" si="44"/>
        <v>504</v>
      </c>
      <c r="L333" s="123">
        <f t="shared" si="45"/>
        <v>14</v>
      </c>
      <c r="M333" s="125">
        <f t="shared" si="46"/>
        <v>504</v>
      </c>
      <c r="N333" s="131">
        <v>0</v>
      </c>
      <c r="O333" s="118">
        <f t="shared" si="47"/>
        <v>0</v>
      </c>
      <c r="P333" s="455"/>
      <c r="Q333" s="455"/>
      <c r="R333" s="455"/>
      <c r="S333" s="455"/>
      <c r="T333" s="154"/>
      <c r="U333" s="155"/>
      <c r="V333" s="136"/>
      <c r="W333" s="63"/>
      <c r="X333" s="63"/>
      <c r="Y333" s="62"/>
      <c r="Z333" s="62"/>
      <c r="AA333" s="103"/>
      <c r="AB333" s="103"/>
    </row>
    <row r="334" spans="1:28" s="70" customFormat="1" ht="14.25" x14ac:dyDescent="0.2">
      <c r="A334" s="60"/>
      <c r="B334" s="264" t="s">
        <v>116</v>
      </c>
      <c r="C334" s="152">
        <v>140</v>
      </c>
      <c r="D334" s="153" t="s">
        <v>45</v>
      </c>
      <c r="E334" s="390">
        <v>0.2</v>
      </c>
      <c r="F334" s="122">
        <f t="shared" si="40"/>
        <v>28</v>
      </c>
      <c r="G334" s="122">
        <f t="shared" si="41"/>
        <v>8</v>
      </c>
      <c r="H334" s="123">
        <f t="shared" si="42"/>
        <v>1120</v>
      </c>
      <c r="I334" s="135">
        <v>16</v>
      </c>
      <c r="J334" s="123">
        <f t="shared" si="43"/>
        <v>2240</v>
      </c>
      <c r="K334" s="124">
        <f t="shared" si="44"/>
        <v>3360</v>
      </c>
      <c r="L334" s="123">
        <f t="shared" si="45"/>
        <v>24</v>
      </c>
      <c r="M334" s="125">
        <f t="shared" si="46"/>
        <v>3360</v>
      </c>
      <c r="N334" s="131">
        <v>0</v>
      </c>
      <c r="O334" s="118">
        <f t="shared" si="47"/>
        <v>0</v>
      </c>
      <c r="P334" s="455"/>
      <c r="Q334" s="455"/>
      <c r="R334" s="455"/>
      <c r="S334" s="455"/>
      <c r="T334" s="154"/>
      <c r="U334" s="155"/>
      <c r="V334" s="136"/>
      <c r="W334" s="63"/>
      <c r="X334" s="63"/>
      <c r="Y334" s="62"/>
      <c r="Z334" s="62"/>
      <c r="AA334" s="103"/>
      <c r="AB334" s="103"/>
    </row>
    <row r="335" spans="1:28" s="70" customFormat="1" ht="14.25" x14ac:dyDescent="0.2">
      <c r="A335" s="60"/>
      <c r="B335" s="264" t="s">
        <v>105</v>
      </c>
      <c r="C335" s="152">
        <v>76</v>
      </c>
      <c r="D335" s="153" t="s">
        <v>46</v>
      </c>
      <c r="E335" s="310">
        <v>0.1</v>
      </c>
      <c r="F335" s="122">
        <f t="shared" si="40"/>
        <v>7.6000000000000005</v>
      </c>
      <c r="G335" s="122">
        <f t="shared" si="41"/>
        <v>4</v>
      </c>
      <c r="H335" s="123">
        <f t="shared" si="42"/>
        <v>304</v>
      </c>
      <c r="I335" s="135">
        <v>2.5</v>
      </c>
      <c r="J335" s="123">
        <f t="shared" si="43"/>
        <v>190</v>
      </c>
      <c r="K335" s="124">
        <f t="shared" si="44"/>
        <v>494</v>
      </c>
      <c r="L335" s="123">
        <f t="shared" si="45"/>
        <v>6.5</v>
      </c>
      <c r="M335" s="125">
        <f t="shared" si="46"/>
        <v>494</v>
      </c>
      <c r="N335" s="131">
        <v>0</v>
      </c>
      <c r="O335" s="118">
        <f t="shared" si="47"/>
        <v>0</v>
      </c>
      <c r="P335" s="455"/>
      <c r="Q335" s="455"/>
      <c r="R335" s="455"/>
      <c r="S335" s="455"/>
      <c r="T335" s="154"/>
      <c r="U335" s="155"/>
      <c r="V335" s="136"/>
      <c r="W335" s="63"/>
      <c r="X335" s="63"/>
      <c r="Y335" s="62"/>
      <c r="Z335" s="62"/>
      <c r="AA335" s="103"/>
      <c r="AB335" s="103"/>
    </row>
    <row r="336" spans="1:28" s="70" customFormat="1" ht="14.25" x14ac:dyDescent="0.2">
      <c r="A336" s="60"/>
      <c r="B336" s="151" t="s">
        <v>358</v>
      </c>
      <c r="C336" s="152">
        <v>38</v>
      </c>
      <c r="D336" s="153" t="s">
        <v>46</v>
      </c>
      <c r="E336" s="310">
        <v>0.2</v>
      </c>
      <c r="F336" s="122">
        <f t="shared" si="40"/>
        <v>7.6000000000000005</v>
      </c>
      <c r="G336" s="122">
        <f t="shared" si="41"/>
        <v>8</v>
      </c>
      <c r="H336" s="123">
        <f t="shared" si="42"/>
        <v>304</v>
      </c>
      <c r="I336" s="135">
        <v>6</v>
      </c>
      <c r="J336" s="123">
        <f t="shared" si="43"/>
        <v>228</v>
      </c>
      <c r="K336" s="124">
        <f t="shared" si="44"/>
        <v>532</v>
      </c>
      <c r="L336" s="123">
        <f t="shared" si="45"/>
        <v>14</v>
      </c>
      <c r="M336" s="125">
        <f t="shared" si="46"/>
        <v>532</v>
      </c>
      <c r="N336" s="131">
        <v>0</v>
      </c>
      <c r="O336" s="118">
        <f t="shared" si="47"/>
        <v>0</v>
      </c>
      <c r="P336" s="455"/>
      <c r="Q336" s="455"/>
      <c r="R336" s="455"/>
      <c r="S336" s="455"/>
      <c r="T336" s="154"/>
      <c r="U336" s="155"/>
      <c r="V336" s="136"/>
      <c r="W336" s="63"/>
      <c r="X336" s="63"/>
      <c r="Y336" s="62"/>
      <c r="Z336" s="62"/>
      <c r="AA336" s="103"/>
      <c r="AB336" s="103"/>
    </row>
    <row r="337" spans="1:28" s="70" customFormat="1" ht="14.25" x14ac:dyDescent="0.2">
      <c r="A337" s="60"/>
      <c r="B337" s="146" t="s">
        <v>118</v>
      </c>
      <c r="C337" s="152">
        <v>24</v>
      </c>
      <c r="D337" s="153" t="s">
        <v>45</v>
      </c>
      <c r="E337" s="122">
        <v>0.2</v>
      </c>
      <c r="F337" s="122">
        <f t="shared" si="40"/>
        <v>4.8000000000000007</v>
      </c>
      <c r="G337" s="122">
        <f t="shared" si="41"/>
        <v>8</v>
      </c>
      <c r="H337" s="123">
        <f t="shared" si="42"/>
        <v>192.00000000000003</v>
      </c>
      <c r="I337" s="135">
        <v>13.51</v>
      </c>
      <c r="J337" s="123">
        <f t="shared" si="43"/>
        <v>324.24</v>
      </c>
      <c r="K337" s="124">
        <f t="shared" si="44"/>
        <v>516.24</v>
      </c>
      <c r="L337" s="123">
        <f t="shared" si="45"/>
        <v>21.51</v>
      </c>
      <c r="M337" s="125">
        <f t="shared" si="46"/>
        <v>516.24</v>
      </c>
      <c r="N337" s="131">
        <v>0</v>
      </c>
      <c r="O337" s="118">
        <f t="shared" si="47"/>
        <v>0</v>
      </c>
      <c r="P337" s="455"/>
      <c r="Q337" s="455"/>
      <c r="R337" s="455"/>
      <c r="S337" s="455"/>
      <c r="T337" s="154"/>
      <c r="U337" s="155"/>
      <c r="V337" s="136"/>
      <c r="W337" s="63"/>
      <c r="X337" s="63"/>
      <c r="Y337" s="62"/>
      <c r="Z337" s="62"/>
      <c r="AA337" s="103"/>
      <c r="AB337" s="103"/>
    </row>
    <row r="338" spans="1:28" s="70" customFormat="1" ht="14.25" x14ac:dyDescent="0.2">
      <c r="A338" s="60"/>
      <c r="B338" s="146" t="s">
        <v>146</v>
      </c>
      <c r="C338" s="152">
        <v>51</v>
      </c>
      <c r="D338" s="153" t="s">
        <v>45</v>
      </c>
      <c r="E338" s="390">
        <v>0.4</v>
      </c>
      <c r="F338" s="122">
        <f t="shared" si="40"/>
        <v>20.400000000000002</v>
      </c>
      <c r="G338" s="122">
        <f t="shared" si="41"/>
        <v>16</v>
      </c>
      <c r="H338" s="123">
        <f t="shared" si="42"/>
        <v>816.00000000000011</v>
      </c>
      <c r="I338" s="135">
        <v>33</v>
      </c>
      <c r="J338" s="123">
        <f t="shared" si="43"/>
        <v>1683</v>
      </c>
      <c r="K338" s="124">
        <f t="shared" si="44"/>
        <v>2499</v>
      </c>
      <c r="L338" s="123">
        <f t="shared" si="45"/>
        <v>49</v>
      </c>
      <c r="M338" s="125">
        <f t="shared" si="46"/>
        <v>2499</v>
      </c>
      <c r="N338" s="131">
        <v>0</v>
      </c>
      <c r="O338" s="118">
        <f t="shared" si="47"/>
        <v>0</v>
      </c>
      <c r="P338" s="455"/>
      <c r="Q338" s="455"/>
      <c r="R338" s="455"/>
      <c r="S338" s="455"/>
      <c r="T338" s="154"/>
      <c r="U338" s="155"/>
      <c r="V338" s="136"/>
      <c r="W338" s="63"/>
      <c r="X338" s="63"/>
      <c r="Y338" s="62"/>
      <c r="Z338" s="62"/>
      <c r="AA338" s="103"/>
      <c r="AB338" s="103"/>
    </row>
    <row r="339" spans="1:28" s="70" customFormat="1" ht="14.25" x14ac:dyDescent="0.2">
      <c r="A339" s="60"/>
      <c r="B339" s="146" t="s">
        <v>122</v>
      </c>
      <c r="C339" s="152">
        <v>51</v>
      </c>
      <c r="D339" s="153" t="s">
        <v>45</v>
      </c>
      <c r="E339" s="390">
        <v>0.2</v>
      </c>
      <c r="F339" s="122">
        <f t="shared" si="40"/>
        <v>10.200000000000001</v>
      </c>
      <c r="G339" s="122">
        <f t="shared" si="41"/>
        <v>8</v>
      </c>
      <c r="H339" s="123">
        <f t="shared" si="42"/>
        <v>408.00000000000006</v>
      </c>
      <c r="I339" s="135">
        <v>17.87</v>
      </c>
      <c r="J339" s="123">
        <f t="shared" si="43"/>
        <v>911.37</v>
      </c>
      <c r="K339" s="124">
        <f t="shared" si="44"/>
        <v>1319.3700000000001</v>
      </c>
      <c r="L339" s="123">
        <f t="shared" si="45"/>
        <v>25.87</v>
      </c>
      <c r="M339" s="125">
        <f t="shared" si="46"/>
        <v>1319.3700000000001</v>
      </c>
      <c r="N339" s="131">
        <v>0</v>
      </c>
      <c r="O339" s="118">
        <f t="shared" si="47"/>
        <v>0</v>
      </c>
      <c r="P339" s="455"/>
      <c r="Q339" s="455"/>
      <c r="R339" s="455"/>
      <c r="S339" s="455"/>
      <c r="T339" s="154"/>
      <c r="U339" s="155"/>
      <c r="V339" s="136"/>
      <c r="W339" s="63"/>
      <c r="X339" s="63"/>
      <c r="Y339" s="62"/>
      <c r="Z339" s="62"/>
      <c r="AA339" s="103"/>
      <c r="AB339" s="103"/>
    </row>
    <row r="340" spans="1:28" s="70" customFormat="1" ht="14.25" x14ac:dyDescent="0.2">
      <c r="A340" s="60"/>
      <c r="B340" s="146" t="s">
        <v>105</v>
      </c>
      <c r="C340" s="152">
        <v>48</v>
      </c>
      <c r="D340" s="153" t="s">
        <v>46</v>
      </c>
      <c r="E340" s="122">
        <v>0.1</v>
      </c>
      <c r="F340" s="122">
        <f t="shared" si="40"/>
        <v>4.8000000000000007</v>
      </c>
      <c r="G340" s="122">
        <f t="shared" si="41"/>
        <v>4</v>
      </c>
      <c r="H340" s="123">
        <f t="shared" si="42"/>
        <v>192.00000000000003</v>
      </c>
      <c r="I340" s="135">
        <v>2.5</v>
      </c>
      <c r="J340" s="123">
        <f t="shared" si="43"/>
        <v>120</v>
      </c>
      <c r="K340" s="124">
        <f t="shared" si="44"/>
        <v>312</v>
      </c>
      <c r="L340" s="123">
        <f t="shared" si="45"/>
        <v>6.5</v>
      </c>
      <c r="M340" s="125">
        <f t="shared" si="46"/>
        <v>312</v>
      </c>
      <c r="N340" s="131">
        <v>0</v>
      </c>
      <c r="O340" s="118">
        <f t="shared" si="47"/>
        <v>0</v>
      </c>
      <c r="P340" s="455"/>
      <c r="Q340" s="455"/>
      <c r="R340" s="455"/>
      <c r="S340" s="455"/>
      <c r="T340" s="154"/>
      <c r="U340" s="155"/>
      <c r="V340" s="136"/>
      <c r="W340" s="63"/>
      <c r="X340" s="63"/>
      <c r="Y340" s="62"/>
      <c r="Z340" s="62"/>
      <c r="AA340" s="103"/>
      <c r="AB340" s="103"/>
    </row>
    <row r="341" spans="1:28" s="70" customFormat="1" ht="14.25" x14ac:dyDescent="0.2">
      <c r="A341" s="60"/>
      <c r="B341" s="146" t="s">
        <v>129</v>
      </c>
      <c r="C341" s="152">
        <v>113</v>
      </c>
      <c r="D341" s="153" t="s">
        <v>45</v>
      </c>
      <c r="E341" s="122">
        <v>0.02</v>
      </c>
      <c r="F341" s="122">
        <f t="shared" si="40"/>
        <v>2.2600000000000002</v>
      </c>
      <c r="G341" s="122">
        <f t="shared" si="41"/>
        <v>0.8</v>
      </c>
      <c r="H341" s="123">
        <f t="shared" si="42"/>
        <v>90.4</v>
      </c>
      <c r="I341" s="135">
        <v>10.48</v>
      </c>
      <c r="J341" s="123">
        <f t="shared" si="43"/>
        <v>1184.24</v>
      </c>
      <c r="K341" s="124">
        <f t="shared" si="44"/>
        <v>1274.6400000000001</v>
      </c>
      <c r="L341" s="123">
        <f t="shared" si="45"/>
        <v>11.280000000000001</v>
      </c>
      <c r="M341" s="125">
        <f t="shared" si="46"/>
        <v>1274.6400000000001</v>
      </c>
      <c r="N341" s="131">
        <v>0</v>
      </c>
      <c r="O341" s="118">
        <f t="shared" si="47"/>
        <v>0</v>
      </c>
      <c r="P341" s="455"/>
      <c r="Q341" s="455"/>
      <c r="R341" s="455"/>
      <c r="S341" s="455"/>
      <c r="T341" s="154"/>
      <c r="U341" s="155"/>
      <c r="V341" s="136"/>
      <c r="W341" s="63"/>
      <c r="X341" s="63"/>
      <c r="Y341" s="62"/>
      <c r="Z341" s="62"/>
      <c r="AA341" s="103"/>
      <c r="AB341" s="103"/>
    </row>
    <row r="342" spans="1:28" s="70" customFormat="1" ht="14.25" x14ac:dyDescent="0.2">
      <c r="A342" s="60"/>
      <c r="B342" s="146" t="s">
        <v>131</v>
      </c>
      <c r="C342" s="152">
        <v>53</v>
      </c>
      <c r="D342" s="153" t="s">
        <v>45</v>
      </c>
      <c r="E342" s="122">
        <v>0</v>
      </c>
      <c r="F342" s="122">
        <f t="shared" si="40"/>
        <v>0</v>
      </c>
      <c r="G342" s="122">
        <f t="shared" si="41"/>
        <v>0</v>
      </c>
      <c r="H342" s="123">
        <f t="shared" si="42"/>
        <v>0</v>
      </c>
      <c r="I342" s="135">
        <v>6</v>
      </c>
      <c r="J342" s="123">
        <f t="shared" si="43"/>
        <v>318</v>
      </c>
      <c r="K342" s="124">
        <f t="shared" si="44"/>
        <v>318</v>
      </c>
      <c r="L342" s="123">
        <f t="shared" si="45"/>
        <v>6</v>
      </c>
      <c r="M342" s="125">
        <f t="shared" si="46"/>
        <v>318</v>
      </c>
      <c r="N342" s="131">
        <v>0</v>
      </c>
      <c r="O342" s="118">
        <f t="shared" si="47"/>
        <v>0</v>
      </c>
      <c r="P342" s="455"/>
      <c r="Q342" s="455"/>
      <c r="R342" s="455"/>
      <c r="S342" s="455"/>
      <c r="T342" s="154"/>
      <c r="U342" s="155"/>
      <c r="V342" s="136"/>
      <c r="W342" s="63"/>
      <c r="X342" s="63"/>
      <c r="Y342" s="62"/>
      <c r="Z342" s="62"/>
      <c r="AA342" s="103"/>
      <c r="AB342" s="103"/>
    </row>
    <row r="343" spans="1:28" s="70" customFormat="1" ht="14.25" x14ac:dyDescent="0.2">
      <c r="A343" s="60"/>
      <c r="B343" s="146" t="s">
        <v>132</v>
      </c>
      <c r="C343" s="152">
        <v>38</v>
      </c>
      <c r="D343" s="153" t="s">
        <v>45</v>
      </c>
      <c r="E343" s="122">
        <v>0</v>
      </c>
      <c r="F343" s="122">
        <f t="shared" si="40"/>
        <v>0</v>
      </c>
      <c r="G343" s="122">
        <f t="shared" si="41"/>
        <v>0</v>
      </c>
      <c r="H343" s="123">
        <f t="shared" si="42"/>
        <v>0</v>
      </c>
      <c r="I343" s="135">
        <v>9</v>
      </c>
      <c r="J343" s="123">
        <f t="shared" si="43"/>
        <v>342</v>
      </c>
      <c r="K343" s="124">
        <f t="shared" si="44"/>
        <v>342</v>
      </c>
      <c r="L343" s="123">
        <f t="shared" si="45"/>
        <v>9</v>
      </c>
      <c r="M343" s="125">
        <f t="shared" si="46"/>
        <v>342</v>
      </c>
      <c r="N343" s="131">
        <v>0</v>
      </c>
      <c r="O343" s="118">
        <f t="shared" si="47"/>
        <v>0</v>
      </c>
      <c r="P343" s="455"/>
      <c r="Q343" s="455"/>
      <c r="R343" s="455"/>
      <c r="S343" s="455"/>
      <c r="T343" s="154"/>
      <c r="U343" s="155"/>
      <c r="V343" s="136"/>
      <c r="W343" s="63"/>
      <c r="X343" s="63"/>
      <c r="Y343" s="62"/>
      <c r="Z343" s="62"/>
      <c r="AA343" s="103"/>
      <c r="AB343" s="103"/>
    </row>
    <row r="344" spans="1:28" s="70" customFormat="1" ht="14.25" x14ac:dyDescent="0.2">
      <c r="A344" s="60"/>
      <c r="B344" s="146"/>
      <c r="C344" s="152"/>
      <c r="D344" s="153"/>
      <c r="E344" s="122"/>
      <c r="F344" s="122"/>
      <c r="G344" s="122"/>
      <c r="H344" s="123"/>
      <c r="I344" s="135"/>
      <c r="J344" s="123"/>
      <c r="K344" s="124"/>
      <c r="L344" s="123"/>
      <c r="M344" s="125"/>
      <c r="N344" s="131"/>
      <c r="O344" s="118"/>
      <c r="P344" s="455"/>
      <c r="Q344" s="455"/>
      <c r="R344" s="455"/>
      <c r="S344" s="455"/>
      <c r="T344" s="154"/>
      <c r="U344" s="155"/>
      <c r="V344" s="136"/>
      <c r="W344" s="63"/>
      <c r="X344" s="63"/>
      <c r="Y344" s="62"/>
      <c r="Z344" s="62"/>
      <c r="AA344" s="103"/>
      <c r="AB344" s="103"/>
    </row>
    <row r="345" spans="1:28" s="70" customFormat="1" ht="14.25" x14ac:dyDescent="0.2">
      <c r="A345" s="60"/>
      <c r="B345" s="146" t="s">
        <v>124</v>
      </c>
      <c r="C345" s="152">
        <v>2</v>
      </c>
      <c r="D345" s="153" t="s">
        <v>45</v>
      </c>
      <c r="E345" s="122">
        <v>0.2</v>
      </c>
      <c r="F345" s="122">
        <f>C345*E345</f>
        <v>0.4</v>
      </c>
      <c r="G345" s="122">
        <f>$H$11*E345</f>
        <v>8</v>
      </c>
      <c r="H345" s="123">
        <f>F345*$H$11</f>
        <v>16</v>
      </c>
      <c r="I345" s="135">
        <v>16</v>
      </c>
      <c r="J345" s="123">
        <f>C345*I345</f>
        <v>32</v>
      </c>
      <c r="K345" s="124">
        <f>SUM(H345,J345)</f>
        <v>48</v>
      </c>
      <c r="L345" s="123">
        <f>K345/C345</f>
        <v>24</v>
      </c>
      <c r="M345" s="125">
        <f>C345*L345</f>
        <v>48</v>
      </c>
      <c r="N345" s="131">
        <v>0</v>
      </c>
      <c r="O345" s="118">
        <f>M345*N345</f>
        <v>0</v>
      </c>
      <c r="P345" s="455"/>
      <c r="Q345" s="455"/>
      <c r="R345" s="455"/>
      <c r="S345" s="455"/>
      <c r="T345" s="154"/>
      <c r="U345" s="155"/>
      <c r="V345" s="136"/>
      <c r="W345" s="63"/>
      <c r="X345" s="63"/>
      <c r="Y345" s="62"/>
      <c r="Z345" s="62"/>
      <c r="AA345" s="103"/>
      <c r="AB345" s="103"/>
    </row>
    <row r="346" spans="1:28" s="70" customFormat="1" ht="14.25" x14ac:dyDescent="0.2">
      <c r="A346" s="60"/>
      <c r="B346" s="146" t="s">
        <v>105</v>
      </c>
      <c r="C346" s="152">
        <v>10</v>
      </c>
      <c r="D346" s="153" t="s">
        <v>46</v>
      </c>
      <c r="E346" s="122">
        <v>0.1</v>
      </c>
      <c r="F346" s="122">
        <f>C346*E346</f>
        <v>1</v>
      </c>
      <c r="G346" s="122">
        <f>$H$11*E346</f>
        <v>4</v>
      </c>
      <c r="H346" s="123">
        <f>F346*$H$11</f>
        <v>40</v>
      </c>
      <c r="I346" s="135">
        <v>2.5</v>
      </c>
      <c r="J346" s="123">
        <f>C346*I346</f>
        <v>25</v>
      </c>
      <c r="K346" s="124">
        <f>SUM(H346,J346)</f>
        <v>65</v>
      </c>
      <c r="L346" s="123">
        <f>K346/C346</f>
        <v>6.5</v>
      </c>
      <c r="M346" s="125">
        <f>C346*L346</f>
        <v>65</v>
      </c>
      <c r="N346" s="131">
        <v>0</v>
      </c>
      <c r="O346" s="118">
        <f>M346*N346</f>
        <v>0</v>
      </c>
      <c r="P346" s="455"/>
      <c r="Q346" s="455"/>
      <c r="R346" s="455"/>
      <c r="S346" s="455"/>
      <c r="T346" s="154"/>
      <c r="U346" s="155"/>
      <c r="V346" s="136"/>
      <c r="W346" s="63"/>
      <c r="X346" s="63"/>
      <c r="Y346" s="62"/>
      <c r="Z346" s="62"/>
      <c r="AA346" s="103"/>
      <c r="AB346" s="103"/>
    </row>
    <row r="347" spans="1:28" s="70" customFormat="1" ht="14.25" x14ac:dyDescent="0.2">
      <c r="A347" s="60"/>
      <c r="B347" s="146" t="s">
        <v>128</v>
      </c>
      <c r="C347" s="152">
        <v>10</v>
      </c>
      <c r="D347" s="153" t="s">
        <v>46</v>
      </c>
      <c r="E347" s="122">
        <v>0.1</v>
      </c>
      <c r="F347" s="122">
        <f>C347*E347</f>
        <v>1</v>
      </c>
      <c r="G347" s="122">
        <f>$H$11*E347</f>
        <v>4</v>
      </c>
      <c r="H347" s="123">
        <f>F347*$H$11</f>
        <v>40</v>
      </c>
      <c r="I347" s="135">
        <v>0</v>
      </c>
      <c r="J347" s="123">
        <f>C347*I347</f>
        <v>0</v>
      </c>
      <c r="K347" s="124">
        <f>SUM(H347,J347)</f>
        <v>40</v>
      </c>
      <c r="L347" s="123">
        <f>K347/C347</f>
        <v>4</v>
      </c>
      <c r="M347" s="125">
        <f>C347*L347</f>
        <v>40</v>
      </c>
      <c r="N347" s="131">
        <v>0</v>
      </c>
      <c r="O347" s="118">
        <f>M347*N347</f>
        <v>0</v>
      </c>
      <c r="P347" s="455"/>
      <c r="Q347" s="455"/>
      <c r="R347" s="455"/>
      <c r="S347" s="455"/>
      <c r="T347" s="154"/>
      <c r="U347" s="155"/>
      <c r="V347" s="136"/>
      <c r="W347" s="63"/>
      <c r="X347" s="63"/>
      <c r="Y347" s="62"/>
      <c r="Z347" s="62"/>
      <c r="AA347" s="103"/>
      <c r="AB347" s="103"/>
    </row>
    <row r="348" spans="1:28" s="70" customFormat="1" ht="14.25" x14ac:dyDescent="0.2">
      <c r="A348" s="60"/>
      <c r="B348" s="146"/>
      <c r="C348" s="152"/>
      <c r="D348" s="153"/>
      <c r="E348" s="122"/>
      <c r="F348" s="122"/>
      <c r="G348" s="122"/>
      <c r="H348" s="123"/>
      <c r="I348" s="135"/>
      <c r="J348" s="123"/>
      <c r="K348" s="124"/>
      <c r="L348" s="123"/>
      <c r="M348" s="125"/>
      <c r="N348" s="131"/>
      <c r="O348" s="118"/>
      <c r="P348" s="455"/>
      <c r="Q348" s="455"/>
      <c r="R348" s="455"/>
      <c r="S348" s="455"/>
      <c r="T348" s="154"/>
      <c r="U348" s="155"/>
      <c r="V348" s="136"/>
      <c r="W348" s="63"/>
      <c r="X348" s="63"/>
      <c r="Y348" s="62"/>
      <c r="Z348" s="62"/>
      <c r="AA348" s="103"/>
      <c r="AB348" s="103"/>
    </row>
    <row r="349" spans="1:28" s="70" customFormat="1" ht="14.25" x14ac:dyDescent="0.2">
      <c r="A349" s="60"/>
      <c r="B349" s="146" t="s">
        <v>125</v>
      </c>
      <c r="C349" s="152">
        <v>4</v>
      </c>
      <c r="D349" s="153" t="s">
        <v>45</v>
      </c>
      <c r="E349" s="122">
        <v>0.2</v>
      </c>
      <c r="F349" s="122">
        <f>C349*E349</f>
        <v>0.8</v>
      </c>
      <c r="G349" s="122">
        <f>$H$11*E349</f>
        <v>8</v>
      </c>
      <c r="H349" s="123">
        <f>F349*$H$11</f>
        <v>32</v>
      </c>
      <c r="I349" s="135">
        <v>16</v>
      </c>
      <c r="J349" s="123">
        <f>C349*I349</f>
        <v>64</v>
      </c>
      <c r="K349" s="124">
        <f>SUM(H349,J349)</f>
        <v>96</v>
      </c>
      <c r="L349" s="123">
        <f>K349/C349</f>
        <v>24</v>
      </c>
      <c r="M349" s="125">
        <f>C349*L349</f>
        <v>96</v>
      </c>
      <c r="N349" s="131">
        <v>0</v>
      </c>
      <c r="O349" s="118">
        <f>M349*N349</f>
        <v>0</v>
      </c>
      <c r="P349" s="455"/>
      <c r="Q349" s="455"/>
      <c r="R349" s="455"/>
      <c r="S349" s="455"/>
      <c r="T349" s="154"/>
      <c r="U349" s="155"/>
      <c r="V349" s="136"/>
      <c r="W349" s="63"/>
      <c r="X349" s="63"/>
      <c r="Y349" s="62"/>
      <c r="Z349" s="62"/>
      <c r="AA349" s="103"/>
      <c r="AB349" s="103"/>
    </row>
    <row r="350" spans="1:28" s="70" customFormat="1" ht="14.25" x14ac:dyDescent="0.2">
      <c r="A350" s="60"/>
      <c r="B350" s="146" t="s">
        <v>105</v>
      </c>
      <c r="C350" s="152">
        <v>13</v>
      </c>
      <c r="D350" s="153" t="s">
        <v>46</v>
      </c>
      <c r="E350" s="122">
        <v>0.1</v>
      </c>
      <c r="F350" s="122">
        <f>C350*E350</f>
        <v>1.3</v>
      </c>
      <c r="G350" s="122">
        <f>$H$11*E350</f>
        <v>4</v>
      </c>
      <c r="H350" s="123">
        <f>F350*$H$11</f>
        <v>52</v>
      </c>
      <c r="I350" s="135">
        <v>2.5</v>
      </c>
      <c r="J350" s="123">
        <f>C350*I350</f>
        <v>32.5</v>
      </c>
      <c r="K350" s="124">
        <f>SUM(H350,J350)</f>
        <v>84.5</v>
      </c>
      <c r="L350" s="123">
        <f>K350/C350</f>
        <v>6.5</v>
      </c>
      <c r="M350" s="125">
        <f>C350*L350</f>
        <v>84.5</v>
      </c>
      <c r="N350" s="131">
        <v>0</v>
      </c>
      <c r="O350" s="118">
        <f>M350*N350</f>
        <v>0</v>
      </c>
      <c r="P350" s="455"/>
      <c r="Q350" s="455"/>
      <c r="R350" s="455"/>
      <c r="S350" s="455"/>
      <c r="T350" s="154"/>
      <c r="U350" s="155"/>
      <c r="V350" s="136"/>
      <c r="W350" s="63"/>
      <c r="X350" s="63"/>
      <c r="Y350" s="62"/>
      <c r="Z350" s="62"/>
      <c r="AA350" s="103"/>
      <c r="AB350" s="103"/>
    </row>
    <row r="351" spans="1:28" s="70" customFormat="1" ht="14.25" x14ac:dyDescent="0.2">
      <c r="A351" s="60"/>
      <c r="B351" s="146" t="s">
        <v>127</v>
      </c>
      <c r="C351" s="152">
        <v>13</v>
      </c>
      <c r="D351" s="153" t="s">
        <v>46</v>
      </c>
      <c r="E351" s="122">
        <v>0.1</v>
      </c>
      <c r="F351" s="122">
        <f>C351*E351</f>
        <v>1.3</v>
      </c>
      <c r="G351" s="122">
        <f>$H$11*E351</f>
        <v>4</v>
      </c>
      <c r="H351" s="123">
        <f>F351*$H$11</f>
        <v>52</v>
      </c>
      <c r="I351" s="135">
        <v>0</v>
      </c>
      <c r="J351" s="123">
        <f>C351*I351</f>
        <v>0</v>
      </c>
      <c r="K351" s="124">
        <f>SUM(H351,J351)</f>
        <v>52</v>
      </c>
      <c r="L351" s="123">
        <f>K351/C351</f>
        <v>4</v>
      </c>
      <c r="M351" s="125">
        <f>C351*L351</f>
        <v>52</v>
      </c>
      <c r="N351" s="131">
        <v>0</v>
      </c>
      <c r="O351" s="118">
        <f>M351*N351</f>
        <v>0</v>
      </c>
      <c r="P351" s="455"/>
      <c r="Q351" s="455"/>
      <c r="R351" s="455"/>
      <c r="S351" s="455"/>
      <c r="T351" s="154"/>
      <c r="U351" s="155"/>
      <c r="V351" s="136"/>
      <c r="W351" s="63"/>
      <c r="X351" s="63"/>
      <c r="Y351" s="62"/>
      <c r="Z351" s="62"/>
      <c r="AA351" s="103"/>
      <c r="AB351" s="103"/>
    </row>
    <row r="352" spans="1:28" s="70" customFormat="1" ht="14.25" x14ac:dyDescent="0.2">
      <c r="A352" s="60"/>
      <c r="B352" s="146"/>
      <c r="C352" s="152"/>
      <c r="D352" s="153"/>
      <c r="E352" s="122"/>
      <c r="F352" s="122"/>
      <c r="G352" s="122"/>
      <c r="H352" s="123"/>
      <c r="I352" s="135"/>
      <c r="J352" s="123"/>
      <c r="K352" s="124"/>
      <c r="L352" s="123"/>
      <c r="M352" s="125"/>
      <c r="N352" s="131"/>
      <c r="O352" s="118"/>
      <c r="P352" s="455"/>
      <c r="Q352" s="455"/>
      <c r="R352" s="455"/>
      <c r="S352" s="455"/>
      <c r="T352" s="154"/>
      <c r="U352" s="155"/>
      <c r="V352" s="136"/>
      <c r="W352" s="63"/>
      <c r="X352" s="63"/>
      <c r="Y352" s="62"/>
      <c r="Z352" s="62"/>
      <c r="AA352" s="103"/>
      <c r="AB352" s="103"/>
    </row>
    <row r="353" spans="1:28" s="70" customFormat="1" ht="14.25" x14ac:dyDescent="0.2">
      <c r="A353" s="60"/>
      <c r="B353" s="146" t="s">
        <v>126</v>
      </c>
      <c r="C353" s="152">
        <v>6</v>
      </c>
      <c r="D353" s="153" t="s">
        <v>45</v>
      </c>
      <c r="E353" s="390">
        <v>0.4</v>
      </c>
      <c r="F353" s="122">
        <f>C353*E353</f>
        <v>2.4000000000000004</v>
      </c>
      <c r="G353" s="122">
        <f>$H$11*E353</f>
        <v>16</v>
      </c>
      <c r="H353" s="123">
        <f>F353*$H$11</f>
        <v>96.000000000000014</v>
      </c>
      <c r="I353" s="135">
        <v>32</v>
      </c>
      <c r="J353" s="123">
        <f>C353*I353</f>
        <v>192</v>
      </c>
      <c r="K353" s="124">
        <f>SUM(H353,J353)</f>
        <v>288</v>
      </c>
      <c r="L353" s="123">
        <f>K353/C353</f>
        <v>48</v>
      </c>
      <c r="M353" s="125">
        <f>C353*L353</f>
        <v>288</v>
      </c>
      <c r="N353" s="131">
        <v>0</v>
      </c>
      <c r="O353" s="118">
        <f>M353*N353</f>
        <v>0</v>
      </c>
      <c r="P353" s="455"/>
      <c r="Q353" s="455"/>
      <c r="R353" s="455"/>
      <c r="S353" s="455"/>
      <c r="T353" s="154"/>
      <c r="U353" s="155"/>
      <c r="V353" s="136"/>
      <c r="W353" s="63"/>
      <c r="X353" s="63"/>
      <c r="Y353" s="62"/>
      <c r="Z353" s="62"/>
      <c r="AA353" s="103"/>
      <c r="AB353" s="103"/>
    </row>
    <row r="354" spans="1:28" s="70" customFormat="1" ht="14.25" x14ac:dyDescent="0.2">
      <c r="A354" s="60"/>
      <c r="B354" s="146" t="s">
        <v>105</v>
      </c>
      <c r="C354" s="152">
        <v>2</v>
      </c>
      <c r="D354" s="153" t="s">
        <v>46</v>
      </c>
      <c r="E354" s="122">
        <v>0.1</v>
      </c>
      <c r="F354" s="122">
        <f>C354*E354</f>
        <v>0.2</v>
      </c>
      <c r="G354" s="122">
        <f>$H$11*E354</f>
        <v>4</v>
      </c>
      <c r="H354" s="123">
        <f>F354*$H$11</f>
        <v>8</v>
      </c>
      <c r="I354" s="135">
        <v>2.5</v>
      </c>
      <c r="J354" s="123">
        <f>C354*I354</f>
        <v>5</v>
      </c>
      <c r="K354" s="124">
        <f>SUM(H354,J354)</f>
        <v>13</v>
      </c>
      <c r="L354" s="123">
        <f>K354/C354</f>
        <v>6.5</v>
      </c>
      <c r="M354" s="125">
        <f>C354*L354</f>
        <v>13</v>
      </c>
      <c r="N354" s="131">
        <v>0</v>
      </c>
      <c r="O354" s="118">
        <f>M354*N354</f>
        <v>0</v>
      </c>
      <c r="P354" s="455"/>
      <c r="Q354" s="455"/>
      <c r="R354" s="455"/>
      <c r="S354" s="455"/>
      <c r="T354" s="154"/>
      <c r="U354" s="155"/>
      <c r="V354" s="136"/>
      <c r="W354" s="63"/>
      <c r="X354" s="63"/>
      <c r="Y354" s="62"/>
      <c r="Z354" s="62"/>
      <c r="AA354" s="103"/>
      <c r="AB354" s="103"/>
    </row>
    <row r="355" spans="1:28" s="70" customFormat="1" ht="14.25" x14ac:dyDescent="0.2">
      <c r="A355" s="60"/>
      <c r="B355" s="146" t="s">
        <v>127</v>
      </c>
      <c r="C355" s="152">
        <v>17</v>
      </c>
      <c r="D355" s="153" t="s">
        <v>46</v>
      </c>
      <c r="E355" s="122">
        <v>0.2</v>
      </c>
      <c r="F355" s="122">
        <f>C355*E355</f>
        <v>3.4000000000000004</v>
      </c>
      <c r="G355" s="122">
        <f>$H$11*E355</f>
        <v>8</v>
      </c>
      <c r="H355" s="123">
        <f>F355*$H$11</f>
        <v>136</v>
      </c>
      <c r="I355" s="135">
        <v>0</v>
      </c>
      <c r="J355" s="123">
        <f>C355*I355</f>
        <v>0</v>
      </c>
      <c r="K355" s="124">
        <f>SUM(H355,J355)</f>
        <v>136</v>
      </c>
      <c r="L355" s="123">
        <f>K355/C355</f>
        <v>8</v>
      </c>
      <c r="M355" s="125">
        <f>C355*L355</f>
        <v>136</v>
      </c>
      <c r="N355" s="131">
        <v>0</v>
      </c>
      <c r="O355" s="118">
        <f>M355*N355</f>
        <v>0</v>
      </c>
      <c r="P355" s="455"/>
      <c r="Q355" s="455"/>
      <c r="R355" s="455"/>
      <c r="S355" s="455"/>
      <c r="T355" s="154"/>
      <c r="U355" s="155"/>
      <c r="V355" s="136"/>
      <c r="W355" s="63"/>
      <c r="X355" s="63"/>
      <c r="Y355" s="62"/>
      <c r="Z355" s="62"/>
      <c r="AA355" s="103"/>
      <c r="AB355" s="103"/>
    </row>
    <row r="356" spans="1:28" s="70" customFormat="1" ht="14.25" x14ac:dyDescent="0.2">
      <c r="A356" s="60"/>
      <c r="B356" s="146"/>
      <c r="C356" s="152"/>
      <c r="D356" s="153"/>
      <c r="E356" s="122"/>
      <c r="F356" s="122"/>
      <c r="G356" s="122"/>
      <c r="H356" s="123"/>
      <c r="I356" s="135"/>
      <c r="J356" s="123"/>
      <c r="K356" s="124"/>
      <c r="L356" s="123"/>
      <c r="M356" s="125"/>
      <c r="N356" s="131"/>
      <c r="O356" s="118"/>
      <c r="P356" s="455"/>
      <c r="Q356" s="455"/>
      <c r="R356" s="455"/>
      <c r="S356" s="455"/>
      <c r="T356" s="154"/>
      <c r="U356" s="155"/>
      <c r="V356" s="136"/>
      <c r="W356" s="63"/>
      <c r="X356" s="63"/>
      <c r="Y356" s="62"/>
      <c r="Z356" s="62"/>
      <c r="AA356" s="103"/>
      <c r="AB356" s="103"/>
    </row>
    <row r="357" spans="1:28" s="70" customFormat="1" ht="14.25" x14ac:dyDescent="0.2">
      <c r="A357" s="60"/>
      <c r="B357" s="146" t="s">
        <v>123</v>
      </c>
      <c r="C357" s="152">
        <v>7</v>
      </c>
      <c r="D357" s="153" t="s">
        <v>45</v>
      </c>
      <c r="E357" s="390">
        <v>0.2</v>
      </c>
      <c r="F357" s="122">
        <f>C357*E357</f>
        <v>1.4000000000000001</v>
      </c>
      <c r="G357" s="122">
        <f>$H$11*E357</f>
        <v>8</v>
      </c>
      <c r="H357" s="123">
        <f>F357*$H$11</f>
        <v>56.000000000000007</v>
      </c>
      <c r="I357" s="135">
        <v>17.87</v>
      </c>
      <c r="J357" s="123">
        <f>C357*I357</f>
        <v>125.09</v>
      </c>
      <c r="K357" s="124">
        <f>SUM(H357,J357)</f>
        <v>181.09</v>
      </c>
      <c r="L357" s="123">
        <f>K357/C357</f>
        <v>25.87</v>
      </c>
      <c r="M357" s="125">
        <f>C357*L357</f>
        <v>181.09</v>
      </c>
      <c r="N357" s="131">
        <v>0</v>
      </c>
      <c r="O357" s="118">
        <f>M357*N357</f>
        <v>0</v>
      </c>
      <c r="P357" s="455"/>
      <c r="Q357" s="455"/>
      <c r="R357" s="455"/>
      <c r="S357" s="455"/>
      <c r="T357" s="154"/>
      <c r="U357" s="155"/>
      <c r="V357" s="136"/>
      <c r="W357" s="63"/>
      <c r="X357" s="63"/>
      <c r="Y357" s="62"/>
      <c r="Z357" s="62"/>
      <c r="AA357" s="103"/>
      <c r="AB357" s="103"/>
    </row>
    <row r="358" spans="1:28" s="70" customFormat="1" ht="14.25" x14ac:dyDescent="0.2">
      <c r="A358" s="60"/>
      <c r="B358" s="146" t="s">
        <v>127</v>
      </c>
      <c r="C358" s="152">
        <v>17</v>
      </c>
      <c r="D358" s="153" t="s">
        <v>46</v>
      </c>
      <c r="E358" s="122">
        <v>0.1</v>
      </c>
      <c r="F358" s="122">
        <f>C358*E358</f>
        <v>1.7000000000000002</v>
      </c>
      <c r="G358" s="122">
        <f>$H$11*E358</f>
        <v>4</v>
      </c>
      <c r="H358" s="123">
        <f>F358*$H$11</f>
        <v>68</v>
      </c>
      <c r="I358" s="135">
        <v>0</v>
      </c>
      <c r="J358" s="123">
        <f>C358*I358</f>
        <v>0</v>
      </c>
      <c r="K358" s="124">
        <f>SUM(H358,J358)</f>
        <v>68</v>
      </c>
      <c r="L358" s="123">
        <f>K358/C358</f>
        <v>4</v>
      </c>
      <c r="M358" s="125">
        <f>C358*L358</f>
        <v>68</v>
      </c>
      <c r="N358" s="131">
        <v>0</v>
      </c>
      <c r="O358" s="118">
        <f>M358*N358</f>
        <v>0</v>
      </c>
      <c r="P358" s="455"/>
      <c r="Q358" s="455"/>
      <c r="R358" s="455"/>
      <c r="S358" s="455"/>
      <c r="T358" s="154"/>
      <c r="U358" s="155"/>
      <c r="V358" s="136"/>
      <c r="W358" s="63"/>
      <c r="X358" s="63"/>
      <c r="Y358" s="62"/>
      <c r="Z358" s="62"/>
      <c r="AA358" s="103"/>
      <c r="AB358" s="103"/>
    </row>
    <row r="359" spans="1:28" s="70" customFormat="1" ht="14.25" x14ac:dyDescent="0.2">
      <c r="A359" s="60"/>
      <c r="B359" s="165"/>
      <c r="C359" s="152"/>
      <c r="D359" s="153"/>
      <c r="E359" s="122"/>
      <c r="F359" s="122"/>
      <c r="G359" s="122"/>
      <c r="H359" s="123"/>
      <c r="I359" s="135"/>
      <c r="J359" s="123"/>
      <c r="K359" s="124"/>
      <c r="L359" s="123"/>
      <c r="M359" s="125"/>
      <c r="N359" s="131"/>
      <c r="O359" s="118"/>
      <c r="P359" s="455"/>
      <c r="Q359" s="455"/>
      <c r="R359" s="455"/>
      <c r="S359" s="455"/>
      <c r="T359" s="154"/>
      <c r="U359" s="155"/>
      <c r="V359" s="136"/>
      <c r="W359" s="63"/>
      <c r="X359" s="63"/>
      <c r="Y359" s="62"/>
      <c r="Z359" s="62"/>
      <c r="AA359" s="103"/>
      <c r="AB359" s="103"/>
    </row>
    <row r="360" spans="1:28" s="70" customFormat="1" ht="14.25" x14ac:dyDescent="0.2">
      <c r="A360" s="60"/>
      <c r="B360" s="146" t="s">
        <v>361</v>
      </c>
      <c r="C360" s="152">
        <v>44</v>
      </c>
      <c r="D360" s="153" t="s">
        <v>60</v>
      </c>
      <c r="E360" s="122">
        <v>0.12</v>
      </c>
      <c r="F360" s="122">
        <f>C360*E360</f>
        <v>5.2799999999999994</v>
      </c>
      <c r="G360" s="122">
        <f>$H$11*E360</f>
        <v>4.8</v>
      </c>
      <c r="H360" s="123">
        <f>F360*$H$11</f>
        <v>211.2</v>
      </c>
      <c r="I360" s="135">
        <v>10</v>
      </c>
      <c r="J360" s="123">
        <f>C360*I360</f>
        <v>440</v>
      </c>
      <c r="K360" s="124">
        <f>SUM(H360,J360)</f>
        <v>651.20000000000005</v>
      </c>
      <c r="L360" s="123">
        <f>K360/C360</f>
        <v>14.8</v>
      </c>
      <c r="M360" s="125">
        <f>C360*L360</f>
        <v>651.20000000000005</v>
      </c>
      <c r="N360" s="131">
        <v>0</v>
      </c>
      <c r="O360" s="118">
        <f>M360*N360</f>
        <v>0</v>
      </c>
      <c r="P360" s="455"/>
      <c r="Q360" s="455"/>
      <c r="R360" s="455"/>
      <c r="S360" s="455"/>
      <c r="T360" s="154"/>
      <c r="U360" s="155"/>
      <c r="V360" s="136"/>
      <c r="W360" s="63"/>
      <c r="X360" s="63"/>
      <c r="Y360" s="62"/>
      <c r="Z360" s="62"/>
      <c r="AA360" s="103"/>
      <c r="AB360" s="103"/>
    </row>
    <row r="361" spans="1:28" s="70" customFormat="1" ht="14.25" x14ac:dyDescent="0.2">
      <c r="A361" s="60"/>
      <c r="B361" s="165"/>
      <c r="C361" s="152"/>
      <c r="D361" s="153"/>
      <c r="E361" s="122"/>
      <c r="F361" s="122"/>
      <c r="G361" s="122"/>
      <c r="H361" s="123"/>
      <c r="I361" s="135"/>
      <c r="J361" s="123"/>
      <c r="K361" s="124"/>
      <c r="L361" s="123"/>
      <c r="M361" s="125"/>
      <c r="N361" s="131"/>
      <c r="O361" s="118"/>
      <c r="P361" s="455"/>
      <c r="Q361" s="455"/>
      <c r="R361" s="455"/>
      <c r="S361" s="455"/>
      <c r="T361" s="154"/>
      <c r="U361" s="155"/>
      <c r="V361" s="136"/>
      <c r="W361" s="63"/>
      <c r="X361" s="63"/>
      <c r="Y361" s="62"/>
      <c r="Z361" s="62"/>
      <c r="AA361" s="103"/>
      <c r="AB361" s="103"/>
    </row>
    <row r="362" spans="1:28" s="70" customFormat="1" ht="14.25" x14ac:dyDescent="0.2">
      <c r="A362" s="60"/>
      <c r="B362" s="165" t="s">
        <v>65</v>
      </c>
      <c r="C362" s="152"/>
      <c r="D362" s="153"/>
      <c r="E362" s="122"/>
      <c r="F362" s="122"/>
      <c r="G362" s="122"/>
      <c r="H362" s="123"/>
      <c r="I362" s="135"/>
      <c r="J362" s="123"/>
      <c r="K362" s="124"/>
      <c r="L362" s="123"/>
      <c r="M362" s="125"/>
      <c r="N362" s="131"/>
      <c r="O362" s="118"/>
      <c r="P362" s="455"/>
      <c r="Q362" s="455"/>
      <c r="R362" s="455"/>
      <c r="S362" s="455"/>
      <c r="T362" s="154"/>
      <c r="U362" s="155"/>
      <c r="V362" s="136"/>
      <c r="W362" s="63"/>
      <c r="X362" s="63"/>
      <c r="Y362" s="62"/>
      <c r="Z362" s="62"/>
      <c r="AA362" s="103"/>
      <c r="AB362" s="103"/>
    </row>
    <row r="363" spans="1:28" s="70" customFormat="1" ht="15" customHeight="1" x14ac:dyDescent="0.2">
      <c r="A363" s="60"/>
      <c r="B363" s="151" t="s">
        <v>138</v>
      </c>
      <c r="C363" s="152">
        <v>56</v>
      </c>
      <c r="D363" s="153" t="s">
        <v>45</v>
      </c>
      <c r="E363" s="392">
        <v>0.4</v>
      </c>
      <c r="F363" s="122">
        <f>C363*E363</f>
        <v>22.400000000000002</v>
      </c>
      <c r="G363" s="122">
        <f>$H$11*E363</f>
        <v>16</v>
      </c>
      <c r="H363" s="123">
        <f>F363*$H$11</f>
        <v>896.00000000000011</v>
      </c>
      <c r="I363" s="135">
        <v>32</v>
      </c>
      <c r="J363" s="123">
        <f>C363*I363</f>
        <v>1792</v>
      </c>
      <c r="K363" s="124">
        <f>SUM(H363,J363)</f>
        <v>2688</v>
      </c>
      <c r="L363" s="123">
        <f>K363/C363</f>
        <v>48</v>
      </c>
      <c r="M363" s="125">
        <f>C363*L363</f>
        <v>2688</v>
      </c>
      <c r="N363" s="131">
        <v>0</v>
      </c>
      <c r="O363" s="118">
        <f>M363*N363</f>
        <v>0</v>
      </c>
      <c r="P363" s="455"/>
      <c r="Q363" s="455"/>
      <c r="R363" s="455"/>
      <c r="S363" s="455"/>
      <c r="T363" s="154"/>
      <c r="U363" s="155"/>
      <c r="V363" s="136"/>
      <c r="W363" s="63"/>
      <c r="X363" s="63"/>
      <c r="Y363" s="62"/>
      <c r="Z363" s="62"/>
      <c r="AA363" s="103"/>
      <c r="AB363" s="103"/>
    </row>
    <row r="364" spans="1:28" s="70" customFormat="1" ht="15" customHeight="1" x14ac:dyDescent="0.2">
      <c r="A364" s="60"/>
      <c r="B364" s="151" t="s">
        <v>139</v>
      </c>
      <c r="C364" s="152">
        <v>38</v>
      </c>
      <c r="D364" s="153" t="s">
        <v>46</v>
      </c>
      <c r="E364" s="122">
        <v>0.2</v>
      </c>
      <c r="F364" s="122">
        <f>C364*E364</f>
        <v>7.6000000000000005</v>
      </c>
      <c r="G364" s="122">
        <f>$H$11*E364</f>
        <v>8</v>
      </c>
      <c r="H364" s="123">
        <f>F364*$H$11</f>
        <v>304</v>
      </c>
      <c r="I364" s="135">
        <v>0</v>
      </c>
      <c r="J364" s="123">
        <f>C364*I364</f>
        <v>0</v>
      </c>
      <c r="K364" s="124">
        <f>SUM(H364,J364)</f>
        <v>304</v>
      </c>
      <c r="L364" s="123">
        <f>K364/C364</f>
        <v>8</v>
      </c>
      <c r="M364" s="125">
        <f>C364*L364</f>
        <v>304</v>
      </c>
      <c r="N364" s="131">
        <v>0</v>
      </c>
      <c r="O364" s="118">
        <f>M364*N364</f>
        <v>0</v>
      </c>
      <c r="P364" s="455"/>
      <c r="Q364" s="455"/>
      <c r="R364" s="455"/>
      <c r="S364" s="455"/>
      <c r="T364" s="154"/>
      <c r="U364" s="155"/>
      <c r="V364" s="136"/>
      <c r="W364" s="63"/>
      <c r="X364" s="63"/>
      <c r="Y364" s="62"/>
      <c r="Z364" s="62"/>
      <c r="AA364" s="103"/>
      <c r="AB364" s="103"/>
    </row>
    <row r="365" spans="1:28" s="70" customFormat="1" ht="15" customHeight="1" x14ac:dyDescent="0.2">
      <c r="A365" s="60"/>
      <c r="B365" s="151" t="s">
        <v>105</v>
      </c>
      <c r="C365" s="152">
        <v>76</v>
      </c>
      <c r="D365" s="153" t="s">
        <v>46</v>
      </c>
      <c r="E365" s="122">
        <v>0.1</v>
      </c>
      <c r="F365" s="122">
        <f>C365*E365</f>
        <v>7.6000000000000005</v>
      </c>
      <c r="G365" s="122">
        <f>$H$11*E365</f>
        <v>4</v>
      </c>
      <c r="H365" s="123">
        <f>F365*$H$11</f>
        <v>304</v>
      </c>
      <c r="I365" s="135">
        <v>2.5</v>
      </c>
      <c r="J365" s="123">
        <f>C365*I365</f>
        <v>190</v>
      </c>
      <c r="K365" s="124">
        <f>SUM(H365,J365)</f>
        <v>494</v>
      </c>
      <c r="L365" s="123">
        <f>K365/C365</f>
        <v>6.5</v>
      </c>
      <c r="M365" s="125">
        <f>C365*L365</f>
        <v>494</v>
      </c>
      <c r="N365" s="131">
        <v>0</v>
      </c>
      <c r="O365" s="118">
        <f>M365*N365</f>
        <v>0</v>
      </c>
      <c r="P365" s="455"/>
      <c r="Q365" s="455"/>
      <c r="R365" s="455"/>
      <c r="S365" s="455"/>
      <c r="T365" s="154"/>
      <c r="U365" s="155"/>
      <c r="V365" s="136"/>
      <c r="W365" s="63"/>
      <c r="X365" s="63"/>
      <c r="Y365" s="62"/>
      <c r="Z365" s="62"/>
      <c r="AA365" s="103"/>
      <c r="AB365" s="103"/>
    </row>
    <row r="366" spans="1:28" s="70" customFormat="1" ht="15" customHeight="1" x14ac:dyDescent="0.2">
      <c r="A366" s="60"/>
      <c r="B366" s="151"/>
      <c r="C366" s="152"/>
      <c r="D366" s="153"/>
      <c r="E366" s="122"/>
      <c r="F366" s="122"/>
      <c r="G366" s="122"/>
      <c r="H366" s="123"/>
      <c r="I366" s="135"/>
      <c r="J366" s="123"/>
      <c r="K366" s="124"/>
      <c r="L366" s="123"/>
      <c r="M366" s="125"/>
      <c r="N366" s="131"/>
      <c r="O366" s="118"/>
      <c r="P366" s="455"/>
      <c r="Q366" s="455"/>
      <c r="R366" s="455"/>
      <c r="S366" s="455"/>
      <c r="T366" s="154"/>
      <c r="U366" s="155"/>
      <c r="V366" s="136"/>
      <c r="W366" s="63"/>
      <c r="X366" s="63"/>
      <c r="Y366" s="62"/>
      <c r="Z366" s="62"/>
      <c r="AA366" s="103"/>
      <c r="AB366" s="103"/>
    </row>
    <row r="367" spans="1:28" s="70" customFormat="1" ht="15" customHeight="1" x14ac:dyDescent="0.2">
      <c r="A367" s="60"/>
      <c r="B367" s="151" t="s">
        <v>141</v>
      </c>
      <c r="C367" s="152">
        <v>17</v>
      </c>
      <c r="D367" s="153" t="s">
        <v>45</v>
      </c>
      <c r="E367" s="392">
        <v>0.4</v>
      </c>
      <c r="F367" s="122">
        <f>C367*E367</f>
        <v>6.8000000000000007</v>
      </c>
      <c r="G367" s="122">
        <f>$H$11*E367</f>
        <v>16</v>
      </c>
      <c r="H367" s="123">
        <f>F367*$H$11</f>
        <v>272</v>
      </c>
      <c r="I367" s="135">
        <v>32</v>
      </c>
      <c r="J367" s="123">
        <f>C367*I367</f>
        <v>544</v>
      </c>
      <c r="K367" s="124">
        <f>SUM(H367,J367)</f>
        <v>816</v>
      </c>
      <c r="L367" s="123">
        <f>K367/C367</f>
        <v>48</v>
      </c>
      <c r="M367" s="125">
        <f>C367*L367</f>
        <v>816</v>
      </c>
      <c r="N367" s="131">
        <v>0</v>
      </c>
      <c r="O367" s="118">
        <f>M367*N367</f>
        <v>0</v>
      </c>
      <c r="P367" s="455"/>
      <c r="Q367" s="455"/>
      <c r="R367" s="455"/>
      <c r="S367" s="455"/>
      <c r="T367" s="154"/>
      <c r="U367" s="155"/>
      <c r="V367" s="136"/>
      <c r="W367" s="63"/>
      <c r="X367" s="63"/>
      <c r="Y367" s="62"/>
      <c r="Z367" s="62"/>
      <c r="AA367" s="103"/>
      <c r="AB367" s="103"/>
    </row>
    <row r="368" spans="1:28" s="70" customFormat="1" ht="15" customHeight="1" x14ac:dyDescent="0.2">
      <c r="A368" s="60"/>
      <c r="B368" s="151" t="s">
        <v>139</v>
      </c>
      <c r="C368" s="152">
        <v>46</v>
      </c>
      <c r="D368" s="153" t="s">
        <v>46</v>
      </c>
      <c r="E368" s="122">
        <v>0.2</v>
      </c>
      <c r="F368" s="122">
        <f>C368*E368</f>
        <v>9.2000000000000011</v>
      </c>
      <c r="G368" s="122">
        <f>$H$11*E368</f>
        <v>8</v>
      </c>
      <c r="H368" s="123">
        <f>F368*$H$11</f>
        <v>368.00000000000006</v>
      </c>
      <c r="I368" s="135">
        <v>0</v>
      </c>
      <c r="J368" s="123">
        <f>C368*I368</f>
        <v>0</v>
      </c>
      <c r="K368" s="124">
        <f>SUM(H368,J368)</f>
        <v>368.00000000000006</v>
      </c>
      <c r="L368" s="123">
        <f>K368/C368</f>
        <v>8.0000000000000018</v>
      </c>
      <c r="M368" s="125">
        <f>C368*L368</f>
        <v>368.00000000000006</v>
      </c>
      <c r="N368" s="131">
        <v>0</v>
      </c>
      <c r="O368" s="118">
        <f>M368*N368</f>
        <v>0</v>
      </c>
      <c r="P368" s="455"/>
      <c r="Q368" s="455"/>
      <c r="R368" s="455"/>
      <c r="S368" s="455"/>
      <c r="T368" s="154"/>
      <c r="U368" s="155"/>
      <c r="V368" s="136"/>
      <c r="W368" s="63"/>
      <c r="X368" s="63"/>
      <c r="Y368" s="62"/>
      <c r="Z368" s="62"/>
      <c r="AA368" s="103"/>
      <c r="AB368" s="103"/>
    </row>
    <row r="369" spans="1:28" s="70" customFormat="1" ht="15" customHeight="1" x14ac:dyDescent="0.2">
      <c r="A369" s="60"/>
      <c r="B369" s="151" t="s">
        <v>105</v>
      </c>
      <c r="C369" s="152">
        <v>46</v>
      </c>
      <c r="D369" s="153" t="s">
        <v>46</v>
      </c>
      <c r="E369" s="122">
        <v>0.1</v>
      </c>
      <c r="F369" s="122">
        <f>C369*E369</f>
        <v>4.6000000000000005</v>
      </c>
      <c r="G369" s="122">
        <f>$H$11*E369</f>
        <v>4</v>
      </c>
      <c r="H369" s="123">
        <f>F369*$H$11</f>
        <v>184.00000000000003</v>
      </c>
      <c r="I369" s="135">
        <v>2.5</v>
      </c>
      <c r="J369" s="123">
        <f>C369*I369</f>
        <v>115</v>
      </c>
      <c r="K369" s="124">
        <f>SUM(H369,J369)</f>
        <v>299</v>
      </c>
      <c r="L369" s="123">
        <f>K369/C369</f>
        <v>6.5</v>
      </c>
      <c r="M369" s="125">
        <f>C369*L369</f>
        <v>299</v>
      </c>
      <c r="N369" s="131">
        <v>0</v>
      </c>
      <c r="O369" s="118">
        <f>M369*N369</f>
        <v>0</v>
      </c>
      <c r="P369" s="455"/>
      <c r="Q369" s="455"/>
      <c r="R369" s="455"/>
      <c r="S369" s="455"/>
      <c r="T369" s="154"/>
      <c r="U369" s="155"/>
      <c r="V369" s="136"/>
      <c r="W369" s="63"/>
      <c r="X369" s="63"/>
      <c r="Y369" s="62"/>
      <c r="Z369" s="62"/>
      <c r="AA369" s="103"/>
      <c r="AB369" s="103"/>
    </row>
    <row r="370" spans="1:28" s="70" customFormat="1" ht="15" customHeight="1" x14ac:dyDescent="0.2">
      <c r="A370" s="60"/>
      <c r="B370" s="151"/>
      <c r="C370" s="152"/>
      <c r="D370" s="153"/>
      <c r="E370" s="122"/>
      <c r="F370" s="122"/>
      <c r="G370" s="122"/>
      <c r="H370" s="123"/>
      <c r="I370" s="135"/>
      <c r="J370" s="123"/>
      <c r="K370" s="124"/>
      <c r="L370" s="123"/>
      <c r="M370" s="125"/>
      <c r="N370" s="131"/>
      <c r="O370" s="118"/>
      <c r="P370" s="455"/>
      <c r="Q370" s="455"/>
      <c r="R370" s="455"/>
      <c r="S370" s="455"/>
      <c r="T370" s="154"/>
      <c r="U370" s="155"/>
      <c r="V370" s="136"/>
      <c r="W370" s="63"/>
      <c r="X370" s="63"/>
      <c r="Y370" s="62"/>
      <c r="Z370" s="62"/>
      <c r="AA370" s="103"/>
      <c r="AB370" s="103"/>
    </row>
    <row r="371" spans="1:28" s="70" customFormat="1" ht="15" customHeight="1" x14ac:dyDescent="0.2">
      <c r="A371" s="60"/>
      <c r="B371" s="151" t="s">
        <v>140</v>
      </c>
      <c r="C371" s="152">
        <v>5</v>
      </c>
      <c r="D371" s="153" t="s">
        <v>45</v>
      </c>
      <c r="E371" s="392">
        <v>0.4</v>
      </c>
      <c r="F371" s="122">
        <f>C371*E371</f>
        <v>2</v>
      </c>
      <c r="G371" s="122">
        <f>$H$11*E371</f>
        <v>16</v>
      </c>
      <c r="H371" s="123">
        <f>F371*$H$11</f>
        <v>80</v>
      </c>
      <c r="I371" s="135">
        <v>32</v>
      </c>
      <c r="J371" s="123">
        <f>C371*I371</f>
        <v>160</v>
      </c>
      <c r="K371" s="124">
        <f>SUM(H371,J371)</f>
        <v>240</v>
      </c>
      <c r="L371" s="123">
        <f>K371/C371</f>
        <v>48</v>
      </c>
      <c r="M371" s="125">
        <f>C371*L371</f>
        <v>240</v>
      </c>
      <c r="N371" s="131">
        <v>0</v>
      </c>
      <c r="O371" s="118">
        <f>M371*N371</f>
        <v>0</v>
      </c>
      <c r="P371" s="455"/>
      <c r="Q371" s="455"/>
      <c r="R371" s="455"/>
      <c r="S371" s="455"/>
      <c r="T371" s="154"/>
      <c r="U371" s="155"/>
      <c r="V371" s="136"/>
      <c r="W371" s="63"/>
      <c r="X371" s="63"/>
      <c r="Y371" s="62"/>
      <c r="Z371" s="62"/>
      <c r="AA371" s="103"/>
      <c r="AB371" s="103"/>
    </row>
    <row r="372" spans="1:28" s="70" customFormat="1" ht="15" customHeight="1" x14ac:dyDescent="0.2">
      <c r="A372" s="60"/>
      <c r="B372" s="151" t="s">
        <v>139</v>
      </c>
      <c r="C372" s="152">
        <v>10</v>
      </c>
      <c r="D372" s="153" t="s">
        <v>46</v>
      </c>
      <c r="E372" s="122">
        <v>0.2</v>
      </c>
      <c r="F372" s="122">
        <f>C372*E372</f>
        <v>2</v>
      </c>
      <c r="G372" s="122">
        <f>$H$11*E372</f>
        <v>8</v>
      </c>
      <c r="H372" s="123">
        <f>F372*$H$11</f>
        <v>80</v>
      </c>
      <c r="I372" s="135">
        <v>0</v>
      </c>
      <c r="J372" s="123">
        <f>C372*I372</f>
        <v>0</v>
      </c>
      <c r="K372" s="124">
        <f>SUM(H372,J372)</f>
        <v>80</v>
      </c>
      <c r="L372" s="123">
        <f>K372/C372</f>
        <v>8</v>
      </c>
      <c r="M372" s="125">
        <f>C372*L372</f>
        <v>80</v>
      </c>
      <c r="N372" s="131">
        <v>0</v>
      </c>
      <c r="O372" s="118">
        <f>M372*N372</f>
        <v>0</v>
      </c>
      <c r="P372" s="455"/>
      <c r="Q372" s="455"/>
      <c r="R372" s="455"/>
      <c r="S372" s="455"/>
      <c r="T372" s="154"/>
      <c r="U372" s="155"/>
      <c r="V372" s="136"/>
      <c r="W372" s="63"/>
      <c r="X372" s="63"/>
      <c r="Y372" s="62"/>
      <c r="Z372" s="62"/>
      <c r="AA372" s="103"/>
      <c r="AB372" s="103"/>
    </row>
    <row r="373" spans="1:28" s="70" customFormat="1" ht="15" customHeight="1" x14ac:dyDescent="0.2">
      <c r="A373" s="60"/>
      <c r="B373" s="151" t="s">
        <v>105</v>
      </c>
      <c r="C373" s="152">
        <v>10</v>
      </c>
      <c r="D373" s="153" t="s">
        <v>46</v>
      </c>
      <c r="E373" s="122">
        <v>0.1</v>
      </c>
      <c r="F373" s="122">
        <f>C373*E373</f>
        <v>1</v>
      </c>
      <c r="G373" s="122">
        <f>$H$11*E373</f>
        <v>4</v>
      </c>
      <c r="H373" s="123">
        <f>F373*$H$11</f>
        <v>40</v>
      </c>
      <c r="I373" s="135">
        <v>2.5</v>
      </c>
      <c r="J373" s="123">
        <f>C373*I373</f>
        <v>25</v>
      </c>
      <c r="K373" s="124">
        <f>SUM(H373,J373)</f>
        <v>65</v>
      </c>
      <c r="L373" s="123">
        <f>K373/C373</f>
        <v>6.5</v>
      </c>
      <c r="M373" s="125">
        <f>C373*L373</f>
        <v>65</v>
      </c>
      <c r="N373" s="131">
        <v>0</v>
      </c>
      <c r="O373" s="118">
        <f>M373*N373</f>
        <v>0</v>
      </c>
      <c r="P373" s="455"/>
      <c r="Q373" s="455"/>
      <c r="R373" s="455"/>
      <c r="S373" s="455"/>
      <c r="T373" s="154"/>
      <c r="U373" s="155"/>
      <c r="V373" s="136"/>
      <c r="W373" s="63"/>
      <c r="X373" s="63"/>
      <c r="Y373" s="62"/>
      <c r="Z373" s="62"/>
      <c r="AA373" s="103"/>
      <c r="AB373" s="103"/>
    </row>
    <row r="374" spans="1:28" s="70" customFormat="1" ht="15" customHeight="1" x14ac:dyDescent="0.2">
      <c r="A374" s="60"/>
      <c r="B374" s="151"/>
      <c r="C374" s="152"/>
      <c r="D374" s="153"/>
      <c r="E374" s="122"/>
      <c r="F374" s="122"/>
      <c r="G374" s="122"/>
      <c r="H374" s="123"/>
      <c r="I374" s="135"/>
      <c r="J374" s="123"/>
      <c r="K374" s="124"/>
      <c r="L374" s="123"/>
      <c r="M374" s="125"/>
      <c r="N374" s="131"/>
      <c r="O374" s="118"/>
      <c r="P374" s="455"/>
      <c r="Q374" s="455"/>
      <c r="R374" s="455"/>
      <c r="S374" s="455"/>
      <c r="T374" s="154"/>
      <c r="U374" s="155"/>
      <c r="V374" s="136"/>
      <c r="W374" s="63"/>
      <c r="X374" s="63"/>
      <c r="Y374" s="62"/>
      <c r="Z374" s="62"/>
      <c r="AA374" s="103"/>
      <c r="AB374" s="103"/>
    </row>
    <row r="375" spans="1:28" s="70" customFormat="1" ht="15" customHeight="1" x14ac:dyDescent="0.2">
      <c r="A375" s="60"/>
      <c r="B375" s="151" t="s">
        <v>142</v>
      </c>
      <c r="C375" s="152">
        <v>7</v>
      </c>
      <c r="D375" s="153" t="s">
        <v>45</v>
      </c>
      <c r="E375" s="392">
        <v>0.4</v>
      </c>
      <c r="F375" s="122">
        <f>C375*E375</f>
        <v>2.8000000000000003</v>
      </c>
      <c r="G375" s="122">
        <f>$H$11*E375</f>
        <v>16</v>
      </c>
      <c r="H375" s="123">
        <f>F375*$H$11</f>
        <v>112.00000000000001</v>
      </c>
      <c r="I375" s="135">
        <v>32</v>
      </c>
      <c r="J375" s="123">
        <f>C375*I375</f>
        <v>224</v>
      </c>
      <c r="K375" s="124">
        <f>SUM(H375,J375)</f>
        <v>336</v>
      </c>
      <c r="L375" s="123">
        <f>K375/C375</f>
        <v>48</v>
      </c>
      <c r="M375" s="125">
        <f>C375*L375</f>
        <v>336</v>
      </c>
      <c r="N375" s="131">
        <v>0</v>
      </c>
      <c r="O375" s="118">
        <f>M375*N375</f>
        <v>0</v>
      </c>
      <c r="P375" s="455"/>
      <c r="Q375" s="455"/>
      <c r="R375" s="455"/>
      <c r="S375" s="455"/>
      <c r="T375" s="154"/>
      <c r="U375" s="155"/>
      <c r="V375" s="136"/>
      <c r="W375" s="63"/>
      <c r="X375" s="63"/>
      <c r="Y375" s="62"/>
      <c r="Z375" s="62"/>
      <c r="AA375" s="103"/>
      <c r="AB375" s="103"/>
    </row>
    <row r="376" spans="1:28" s="70" customFormat="1" ht="15" customHeight="1" x14ac:dyDescent="0.2">
      <c r="A376" s="60"/>
      <c r="B376" s="151" t="s">
        <v>139</v>
      </c>
      <c r="C376" s="152">
        <v>10</v>
      </c>
      <c r="D376" s="153" t="s">
        <v>46</v>
      </c>
      <c r="E376" s="122">
        <v>0.2</v>
      </c>
      <c r="F376" s="122">
        <f>C376*E376</f>
        <v>2</v>
      </c>
      <c r="G376" s="122">
        <f>$H$11*E376</f>
        <v>8</v>
      </c>
      <c r="H376" s="123">
        <f>F376*$H$11</f>
        <v>80</v>
      </c>
      <c r="I376" s="135">
        <v>0</v>
      </c>
      <c r="J376" s="123">
        <f>C376*I376</f>
        <v>0</v>
      </c>
      <c r="K376" s="124">
        <f>SUM(H376,J376)</f>
        <v>80</v>
      </c>
      <c r="L376" s="123">
        <f>K376/C376</f>
        <v>8</v>
      </c>
      <c r="M376" s="125">
        <f>C376*L376</f>
        <v>80</v>
      </c>
      <c r="N376" s="131">
        <v>0</v>
      </c>
      <c r="O376" s="118">
        <f>M376*N376</f>
        <v>0</v>
      </c>
      <c r="P376" s="455"/>
      <c r="Q376" s="455"/>
      <c r="R376" s="455"/>
      <c r="S376" s="455"/>
      <c r="T376" s="154"/>
      <c r="U376" s="155"/>
      <c r="V376" s="136"/>
      <c r="W376" s="63"/>
      <c r="X376" s="63"/>
      <c r="Y376" s="62"/>
      <c r="Z376" s="62"/>
      <c r="AA376" s="103"/>
      <c r="AB376" s="103"/>
    </row>
    <row r="377" spans="1:28" s="70" customFormat="1" ht="15" customHeight="1" x14ac:dyDescent="0.2">
      <c r="A377" s="60"/>
      <c r="B377" s="151"/>
      <c r="C377" s="152"/>
      <c r="D377" s="153"/>
      <c r="E377" s="122"/>
      <c r="F377" s="122"/>
      <c r="G377" s="122"/>
      <c r="H377" s="123"/>
      <c r="I377" s="135"/>
      <c r="J377" s="123"/>
      <c r="K377" s="124"/>
      <c r="L377" s="123"/>
      <c r="M377" s="125"/>
      <c r="N377" s="131"/>
      <c r="O377" s="118"/>
      <c r="P377" s="455"/>
      <c r="Q377" s="455"/>
      <c r="R377" s="455"/>
      <c r="S377" s="455"/>
      <c r="T377" s="154"/>
      <c r="U377" s="155"/>
      <c r="V377" s="136"/>
      <c r="W377" s="63"/>
      <c r="X377" s="63"/>
      <c r="Y377" s="62"/>
      <c r="Z377" s="62"/>
      <c r="AA377" s="103"/>
      <c r="AB377" s="103"/>
    </row>
    <row r="378" spans="1:28" s="70" customFormat="1" ht="15" customHeight="1" x14ac:dyDescent="0.2">
      <c r="A378" s="60"/>
      <c r="B378" s="151" t="s">
        <v>260</v>
      </c>
      <c r="C378" s="152">
        <v>1</v>
      </c>
      <c r="D378" s="153" t="s">
        <v>45</v>
      </c>
      <c r="E378" s="392">
        <v>0.4</v>
      </c>
      <c r="F378" s="122">
        <f>C378*E378</f>
        <v>0.4</v>
      </c>
      <c r="G378" s="122">
        <f>$H$11*E378</f>
        <v>16</v>
      </c>
      <c r="H378" s="123">
        <f>F378*$H$11</f>
        <v>16</v>
      </c>
      <c r="I378" s="135">
        <v>32</v>
      </c>
      <c r="J378" s="123">
        <f>C378*I378</f>
        <v>32</v>
      </c>
      <c r="K378" s="124">
        <f>SUM(H378,J378)</f>
        <v>48</v>
      </c>
      <c r="L378" s="123">
        <f>K378/C378</f>
        <v>48</v>
      </c>
      <c r="M378" s="125">
        <f>C378*L378</f>
        <v>48</v>
      </c>
      <c r="N378" s="131">
        <v>0</v>
      </c>
      <c r="O378" s="118">
        <f>M378*N378</f>
        <v>0</v>
      </c>
      <c r="P378" s="455"/>
      <c r="Q378" s="455"/>
      <c r="R378" s="455"/>
      <c r="S378" s="455"/>
      <c r="T378" s="265">
        <f>SUM(C324,C326,C328,C329,C330,C331,C334,C337,C338,C339,C345,C349,C353,C357,C363,C367,C371,C375,C378)</f>
        <v>1080</v>
      </c>
      <c r="U378" s="155"/>
      <c r="V378" s="136"/>
      <c r="W378" s="63"/>
      <c r="X378" s="63"/>
      <c r="Y378" s="62"/>
      <c r="Z378" s="62"/>
      <c r="AA378" s="103"/>
      <c r="AB378" s="103"/>
    </row>
    <row r="379" spans="1:28" s="70" customFormat="1" ht="15" customHeight="1" x14ac:dyDescent="0.2">
      <c r="A379" s="60"/>
      <c r="B379" s="151" t="s">
        <v>139</v>
      </c>
      <c r="C379" s="152">
        <v>14</v>
      </c>
      <c r="D379" s="153" t="s">
        <v>46</v>
      </c>
      <c r="E379" s="122">
        <v>0.2</v>
      </c>
      <c r="F379" s="122">
        <f>C379*E379</f>
        <v>2.8000000000000003</v>
      </c>
      <c r="G379" s="122">
        <f>$H$11*E379</f>
        <v>8</v>
      </c>
      <c r="H379" s="123">
        <f>F379*$H$11</f>
        <v>112.00000000000001</v>
      </c>
      <c r="I379" s="135">
        <v>0</v>
      </c>
      <c r="J379" s="123">
        <f>C379*I379</f>
        <v>0</v>
      </c>
      <c r="K379" s="124">
        <f>SUM(H379,J379)</f>
        <v>112.00000000000001</v>
      </c>
      <c r="L379" s="123">
        <f>K379/C379</f>
        <v>8.0000000000000018</v>
      </c>
      <c r="M379" s="125">
        <f>C379*L379</f>
        <v>112.00000000000003</v>
      </c>
      <c r="N379" s="131">
        <v>0</v>
      </c>
      <c r="O379" s="118">
        <f>M379*N379</f>
        <v>0</v>
      </c>
      <c r="P379" s="455"/>
      <c r="Q379" s="455"/>
      <c r="R379" s="455"/>
      <c r="S379" s="455"/>
      <c r="T379" s="154"/>
      <c r="U379" s="155"/>
      <c r="V379" s="136"/>
      <c r="W379" s="63"/>
      <c r="X379" s="63"/>
      <c r="Y379" s="62"/>
      <c r="Z379" s="62"/>
      <c r="AA379" s="103"/>
      <c r="AB379" s="103"/>
    </row>
    <row r="380" spans="1:28" s="70" customFormat="1" ht="15" customHeight="1" x14ac:dyDescent="0.2">
      <c r="A380" s="60"/>
      <c r="B380" s="151" t="s">
        <v>105</v>
      </c>
      <c r="C380" s="152">
        <v>14</v>
      </c>
      <c r="D380" s="153" t="s">
        <v>46</v>
      </c>
      <c r="E380" s="122">
        <v>0.1</v>
      </c>
      <c r="F380" s="122">
        <f>C380*E380</f>
        <v>1.4000000000000001</v>
      </c>
      <c r="G380" s="122">
        <f>$H$11*E380</f>
        <v>4</v>
      </c>
      <c r="H380" s="123">
        <f>F380*$H$11</f>
        <v>56.000000000000007</v>
      </c>
      <c r="I380" s="135">
        <v>2.5</v>
      </c>
      <c r="J380" s="123">
        <f>C380*I380</f>
        <v>35</v>
      </c>
      <c r="K380" s="124">
        <f>SUM(H380,J380)</f>
        <v>91</v>
      </c>
      <c r="L380" s="123">
        <f>K380/C380</f>
        <v>6.5</v>
      </c>
      <c r="M380" s="125">
        <f>C380*L380</f>
        <v>91</v>
      </c>
      <c r="N380" s="131">
        <v>0</v>
      </c>
      <c r="O380" s="118">
        <f>M380*N380</f>
        <v>0</v>
      </c>
      <c r="P380" s="455"/>
      <c r="Q380" s="455"/>
      <c r="R380" s="455"/>
      <c r="S380" s="455"/>
      <c r="T380" s="154"/>
      <c r="U380" s="155"/>
      <c r="V380" s="136"/>
      <c r="W380" s="63"/>
      <c r="X380" s="63"/>
      <c r="Y380" s="62"/>
      <c r="Z380" s="62"/>
      <c r="AA380" s="103"/>
      <c r="AB380" s="103"/>
    </row>
    <row r="381" spans="1:28" s="70" customFormat="1" ht="15" customHeight="1" x14ac:dyDescent="0.2">
      <c r="A381" s="60"/>
      <c r="B381" s="151"/>
      <c r="C381" s="152"/>
      <c r="D381" s="153"/>
      <c r="E381" s="122"/>
      <c r="F381" s="122"/>
      <c r="G381" s="122"/>
      <c r="H381" s="123"/>
      <c r="I381" s="135"/>
      <c r="J381" s="123"/>
      <c r="K381" s="124"/>
      <c r="L381" s="123"/>
      <c r="M381" s="125">
        <f>-T322</f>
        <v>-1223</v>
      </c>
      <c r="N381" s="131"/>
      <c r="O381" s="118"/>
      <c r="P381" s="455"/>
      <c r="Q381" s="455"/>
      <c r="R381" s="455"/>
      <c r="S381" s="455"/>
      <c r="T381" s="154"/>
      <c r="U381" s="155"/>
      <c r="V381" s="136"/>
      <c r="W381" s="63"/>
      <c r="X381" s="63"/>
      <c r="Y381" s="62"/>
      <c r="Z381" s="62"/>
      <c r="AA381" s="103"/>
      <c r="AB381" s="103"/>
    </row>
    <row r="382" spans="1:28" s="70" customFormat="1" ht="14.25" x14ac:dyDescent="0.2">
      <c r="A382" s="60"/>
      <c r="B382" s="151"/>
      <c r="C382" s="152"/>
      <c r="D382" s="153"/>
      <c r="E382" s="122"/>
      <c r="F382" s="122"/>
      <c r="G382" s="122"/>
      <c r="H382" s="123"/>
      <c r="I382" s="135"/>
      <c r="J382" s="123"/>
      <c r="K382" s="124"/>
      <c r="L382" s="123"/>
      <c r="M382" s="125"/>
      <c r="N382" s="131"/>
      <c r="O382" s="118"/>
      <c r="P382" s="452">
        <f>SUM(M324:M381)</f>
        <v>36699.449999999997</v>
      </c>
      <c r="Q382" s="450">
        <f>P382*SUM($L$585:$L$589)</f>
        <v>3486.4477499999998</v>
      </c>
      <c r="R382" s="266"/>
      <c r="S382" s="266"/>
      <c r="T382" s="154"/>
      <c r="U382" s="155"/>
      <c r="V382" s="136"/>
      <c r="W382" s="63"/>
      <c r="X382" s="63"/>
      <c r="Y382" s="62"/>
      <c r="Z382" s="62"/>
      <c r="AA382" s="103"/>
      <c r="AB382" s="103"/>
    </row>
    <row r="383" spans="1:28" s="70" customFormat="1" ht="14.25" x14ac:dyDescent="0.2">
      <c r="A383" s="60"/>
      <c r="B383" s="151"/>
      <c r="C383" s="152"/>
      <c r="D383" s="153"/>
      <c r="E383" s="122"/>
      <c r="F383" s="122"/>
      <c r="G383" s="122"/>
      <c r="H383" s="123"/>
      <c r="I383" s="135"/>
      <c r="J383" s="123"/>
      <c r="K383" s="124"/>
      <c r="L383" s="123"/>
      <c r="M383" s="125"/>
      <c r="N383" s="131"/>
      <c r="O383" s="118"/>
      <c r="P383" s="451">
        <f>P382/$M$582</f>
        <v>9.4258812586221111E-2</v>
      </c>
      <c r="Q383" s="452">
        <f>P383*$M$593</f>
        <v>795.83681619375568</v>
      </c>
      <c r="R383" s="452">
        <f>SUM(P382,Q382,Q383)</f>
        <v>40981.734566193751</v>
      </c>
      <c r="S383" s="452">
        <f>R383*1.08</f>
        <v>44260.273331489254</v>
      </c>
      <c r="T383" s="154"/>
      <c r="U383" s="155"/>
      <c r="V383" s="136"/>
      <c r="W383" s="63"/>
      <c r="X383" s="63"/>
      <c r="Y383" s="62"/>
      <c r="Z383" s="62"/>
      <c r="AA383" s="103"/>
      <c r="AB383" s="103"/>
    </row>
    <row r="384" spans="1:28" s="70" customFormat="1" ht="14.25" x14ac:dyDescent="0.2">
      <c r="A384" s="60"/>
      <c r="B384" s="151"/>
      <c r="C384" s="152"/>
      <c r="D384" s="153"/>
      <c r="E384" s="122"/>
      <c r="F384" s="122"/>
      <c r="G384" s="122"/>
      <c r="H384" s="123"/>
      <c r="I384" s="135"/>
      <c r="J384" s="123"/>
      <c r="K384" s="124"/>
      <c r="L384" s="123"/>
      <c r="M384" s="125"/>
      <c r="N384" s="131"/>
      <c r="O384" s="118"/>
      <c r="P384" s="455"/>
      <c r="Q384" s="455"/>
      <c r="R384" s="455"/>
      <c r="S384" s="455"/>
      <c r="T384" s="154"/>
      <c r="U384" s="155"/>
      <c r="V384" s="136"/>
      <c r="W384" s="63"/>
      <c r="X384" s="63"/>
      <c r="Y384" s="62"/>
      <c r="Z384" s="62"/>
      <c r="AA384" s="103"/>
      <c r="AB384" s="103"/>
    </row>
    <row r="385" spans="1:28" s="70" customFormat="1" ht="15" x14ac:dyDescent="0.2">
      <c r="A385" s="60"/>
      <c r="B385" s="169" t="s">
        <v>70</v>
      </c>
      <c r="C385" s="152"/>
      <c r="D385" s="153"/>
      <c r="E385" s="122"/>
      <c r="F385" s="122"/>
      <c r="G385" s="122"/>
      <c r="H385" s="123"/>
      <c r="I385" s="135"/>
      <c r="J385" s="123"/>
      <c r="K385" s="124"/>
      <c r="L385" s="123"/>
      <c r="M385" s="125"/>
      <c r="N385" s="131"/>
      <c r="O385" s="118"/>
      <c r="P385" s="455"/>
      <c r="Q385" s="455"/>
      <c r="R385" s="455"/>
      <c r="S385" s="455"/>
      <c r="T385" s="394">
        <f>SUM(C387,C389,C391,C392,C393,C394,C397,C400,C401,C401,C402,C408,C412,C416,C416,C420,C426,C426,C430,C430,C434,C434,C438,C438,C441,C441)</f>
        <v>1223</v>
      </c>
      <c r="U385" s="155"/>
      <c r="V385" s="136"/>
      <c r="W385" s="63"/>
      <c r="X385" s="63"/>
      <c r="Y385" s="62"/>
      <c r="Z385" s="62"/>
      <c r="AA385" s="103"/>
      <c r="AB385" s="103"/>
    </row>
    <row r="386" spans="1:28" s="70" customFormat="1" ht="14.25" x14ac:dyDescent="0.2">
      <c r="A386" s="60"/>
      <c r="B386" s="165" t="s">
        <v>72</v>
      </c>
      <c r="C386" s="152"/>
      <c r="D386" s="153"/>
      <c r="E386" s="122"/>
      <c r="F386" s="122"/>
      <c r="G386" s="122"/>
      <c r="H386" s="123"/>
      <c r="I386" s="135"/>
      <c r="J386" s="123"/>
      <c r="K386" s="124"/>
      <c r="L386" s="123"/>
      <c r="M386" s="125"/>
      <c r="N386" s="131"/>
      <c r="O386" s="118"/>
      <c r="P386" s="455"/>
      <c r="Q386" s="455"/>
      <c r="R386" s="455"/>
      <c r="S386" s="455"/>
      <c r="T386" s="154"/>
      <c r="U386" s="155"/>
      <c r="V386" s="136"/>
      <c r="W386" s="63"/>
      <c r="X386" s="63"/>
      <c r="Y386" s="62"/>
      <c r="Z386" s="62"/>
      <c r="AA386" s="103"/>
      <c r="AB386" s="103"/>
    </row>
    <row r="387" spans="1:28" s="70" customFormat="1" ht="14.25" x14ac:dyDescent="0.2">
      <c r="A387" s="60"/>
      <c r="B387" s="146" t="s">
        <v>133</v>
      </c>
      <c r="C387" s="152">
        <v>232</v>
      </c>
      <c r="D387" s="153" t="s">
        <v>45</v>
      </c>
      <c r="E387" s="390">
        <v>0.2</v>
      </c>
      <c r="F387" s="122">
        <f>C387*E387</f>
        <v>46.400000000000006</v>
      </c>
      <c r="G387" s="122">
        <f>$H$11*E387</f>
        <v>8</v>
      </c>
      <c r="H387" s="123">
        <f>F387*$H$11</f>
        <v>1856.0000000000002</v>
      </c>
      <c r="I387" s="135">
        <v>17.87</v>
      </c>
      <c r="J387" s="123">
        <f>C387*I387</f>
        <v>4145.84</v>
      </c>
      <c r="K387" s="124">
        <f>SUM(H387,J387)</f>
        <v>6001.84</v>
      </c>
      <c r="L387" s="123">
        <f>K387/C387</f>
        <v>25.87</v>
      </c>
      <c r="M387" s="125">
        <f>C387*L387</f>
        <v>6001.84</v>
      </c>
      <c r="N387" s="131">
        <v>0</v>
      </c>
      <c r="O387" s="118">
        <f>M387*N387</f>
        <v>0</v>
      </c>
      <c r="P387" s="455"/>
      <c r="Q387" s="455"/>
      <c r="R387" s="455"/>
      <c r="S387" s="455"/>
      <c r="T387" s="154"/>
      <c r="U387" s="155"/>
      <c r="V387" s="136"/>
      <c r="W387" s="63"/>
      <c r="X387" s="63"/>
      <c r="Y387" s="62"/>
      <c r="Z387" s="62"/>
      <c r="AA387" s="103"/>
      <c r="AB387" s="103"/>
    </row>
    <row r="388" spans="1:28" s="70" customFormat="1" ht="14.25" x14ac:dyDescent="0.2">
      <c r="A388" s="60"/>
      <c r="B388" s="146" t="s">
        <v>105</v>
      </c>
      <c r="C388" s="152">
        <v>110</v>
      </c>
      <c r="D388" s="153" t="s">
        <v>46</v>
      </c>
      <c r="E388" s="122">
        <v>0.1</v>
      </c>
      <c r="F388" s="122">
        <f>C388*E388</f>
        <v>11</v>
      </c>
      <c r="G388" s="122">
        <f>$H$11*E388</f>
        <v>4</v>
      </c>
      <c r="H388" s="123">
        <f>F388*$H$11</f>
        <v>440</v>
      </c>
      <c r="I388" s="135">
        <v>2.5</v>
      </c>
      <c r="J388" s="123">
        <f>C388*I388</f>
        <v>275</v>
      </c>
      <c r="K388" s="124">
        <f>SUM(H388,J388)</f>
        <v>715</v>
      </c>
      <c r="L388" s="123">
        <f>K388/C388</f>
        <v>6.5</v>
      </c>
      <c r="M388" s="125">
        <f>C388*L388</f>
        <v>715</v>
      </c>
      <c r="N388" s="131">
        <v>0</v>
      </c>
      <c r="O388" s="118">
        <f>M388*N388</f>
        <v>0</v>
      </c>
      <c r="P388" s="455"/>
      <c r="Q388" s="455"/>
      <c r="R388" s="455"/>
      <c r="S388" s="455"/>
      <c r="T388" s="154"/>
      <c r="U388" s="155"/>
      <c r="V388" s="136"/>
      <c r="W388" s="63"/>
      <c r="X388" s="63"/>
      <c r="Y388" s="62"/>
      <c r="Z388" s="62"/>
      <c r="AA388" s="103"/>
      <c r="AB388" s="103"/>
    </row>
    <row r="389" spans="1:28" s="70" customFormat="1" ht="14.25" x14ac:dyDescent="0.2">
      <c r="A389" s="60"/>
      <c r="B389" s="146" t="s">
        <v>135</v>
      </c>
      <c r="C389" s="152">
        <v>136</v>
      </c>
      <c r="D389" s="153" t="s">
        <v>45</v>
      </c>
      <c r="E389" s="122">
        <v>0.2</v>
      </c>
      <c r="F389" s="122">
        <f>C389*E389</f>
        <v>27.200000000000003</v>
      </c>
      <c r="G389" s="122">
        <f>$H$11*E389</f>
        <v>8</v>
      </c>
      <c r="H389" s="123">
        <f>F389*$H$11</f>
        <v>1088</v>
      </c>
      <c r="I389" s="135">
        <v>16</v>
      </c>
      <c r="J389" s="123">
        <f>C389*I389</f>
        <v>2176</v>
      </c>
      <c r="K389" s="124">
        <f>SUM(H389,J389)</f>
        <v>3264</v>
      </c>
      <c r="L389" s="123">
        <f>K389/C389</f>
        <v>24</v>
      </c>
      <c r="M389" s="125">
        <f>C389*L389</f>
        <v>3264</v>
      </c>
      <c r="N389" s="131">
        <v>0</v>
      </c>
      <c r="O389" s="118">
        <f>M389*N389</f>
        <v>0</v>
      </c>
      <c r="P389" s="455"/>
      <c r="Q389" s="455"/>
      <c r="R389" s="455"/>
      <c r="S389" s="455"/>
      <c r="T389" s="154"/>
      <c r="U389" s="155"/>
      <c r="V389" s="136"/>
      <c r="W389" s="63"/>
      <c r="X389" s="63"/>
      <c r="Y389" s="62"/>
      <c r="Z389" s="62"/>
      <c r="AA389" s="103"/>
      <c r="AB389" s="103"/>
    </row>
    <row r="390" spans="1:28" s="70" customFormat="1" ht="14.25" x14ac:dyDescent="0.2">
      <c r="A390" s="60"/>
      <c r="B390" s="146" t="s">
        <v>105</v>
      </c>
      <c r="C390" s="152">
        <v>64</v>
      </c>
      <c r="D390" s="153" t="s">
        <v>46</v>
      </c>
      <c r="E390" s="122">
        <v>0.1</v>
      </c>
      <c r="F390" s="122">
        <f>C390*E390</f>
        <v>6.4</v>
      </c>
      <c r="G390" s="122">
        <f>$H$11*E390</f>
        <v>4</v>
      </c>
      <c r="H390" s="123">
        <f>F390*$H$11</f>
        <v>256</v>
      </c>
      <c r="I390" s="135">
        <v>2.5</v>
      </c>
      <c r="J390" s="123">
        <f>C390*I390</f>
        <v>160</v>
      </c>
      <c r="K390" s="124">
        <f>SUM(H390,J390)</f>
        <v>416</v>
      </c>
      <c r="L390" s="123">
        <f>K390/C390</f>
        <v>6.5</v>
      </c>
      <c r="M390" s="125">
        <f>C390*L390</f>
        <v>416</v>
      </c>
      <c r="N390" s="131">
        <v>0</v>
      </c>
      <c r="O390" s="118">
        <f>M390*N390</f>
        <v>0</v>
      </c>
      <c r="P390" s="455"/>
      <c r="Q390" s="455"/>
      <c r="R390" s="455"/>
      <c r="S390" s="455"/>
      <c r="T390" s="154"/>
      <c r="U390" s="155"/>
      <c r="V390" s="136"/>
      <c r="W390" s="63"/>
      <c r="X390" s="63"/>
      <c r="Y390" s="62"/>
      <c r="Z390" s="62"/>
      <c r="AA390" s="103"/>
      <c r="AB390" s="103"/>
    </row>
    <row r="391" spans="1:28" s="70" customFormat="1" ht="14.25" x14ac:dyDescent="0.2">
      <c r="A391" s="60"/>
      <c r="B391" s="264" t="s">
        <v>137</v>
      </c>
      <c r="C391" s="152">
        <v>6</v>
      </c>
      <c r="D391" s="153" t="s">
        <v>45</v>
      </c>
      <c r="E391" s="390">
        <v>0.2</v>
      </c>
      <c r="F391" s="122">
        <f>C391*E391</f>
        <v>1.2000000000000002</v>
      </c>
      <c r="G391" s="122">
        <f>$H$11*E391</f>
        <v>8</v>
      </c>
      <c r="H391" s="123">
        <f>F391*$H$11</f>
        <v>48.000000000000007</v>
      </c>
      <c r="I391" s="135">
        <v>45</v>
      </c>
      <c r="J391" s="123">
        <f>C391*I391</f>
        <v>270</v>
      </c>
      <c r="K391" s="124">
        <f>SUM(H391,J391)</f>
        <v>318</v>
      </c>
      <c r="L391" s="123">
        <f>K391/C391</f>
        <v>53</v>
      </c>
      <c r="M391" s="125">
        <f>C391*L391</f>
        <v>318</v>
      </c>
      <c r="N391" s="131">
        <v>0</v>
      </c>
      <c r="O391" s="118">
        <f>M391*N391</f>
        <v>0</v>
      </c>
      <c r="P391" s="455"/>
      <c r="Q391" s="455"/>
      <c r="R391" s="455"/>
      <c r="S391" s="455"/>
      <c r="T391" s="154"/>
      <c r="U391" s="155"/>
      <c r="V391" s="136"/>
      <c r="W391" s="63"/>
      <c r="X391" s="63"/>
      <c r="Y391" s="62"/>
      <c r="Z391" s="62"/>
      <c r="AA391" s="103"/>
      <c r="AB391" s="103"/>
    </row>
    <row r="392" spans="1:28" s="70" customFormat="1" ht="14.25" x14ac:dyDescent="0.2">
      <c r="A392" s="60"/>
      <c r="B392" s="146" t="s">
        <v>134</v>
      </c>
      <c r="C392" s="152">
        <v>154</v>
      </c>
      <c r="D392" s="153" t="s">
        <v>45</v>
      </c>
      <c r="E392" s="122">
        <v>0.2</v>
      </c>
      <c r="F392" s="122">
        <f t="shared" ref="F392:F406" si="48">C392*E392</f>
        <v>30.8</v>
      </c>
      <c r="G392" s="122">
        <f t="shared" ref="G392:G406" si="49">$H$11*E392</f>
        <v>8</v>
      </c>
      <c r="H392" s="123">
        <f t="shared" ref="H392:H406" si="50">F392*$H$11</f>
        <v>1232</v>
      </c>
      <c r="I392" s="135">
        <v>13.51</v>
      </c>
      <c r="J392" s="123">
        <f t="shared" ref="J392:J406" si="51">C392*I392</f>
        <v>2080.54</v>
      </c>
      <c r="K392" s="124">
        <f t="shared" ref="K392:K406" si="52">SUM(H392,J392)</f>
        <v>3312.54</v>
      </c>
      <c r="L392" s="123">
        <f t="shared" ref="L392:L406" si="53">K392/C392</f>
        <v>21.509999999999998</v>
      </c>
      <c r="M392" s="125">
        <f t="shared" ref="M392:M406" si="54">C392*L392</f>
        <v>3312.5399999999995</v>
      </c>
      <c r="N392" s="131">
        <v>0</v>
      </c>
      <c r="O392" s="118">
        <f t="shared" ref="O392:O406" si="55">M392*N392</f>
        <v>0</v>
      </c>
      <c r="P392" s="455"/>
      <c r="Q392" s="455"/>
      <c r="R392" s="455"/>
      <c r="S392" s="455"/>
      <c r="T392" s="154"/>
      <c r="U392" s="155"/>
      <c r="V392" s="136"/>
      <c r="W392" s="63"/>
      <c r="X392" s="63"/>
      <c r="Y392" s="62"/>
      <c r="Z392" s="62"/>
      <c r="AA392" s="103"/>
      <c r="AB392" s="103"/>
    </row>
    <row r="393" spans="1:28" s="70" customFormat="1" ht="14.25" x14ac:dyDescent="0.2">
      <c r="A393" s="60"/>
      <c r="B393" s="146" t="s">
        <v>103</v>
      </c>
      <c r="C393" s="152">
        <v>53</v>
      </c>
      <c r="D393" s="153" t="s">
        <v>45</v>
      </c>
      <c r="E393" s="122">
        <v>0.2</v>
      </c>
      <c r="F393" s="122">
        <f t="shared" si="48"/>
        <v>10.600000000000001</v>
      </c>
      <c r="G393" s="122">
        <f t="shared" si="49"/>
        <v>8</v>
      </c>
      <c r="H393" s="123">
        <f t="shared" si="50"/>
        <v>424.00000000000006</v>
      </c>
      <c r="I393" s="135">
        <v>13.51</v>
      </c>
      <c r="J393" s="123">
        <f t="shared" si="51"/>
        <v>716.03</v>
      </c>
      <c r="K393" s="124">
        <f t="shared" si="52"/>
        <v>1140.03</v>
      </c>
      <c r="L393" s="123">
        <f t="shared" si="53"/>
        <v>21.509999999999998</v>
      </c>
      <c r="M393" s="125">
        <f t="shared" si="54"/>
        <v>1140.03</v>
      </c>
      <c r="N393" s="131">
        <v>0</v>
      </c>
      <c r="O393" s="118">
        <f t="shared" si="55"/>
        <v>0</v>
      </c>
      <c r="P393" s="455"/>
      <c r="Q393" s="455"/>
      <c r="R393" s="455"/>
      <c r="S393" s="455"/>
      <c r="T393" s="154"/>
      <c r="U393" s="155"/>
      <c r="V393" s="136"/>
      <c r="W393" s="63"/>
      <c r="X393" s="63"/>
      <c r="Y393" s="62"/>
      <c r="Z393" s="62"/>
      <c r="AA393" s="103"/>
      <c r="AB393" s="103"/>
    </row>
    <row r="394" spans="1:28" s="70" customFormat="1" ht="14.25" x14ac:dyDescent="0.2">
      <c r="A394" s="60"/>
      <c r="B394" s="146" t="s">
        <v>136</v>
      </c>
      <c r="C394" s="152">
        <v>128</v>
      </c>
      <c r="D394" s="153" t="s">
        <v>45</v>
      </c>
      <c r="E394" s="390">
        <v>0.2</v>
      </c>
      <c r="F394" s="122">
        <f t="shared" si="48"/>
        <v>25.6</v>
      </c>
      <c r="G394" s="122">
        <f t="shared" si="49"/>
        <v>8</v>
      </c>
      <c r="H394" s="123">
        <f t="shared" si="50"/>
        <v>1024</v>
      </c>
      <c r="I394" s="135">
        <v>16</v>
      </c>
      <c r="J394" s="123">
        <f t="shared" si="51"/>
        <v>2048</v>
      </c>
      <c r="K394" s="124">
        <f t="shared" si="52"/>
        <v>3072</v>
      </c>
      <c r="L394" s="123">
        <f t="shared" si="53"/>
        <v>24</v>
      </c>
      <c r="M394" s="125">
        <f t="shared" si="54"/>
        <v>3072</v>
      </c>
      <c r="N394" s="131">
        <v>0</v>
      </c>
      <c r="O394" s="118">
        <f t="shared" si="55"/>
        <v>0</v>
      </c>
      <c r="P394" s="455"/>
      <c r="Q394" s="455"/>
      <c r="R394" s="455"/>
      <c r="S394" s="455"/>
      <c r="T394" s="154"/>
      <c r="U394" s="155"/>
      <c r="V394" s="136"/>
      <c r="W394" s="63"/>
      <c r="X394" s="63"/>
      <c r="Y394" s="62"/>
      <c r="Z394" s="62"/>
      <c r="AA394" s="103"/>
      <c r="AB394" s="103"/>
    </row>
    <row r="395" spans="1:28" s="70" customFormat="1" ht="14.25" x14ac:dyDescent="0.2">
      <c r="A395" s="60"/>
      <c r="B395" s="146" t="s">
        <v>105</v>
      </c>
      <c r="C395" s="152">
        <v>72</v>
      </c>
      <c r="D395" s="153" t="s">
        <v>46</v>
      </c>
      <c r="E395" s="122">
        <v>0.1</v>
      </c>
      <c r="F395" s="122">
        <f t="shared" si="48"/>
        <v>7.2</v>
      </c>
      <c r="G395" s="122">
        <f t="shared" si="49"/>
        <v>4</v>
      </c>
      <c r="H395" s="123">
        <f t="shared" si="50"/>
        <v>288</v>
      </c>
      <c r="I395" s="135">
        <v>2.5</v>
      </c>
      <c r="J395" s="123">
        <f t="shared" si="51"/>
        <v>180</v>
      </c>
      <c r="K395" s="124">
        <f t="shared" si="52"/>
        <v>468</v>
      </c>
      <c r="L395" s="123">
        <f t="shared" si="53"/>
        <v>6.5</v>
      </c>
      <c r="M395" s="125">
        <f t="shared" si="54"/>
        <v>468</v>
      </c>
      <c r="N395" s="131">
        <v>0</v>
      </c>
      <c r="O395" s="118">
        <f t="shared" si="55"/>
        <v>0</v>
      </c>
      <c r="P395" s="455"/>
      <c r="Q395" s="455"/>
      <c r="R395" s="455"/>
      <c r="S395" s="455"/>
      <c r="T395" s="154"/>
      <c r="U395" s="155"/>
      <c r="V395" s="136"/>
      <c r="W395" s="63"/>
      <c r="X395" s="63"/>
      <c r="Y395" s="62"/>
      <c r="Z395" s="62"/>
      <c r="AA395" s="103"/>
      <c r="AB395" s="103"/>
    </row>
    <row r="396" spans="1:28" s="70" customFormat="1" ht="14.25" x14ac:dyDescent="0.2">
      <c r="A396" s="60"/>
      <c r="B396" s="151" t="s">
        <v>358</v>
      </c>
      <c r="C396" s="152">
        <v>36</v>
      </c>
      <c r="D396" s="153" t="s">
        <v>46</v>
      </c>
      <c r="E396" s="310">
        <v>0.2</v>
      </c>
      <c r="F396" s="122">
        <f t="shared" si="48"/>
        <v>7.2</v>
      </c>
      <c r="G396" s="122">
        <f t="shared" si="49"/>
        <v>8</v>
      </c>
      <c r="H396" s="123">
        <f t="shared" si="50"/>
        <v>288</v>
      </c>
      <c r="I396" s="135">
        <v>6</v>
      </c>
      <c r="J396" s="123">
        <f t="shared" si="51"/>
        <v>216</v>
      </c>
      <c r="K396" s="124">
        <f t="shared" si="52"/>
        <v>504</v>
      </c>
      <c r="L396" s="123">
        <f t="shared" si="53"/>
        <v>14</v>
      </c>
      <c r="M396" s="125">
        <f t="shared" si="54"/>
        <v>504</v>
      </c>
      <c r="N396" s="131">
        <v>0</v>
      </c>
      <c r="O396" s="118">
        <f t="shared" si="55"/>
        <v>0</v>
      </c>
      <c r="P396" s="455"/>
      <c r="Q396" s="455"/>
      <c r="R396" s="455"/>
      <c r="S396" s="455"/>
      <c r="T396" s="154"/>
      <c r="U396" s="155"/>
      <c r="V396" s="136"/>
      <c r="W396" s="63"/>
      <c r="X396" s="63"/>
      <c r="Y396" s="62"/>
      <c r="Z396" s="62"/>
      <c r="AA396" s="103"/>
      <c r="AB396" s="103"/>
    </row>
    <row r="397" spans="1:28" s="70" customFormat="1" ht="14.25" x14ac:dyDescent="0.2">
      <c r="A397" s="60"/>
      <c r="B397" s="146" t="s">
        <v>116</v>
      </c>
      <c r="C397" s="152">
        <v>140</v>
      </c>
      <c r="D397" s="153" t="s">
        <v>45</v>
      </c>
      <c r="E397" s="390">
        <v>0.25</v>
      </c>
      <c r="F397" s="122">
        <f>C397*E397</f>
        <v>35</v>
      </c>
      <c r="G397" s="122">
        <f t="shared" si="49"/>
        <v>10</v>
      </c>
      <c r="H397" s="123">
        <f t="shared" si="50"/>
        <v>1400</v>
      </c>
      <c r="I397" s="135">
        <v>16</v>
      </c>
      <c r="J397" s="123">
        <f>C397*I397</f>
        <v>2240</v>
      </c>
      <c r="K397" s="124">
        <f t="shared" si="52"/>
        <v>3640</v>
      </c>
      <c r="L397" s="123">
        <f>K397/C397</f>
        <v>26</v>
      </c>
      <c r="M397" s="125">
        <f>C397*L397</f>
        <v>3640</v>
      </c>
      <c r="N397" s="131">
        <v>0</v>
      </c>
      <c r="O397" s="118">
        <f t="shared" si="55"/>
        <v>0</v>
      </c>
      <c r="P397" s="455"/>
      <c r="Q397" s="455"/>
      <c r="R397" s="455"/>
      <c r="S397" s="455"/>
      <c r="T397" s="154"/>
      <c r="U397" s="155"/>
      <c r="V397" s="136"/>
      <c r="W397" s="63"/>
      <c r="X397" s="63"/>
      <c r="Y397" s="62"/>
      <c r="Z397" s="62"/>
      <c r="AA397" s="103"/>
      <c r="AB397" s="103"/>
    </row>
    <row r="398" spans="1:28" s="70" customFormat="1" ht="14.25" x14ac:dyDescent="0.2">
      <c r="A398" s="60"/>
      <c r="B398" s="264" t="s">
        <v>105</v>
      </c>
      <c r="C398" s="152">
        <v>76</v>
      </c>
      <c r="D398" s="153" t="s">
        <v>46</v>
      </c>
      <c r="E398" s="310">
        <v>0.1</v>
      </c>
      <c r="F398" s="122">
        <f>C398*E398</f>
        <v>7.6000000000000005</v>
      </c>
      <c r="G398" s="122">
        <f t="shared" si="49"/>
        <v>4</v>
      </c>
      <c r="H398" s="123">
        <f t="shared" si="50"/>
        <v>304</v>
      </c>
      <c r="I398" s="135">
        <v>2.5</v>
      </c>
      <c r="J398" s="123">
        <f>C398*I398</f>
        <v>190</v>
      </c>
      <c r="K398" s="124">
        <f t="shared" si="52"/>
        <v>494</v>
      </c>
      <c r="L398" s="123">
        <f>K398/C398</f>
        <v>6.5</v>
      </c>
      <c r="M398" s="125">
        <f>C398*L398</f>
        <v>494</v>
      </c>
      <c r="N398" s="131">
        <v>0</v>
      </c>
      <c r="O398" s="118">
        <f t="shared" si="55"/>
        <v>0</v>
      </c>
      <c r="P398" s="455"/>
      <c r="Q398" s="455"/>
      <c r="R398" s="455"/>
      <c r="S398" s="455"/>
      <c r="T398" s="154"/>
      <c r="U398" s="155"/>
      <c r="V398" s="136"/>
      <c r="W398" s="63"/>
      <c r="X398" s="63"/>
      <c r="Y398" s="62"/>
      <c r="Z398" s="62"/>
      <c r="AA398" s="103"/>
      <c r="AB398" s="103"/>
    </row>
    <row r="399" spans="1:28" s="70" customFormat="1" ht="14.25" x14ac:dyDescent="0.2">
      <c r="A399" s="60"/>
      <c r="B399" s="151" t="s">
        <v>358</v>
      </c>
      <c r="C399" s="152">
        <v>38</v>
      </c>
      <c r="D399" s="153" t="s">
        <v>46</v>
      </c>
      <c r="E399" s="310">
        <v>0.2</v>
      </c>
      <c r="F399" s="122">
        <f>C399*E399</f>
        <v>7.6000000000000005</v>
      </c>
      <c r="G399" s="122">
        <f t="shared" si="49"/>
        <v>8</v>
      </c>
      <c r="H399" s="123">
        <f t="shared" si="50"/>
        <v>304</v>
      </c>
      <c r="I399" s="135">
        <v>6</v>
      </c>
      <c r="J399" s="123">
        <f>C399*I399</f>
        <v>228</v>
      </c>
      <c r="K399" s="124">
        <f t="shared" si="52"/>
        <v>532</v>
      </c>
      <c r="L399" s="123">
        <f>K399/C399</f>
        <v>14</v>
      </c>
      <c r="M399" s="125">
        <f>C399*L399</f>
        <v>532</v>
      </c>
      <c r="N399" s="131">
        <v>0</v>
      </c>
      <c r="O399" s="118">
        <f t="shared" si="55"/>
        <v>0</v>
      </c>
      <c r="P399" s="455"/>
      <c r="Q399" s="455"/>
      <c r="R399" s="455"/>
      <c r="S399" s="455"/>
      <c r="T399" s="154"/>
      <c r="U399" s="155"/>
      <c r="V399" s="136"/>
      <c r="W399" s="63"/>
      <c r="X399" s="63"/>
      <c r="Y399" s="62"/>
      <c r="Z399" s="62"/>
      <c r="AA399" s="103"/>
      <c r="AB399" s="103"/>
    </row>
    <row r="400" spans="1:28" s="70" customFormat="1" ht="14.25" x14ac:dyDescent="0.2">
      <c r="A400" s="60"/>
      <c r="B400" s="146" t="s">
        <v>118</v>
      </c>
      <c r="C400" s="152">
        <v>24</v>
      </c>
      <c r="D400" s="153" t="s">
        <v>45</v>
      </c>
      <c r="E400" s="122">
        <v>0.2</v>
      </c>
      <c r="F400" s="122">
        <f t="shared" si="48"/>
        <v>4.8000000000000007</v>
      </c>
      <c r="G400" s="122">
        <f t="shared" si="49"/>
        <v>8</v>
      </c>
      <c r="H400" s="123">
        <f t="shared" si="50"/>
        <v>192.00000000000003</v>
      </c>
      <c r="I400" s="135">
        <v>13.51</v>
      </c>
      <c r="J400" s="123">
        <f t="shared" si="51"/>
        <v>324.24</v>
      </c>
      <c r="K400" s="124">
        <f t="shared" si="52"/>
        <v>516.24</v>
      </c>
      <c r="L400" s="123">
        <f t="shared" si="53"/>
        <v>21.51</v>
      </c>
      <c r="M400" s="125">
        <f t="shared" si="54"/>
        <v>516.24</v>
      </c>
      <c r="N400" s="131">
        <v>0</v>
      </c>
      <c r="O400" s="118">
        <f t="shared" si="55"/>
        <v>0</v>
      </c>
      <c r="P400" s="455"/>
      <c r="Q400" s="455"/>
      <c r="R400" s="455"/>
      <c r="S400" s="455"/>
      <c r="T400" s="154"/>
      <c r="U400" s="155"/>
      <c r="V400" s="136"/>
      <c r="W400" s="63"/>
      <c r="X400" s="63"/>
      <c r="Y400" s="62"/>
      <c r="Z400" s="62"/>
      <c r="AA400" s="103"/>
      <c r="AB400" s="103"/>
    </row>
    <row r="401" spans="1:28" s="70" customFormat="1" ht="14.25" x14ac:dyDescent="0.2">
      <c r="A401" s="60"/>
      <c r="B401" s="146" t="s">
        <v>146</v>
      </c>
      <c r="C401" s="152">
        <v>51</v>
      </c>
      <c r="D401" s="153" t="s">
        <v>45</v>
      </c>
      <c r="E401" s="390">
        <v>0.4</v>
      </c>
      <c r="F401" s="122">
        <f t="shared" si="48"/>
        <v>20.400000000000002</v>
      </c>
      <c r="G401" s="122">
        <f t="shared" si="49"/>
        <v>16</v>
      </c>
      <c r="H401" s="123">
        <f t="shared" si="50"/>
        <v>816.00000000000011</v>
      </c>
      <c r="I401" s="135">
        <v>33</v>
      </c>
      <c r="J401" s="123">
        <f t="shared" si="51"/>
        <v>1683</v>
      </c>
      <c r="K401" s="124">
        <f t="shared" si="52"/>
        <v>2499</v>
      </c>
      <c r="L401" s="123">
        <f t="shared" si="53"/>
        <v>49</v>
      </c>
      <c r="M401" s="125">
        <f t="shared" si="54"/>
        <v>2499</v>
      </c>
      <c r="N401" s="131">
        <v>0</v>
      </c>
      <c r="O401" s="118">
        <f t="shared" si="55"/>
        <v>0</v>
      </c>
      <c r="P401" s="455"/>
      <c r="Q401" s="455"/>
      <c r="R401" s="455"/>
      <c r="S401" s="455"/>
      <c r="T401" s="154"/>
      <c r="U401" s="155"/>
      <c r="V401" s="136"/>
      <c r="W401" s="63"/>
      <c r="X401" s="63"/>
      <c r="Y401" s="62"/>
      <c r="Z401" s="62"/>
      <c r="AA401" s="103"/>
      <c r="AB401" s="103"/>
    </row>
    <row r="402" spans="1:28" s="70" customFormat="1" ht="14.25" x14ac:dyDescent="0.2">
      <c r="A402" s="60"/>
      <c r="B402" s="146" t="s">
        <v>122</v>
      </c>
      <c r="C402" s="152">
        <v>51</v>
      </c>
      <c r="D402" s="153" t="s">
        <v>45</v>
      </c>
      <c r="E402" s="390">
        <v>0.2</v>
      </c>
      <c r="F402" s="122">
        <f t="shared" si="48"/>
        <v>10.200000000000001</v>
      </c>
      <c r="G402" s="122">
        <f t="shared" si="49"/>
        <v>8</v>
      </c>
      <c r="H402" s="123">
        <f t="shared" si="50"/>
        <v>408.00000000000006</v>
      </c>
      <c r="I402" s="135">
        <v>17.87</v>
      </c>
      <c r="J402" s="123">
        <f t="shared" si="51"/>
        <v>911.37</v>
      </c>
      <c r="K402" s="124">
        <f t="shared" si="52"/>
        <v>1319.3700000000001</v>
      </c>
      <c r="L402" s="123">
        <f t="shared" si="53"/>
        <v>25.87</v>
      </c>
      <c r="M402" s="125">
        <f t="shared" si="54"/>
        <v>1319.3700000000001</v>
      </c>
      <c r="N402" s="131">
        <v>0</v>
      </c>
      <c r="O402" s="118">
        <f t="shared" si="55"/>
        <v>0</v>
      </c>
      <c r="P402" s="455"/>
      <c r="Q402" s="455"/>
      <c r="R402" s="455"/>
      <c r="S402" s="455"/>
      <c r="T402" s="154"/>
      <c r="U402" s="155"/>
      <c r="V402" s="136"/>
      <c r="W402" s="63"/>
      <c r="X402" s="63"/>
      <c r="Y402" s="62"/>
      <c r="Z402" s="62"/>
      <c r="AA402" s="103"/>
      <c r="AB402" s="103"/>
    </row>
    <row r="403" spans="1:28" s="70" customFormat="1" ht="14.25" x14ac:dyDescent="0.2">
      <c r="A403" s="60"/>
      <c r="B403" s="146" t="s">
        <v>105</v>
      </c>
      <c r="C403" s="152">
        <v>48</v>
      </c>
      <c r="D403" s="153" t="s">
        <v>46</v>
      </c>
      <c r="E403" s="122">
        <v>0.1</v>
      </c>
      <c r="F403" s="122">
        <f t="shared" si="48"/>
        <v>4.8000000000000007</v>
      </c>
      <c r="G403" s="122">
        <f t="shared" si="49"/>
        <v>4</v>
      </c>
      <c r="H403" s="123">
        <f t="shared" si="50"/>
        <v>192.00000000000003</v>
      </c>
      <c r="I403" s="135">
        <v>2.5</v>
      </c>
      <c r="J403" s="123">
        <f t="shared" si="51"/>
        <v>120</v>
      </c>
      <c r="K403" s="124">
        <f t="shared" si="52"/>
        <v>312</v>
      </c>
      <c r="L403" s="123">
        <f t="shared" si="53"/>
        <v>6.5</v>
      </c>
      <c r="M403" s="125">
        <f t="shared" si="54"/>
        <v>312</v>
      </c>
      <c r="N403" s="131">
        <v>0</v>
      </c>
      <c r="O403" s="118">
        <f t="shared" si="55"/>
        <v>0</v>
      </c>
      <c r="P403" s="455"/>
      <c r="Q403" s="455"/>
      <c r="R403" s="455"/>
      <c r="S403" s="455"/>
      <c r="T403" s="154"/>
      <c r="U403" s="155"/>
      <c r="V403" s="136"/>
      <c r="W403" s="63"/>
      <c r="X403" s="63"/>
      <c r="Y403" s="62"/>
      <c r="Z403" s="62"/>
      <c r="AA403" s="103"/>
      <c r="AB403" s="103"/>
    </row>
    <row r="404" spans="1:28" s="70" customFormat="1" ht="14.25" x14ac:dyDescent="0.2">
      <c r="A404" s="60"/>
      <c r="B404" s="146" t="s">
        <v>129</v>
      </c>
      <c r="C404" s="152">
        <v>110</v>
      </c>
      <c r="D404" s="153" t="s">
        <v>45</v>
      </c>
      <c r="E404" s="122">
        <v>0.02</v>
      </c>
      <c r="F404" s="122">
        <f t="shared" si="48"/>
        <v>2.2000000000000002</v>
      </c>
      <c r="G404" s="122">
        <f t="shared" si="49"/>
        <v>0.8</v>
      </c>
      <c r="H404" s="123">
        <f t="shared" si="50"/>
        <v>88</v>
      </c>
      <c r="I404" s="135">
        <v>10.48</v>
      </c>
      <c r="J404" s="123">
        <f t="shared" si="51"/>
        <v>1152.8</v>
      </c>
      <c r="K404" s="124">
        <f t="shared" si="52"/>
        <v>1240.8</v>
      </c>
      <c r="L404" s="123">
        <f t="shared" si="53"/>
        <v>11.28</v>
      </c>
      <c r="M404" s="125">
        <f t="shared" si="54"/>
        <v>1240.8</v>
      </c>
      <c r="N404" s="131">
        <v>0</v>
      </c>
      <c r="O404" s="118">
        <f t="shared" si="55"/>
        <v>0</v>
      </c>
      <c r="P404" s="455"/>
      <c r="Q404" s="455"/>
      <c r="R404" s="455"/>
      <c r="S404" s="455"/>
      <c r="T404" s="154"/>
      <c r="U404" s="155"/>
      <c r="V404" s="136"/>
      <c r="W404" s="63"/>
      <c r="X404" s="63"/>
      <c r="Y404" s="62"/>
      <c r="Z404" s="62"/>
      <c r="AA404" s="103"/>
      <c r="AB404" s="103"/>
    </row>
    <row r="405" spans="1:28" s="70" customFormat="1" ht="14.25" x14ac:dyDescent="0.2">
      <c r="A405" s="60"/>
      <c r="B405" s="146" t="s">
        <v>131</v>
      </c>
      <c r="C405" s="152">
        <v>51</v>
      </c>
      <c r="D405" s="153" t="s">
        <v>45</v>
      </c>
      <c r="E405" s="122">
        <v>0</v>
      </c>
      <c r="F405" s="122">
        <f t="shared" si="48"/>
        <v>0</v>
      </c>
      <c r="G405" s="122">
        <f t="shared" si="49"/>
        <v>0</v>
      </c>
      <c r="H405" s="123">
        <f t="shared" si="50"/>
        <v>0</v>
      </c>
      <c r="I405" s="135">
        <v>6</v>
      </c>
      <c r="J405" s="123">
        <f t="shared" si="51"/>
        <v>306</v>
      </c>
      <c r="K405" s="124">
        <f t="shared" si="52"/>
        <v>306</v>
      </c>
      <c r="L405" s="123">
        <f t="shared" si="53"/>
        <v>6</v>
      </c>
      <c r="M405" s="125">
        <f t="shared" si="54"/>
        <v>306</v>
      </c>
      <c r="N405" s="131">
        <v>0</v>
      </c>
      <c r="O405" s="118">
        <f t="shared" si="55"/>
        <v>0</v>
      </c>
      <c r="P405" s="455"/>
      <c r="Q405" s="455"/>
      <c r="R405" s="455"/>
      <c r="S405" s="455"/>
      <c r="T405" s="154"/>
      <c r="U405" s="155"/>
      <c r="V405" s="136"/>
      <c r="W405" s="63"/>
      <c r="X405" s="63"/>
      <c r="Y405" s="62"/>
      <c r="Z405" s="62"/>
      <c r="AA405" s="103"/>
      <c r="AB405" s="103"/>
    </row>
    <row r="406" spans="1:28" s="70" customFormat="1" ht="14.25" x14ac:dyDescent="0.2">
      <c r="A406" s="60"/>
      <c r="B406" s="146" t="s">
        <v>132</v>
      </c>
      <c r="C406" s="152">
        <v>38</v>
      </c>
      <c r="D406" s="153" t="s">
        <v>45</v>
      </c>
      <c r="E406" s="122">
        <v>0</v>
      </c>
      <c r="F406" s="122">
        <f t="shared" si="48"/>
        <v>0</v>
      </c>
      <c r="G406" s="122">
        <f t="shared" si="49"/>
        <v>0</v>
      </c>
      <c r="H406" s="123">
        <f t="shared" si="50"/>
        <v>0</v>
      </c>
      <c r="I406" s="135">
        <v>9</v>
      </c>
      <c r="J406" s="123">
        <f t="shared" si="51"/>
        <v>342</v>
      </c>
      <c r="K406" s="124">
        <f t="shared" si="52"/>
        <v>342</v>
      </c>
      <c r="L406" s="123">
        <f t="shared" si="53"/>
        <v>9</v>
      </c>
      <c r="M406" s="125">
        <f t="shared" si="54"/>
        <v>342</v>
      </c>
      <c r="N406" s="131">
        <v>0</v>
      </c>
      <c r="O406" s="118">
        <f t="shared" si="55"/>
        <v>0</v>
      </c>
      <c r="P406" s="455"/>
      <c r="Q406" s="455"/>
      <c r="R406" s="455"/>
      <c r="S406" s="455"/>
      <c r="T406" s="154"/>
      <c r="U406" s="155"/>
      <c r="V406" s="136"/>
      <c r="W406" s="63"/>
      <c r="X406" s="63"/>
      <c r="Y406" s="62"/>
      <c r="Z406" s="62"/>
      <c r="AA406" s="103"/>
      <c r="AB406" s="103"/>
    </row>
    <row r="407" spans="1:28" s="70" customFormat="1" ht="14.25" x14ac:dyDescent="0.2">
      <c r="A407" s="60"/>
      <c r="B407" s="146"/>
      <c r="C407" s="152"/>
      <c r="D407" s="153"/>
      <c r="E407" s="122"/>
      <c r="F407" s="122"/>
      <c r="G407" s="122"/>
      <c r="H407" s="123"/>
      <c r="I407" s="135"/>
      <c r="J407" s="123"/>
      <c r="K407" s="124"/>
      <c r="L407" s="123"/>
      <c r="M407" s="125"/>
      <c r="N407" s="131"/>
      <c r="O407" s="118"/>
      <c r="P407" s="455"/>
      <c r="Q407" s="455"/>
      <c r="R407" s="455"/>
      <c r="S407" s="455"/>
      <c r="T407" s="154"/>
      <c r="U407" s="155"/>
      <c r="V407" s="136"/>
      <c r="W407" s="63"/>
      <c r="X407" s="63"/>
      <c r="Y407" s="62"/>
      <c r="Z407" s="62"/>
      <c r="AA407" s="103"/>
      <c r="AB407" s="103"/>
    </row>
    <row r="408" spans="1:28" s="70" customFormat="1" ht="14.25" x14ac:dyDescent="0.2">
      <c r="A408" s="60"/>
      <c r="B408" s="146" t="s">
        <v>124</v>
      </c>
      <c r="C408" s="152">
        <v>2</v>
      </c>
      <c r="D408" s="153" t="s">
        <v>45</v>
      </c>
      <c r="E408" s="122">
        <v>0.2</v>
      </c>
      <c r="F408" s="122">
        <f>C408*E408</f>
        <v>0.4</v>
      </c>
      <c r="G408" s="122">
        <f>$H$11*E408</f>
        <v>8</v>
      </c>
      <c r="H408" s="123">
        <f>F408*$H$11</f>
        <v>16</v>
      </c>
      <c r="I408" s="135">
        <v>16</v>
      </c>
      <c r="J408" s="123">
        <f>C408*I408</f>
        <v>32</v>
      </c>
      <c r="K408" s="124">
        <f>SUM(H408,J408)</f>
        <v>48</v>
      </c>
      <c r="L408" s="123">
        <f>K408/C408</f>
        <v>24</v>
      </c>
      <c r="M408" s="125">
        <f>C408*L408</f>
        <v>48</v>
      </c>
      <c r="N408" s="131">
        <v>0</v>
      </c>
      <c r="O408" s="118">
        <f>M408*N408</f>
        <v>0</v>
      </c>
      <c r="P408" s="455"/>
      <c r="Q408" s="455"/>
      <c r="R408" s="455"/>
      <c r="S408" s="455"/>
      <c r="T408" s="154"/>
      <c r="U408" s="155"/>
      <c r="V408" s="136"/>
      <c r="W408" s="63"/>
      <c r="X408" s="63"/>
      <c r="Y408" s="62"/>
      <c r="Z408" s="62"/>
      <c r="AA408" s="103"/>
      <c r="AB408" s="103"/>
    </row>
    <row r="409" spans="1:28" s="70" customFormat="1" ht="14.25" x14ac:dyDescent="0.2">
      <c r="A409" s="60"/>
      <c r="B409" s="146" t="s">
        <v>105</v>
      </c>
      <c r="C409" s="152">
        <v>10</v>
      </c>
      <c r="D409" s="153" t="s">
        <v>46</v>
      </c>
      <c r="E409" s="122">
        <v>0.1</v>
      </c>
      <c r="F409" s="122">
        <f>C409*E409</f>
        <v>1</v>
      </c>
      <c r="G409" s="122">
        <f>$H$11*E409</f>
        <v>4</v>
      </c>
      <c r="H409" s="123">
        <f>F409*$H$11</f>
        <v>40</v>
      </c>
      <c r="I409" s="135">
        <v>2.5</v>
      </c>
      <c r="J409" s="123">
        <f>C409*I409</f>
        <v>25</v>
      </c>
      <c r="K409" s="124">
        <f>SUM(H409,J409)</f>
        <v>65</v>
      </c>
      <c r="L409" s="123">
        <f>K409/C409</f>
        <v>6.5</v>
      </c>
      <c r="M409" s="125">
        <f>C409*L409</f>
        <v>65</v>
      </c>
      <c r="N409" s="131">
        <v>0</v>
      </c>
      <c r="O409" s="118">
        <f>M409*N409</f>
        <v>0</v>
      </c>
      <c r="P409" s="455"/>
      <c r="Q409" s="455"/>
      <c r="R409" s="455"/>
      <c r="S409" s="455"/>
      <c r="T409" s="154"/>
      <c r="U409" s="155"/>
      <c r="V409" s="136"/>
      <c r="W409" s="63"/>
      <c r="X409" s="63"/>
      <c r="Y409" s="62"/>
      <c r="Z409" s="62"/>
      <c r="AA409" s="103"/>
      <c r="AB409" s="103"/>
    </row>
    <row r="410" spans="1:28" s="70" customFormat="1" ht="14.25" x14ac:dyDescent="0.2">
      <c r="A410" s="60"/>
      <c r="B410" s="146" t="s">
        <v>128</v>
      </c>
      <c r="C410" s="152">
        <v>10</v>
      </c>
      <c r="D410" s="153" t="s">
        <v>46</v>
      </c>
      <c r="E410" s="122">
        <v>0.1</v>
      </c>
      <c r="F410" s="122">
        <f>C410*E410</f>
        <v>1</v>
      </c>
      <c r="G410" s="122">
        <f>$H$11*E410</f>
        <v>4</v>
      </c>
      <c r="H410" s="123">
        <f>F410*$H$11</f>
        <v>40</v>
      </c>
      <c r="I410" s="135">
        <v>0</v>
      </c>
      <c r="J410" s="123">
        <f>C410*I410</f>
        <v>0</v>
      </c>
      <c r="K410" s="124">
        <f>SUM(H410,J410)</f>
        <v>40</v>
      </c>
      <c r="L410" s="123">
        <f>K410/C410</f>
        <v>4</v>
      </c>
      <c r="M410" s="125">
        <f>C410*L410</f>
        <v>40</v>
      </c>
      <c r="N410" s="131">
        <v>0</v>
      </c>
      <c r="O410" s="118">
        <f>M410*N410</f>
        <v>0</v>
      </c>
      <c r="P410" s="455"/>
      <c r="Q410" s="455"/>
      <c r="R410" s="455"/>
      <c r="S410" s="455"/>
      <c r="T410" s="154"/>
      <c r="U410" s="155"/>
      <c r="V410" s="136"/>
      <c r="W410" s="63"/>
      <c r="X410" s="63"/>
      <c r="Y410" s="62"/>
      <c r="Z410" s="62"/>
      <c r="AA410" s="103"/>
      <c r="AB410" s="103"/>
    </row>
    <row r="411" spans="1:28" s="70" customFormat="1" ht="14.25" x14ac:dyDescent="0.2">
      <c r="A411" s="60"/>
      <c r="B411" s="146"/>
      <c r="C411" s="152"/>
      <c r="D411" s="153"/>
      <c r="E411" s="122"/>
      <c r="F411" s="122"/>
      <c r="G411" s="122"/>
      <c r="H411" s="123"/>
      <c r="I411" s="135"/>
      <c r="J411" s="123"/>
      <c r="K411" s="124"/>
      <c r="L411" s="123"/>
      <c r="M411" s="125"/>
      <c r="N411" s="131"/>
      <c r="O411" s="118"/>
      <c r="P411" s="455"/>
      <c r="Q411" s="455"/>
      <c r="R411" s="455"/>
      <c r="S411" s="455"/>
      <c r="T411" s="154"/>
      <c r="U411" s="155"/>
      <c r="V411" s="136"/>
      <c r="W411" s="63"/>
      <c r="X411" s="63"/>
      <c r="Y411" s="62"/>
      <c r="Z411" s="62"/>
      <c r="AA411" s="103"/>
      <c r="AB411" s="103"/>
    </row>
    <row r="412" spans="1:28" s="70" customFormat="1" ht="14.25" x14ac:dyDescent="0.2">
      <c r="A412" s="60"/>
      <c r="B412" s="146" t="s">
        <v>125</v>
      </c>
      <c r="C412" s="152">
        <v>4</v>
      </c>
      <c r="D412" s="153" t="s">
        <v>45</v>
      </c>
      <c r="E412" s="122">
        <v>0.2</v>
      </c>
      <c r="F412" s="122">
        <f>C412*E412</f>
        <v>0.8</v>
      </c>
      <c r="G412" s="122">
        <f>$H$11*E412</f>
        <v>8</v>
      </c>
      <c r="H412" s="123">
        <f>F412*$H$11</f>
        <v>32</v>
      </c>
      <c r="I412" s="135">
        <v>16</v>
      </c>
      <c r="J412" s="123">
        <f>C412*I412</f>
        <v>64</v>
      </c>
      <c r="K412" s="124">
        <f>SUM(H412,J412)</f>
        <v>96</v>
      </c>
      <c r="L412" s="123">
        <f>K412/C412</f>
        <v>24</v>
      </c>
      <c r="M412" s="125">
        <f>C412*L412</f>
        <v>96</v>
      </c>
      <c r="N412" s="131">
        <v>0</v>
      </c>
      <c r="O412" s="118">
        <f>M412*N412</f>
        <v>0</v>
      </c>
      <c r="P412" s="455"/>
      <c r="Q412" s="455"/>
      <c r="R412" s="455"/>
      <c r="S412" s="455"/>
      <c r="T412" s="154"/>
      <c r="U412" s="155"/>
      <c r="V412" s="136"/>
      <c r="W412" s="63"/>
      <c r="X412" s="63"/>
      <c r="Y412" s="62"/>
      <c r="Z412" s="62"/>
      <c r="AA412" s="103"/>
      <c r="AB412" s="103"/>
    </row>
    <row r="413" spans="1:28" s="70" customFormat="1" ht="14.25" x14ac:dyDescent="0.2">
      <c r="A413" s="60"/>
      <c r="B413" s="146" t="s">
        <v>105</v>
      </c>
      <c r="C413" s="152">
        <v>13</v>
      </c>
      <c r="D413" s="153" t="s">
        <v>46</v>
      </c>
      <c r="E413" s="122">
        <v>0.1</v>
      </c>
      <c r="F413" s="122">
        <f>C413*E413</f>
        <v>1.3</v>
      </c>
      <c r="G413" s="122">
        <f>$H$11*E413</f>
        <v>4</v>
      </c>
      <c r="H413" s="123">
        <f>F413*$H$11</f>
        <v>52</v>
      </c>
      <c r="I413" s="135">
        <v>2.5</v>
      </c>
      <c r="J413" s="123">
        <f>C413*I413</f>
        <v>32.5</v>
      </c>
      <c r="K413" s="124">
        <f>SUM(H413,J413)</f>
        <v>84.5</v>
      </c>
      <c r="L413" s="123">
        <f>K413/C413</f>
        <v>6.5</v>
      </c>
      <c r="M413" s="125">
        <f>C413*L413</f>
        <v>84.5</v>
      </c>
      <c r="N413" s="131">
        <v>0</v>
      </c>
      <c r="O413" s="118">
        <f>M413*N413</f>
        <v>0</v>
      </c>
      <c r="P413" s="455"/>
      <c r="Q413" s="455"/>
      <c r="R413" s="455"/>
      <c r="S413" s="455"/>
      <c r="T413" s="154"/>
      <c r="U413" s="155"/>
      <c r="V413" s="136"/>
      <c r="W413" s="63"/>
      <c r="X413" s="63"/>
      <c r="Y413" s="62"/>
      <c r="Z413" s="62"/>
      <c r="AA413" s="103"/>
      <c r="AB413" s="103"/>
    </row>
    <row r="414" spans="1:28" s="70" customFormat="1" ht="14.25" x14ac:dyDescent="0.2">
      <c r="A414" s="60"/>
      <c r="B414" s="146" t="s">
        <v>127</v>
      </c>
      <c r="C414" s="152">
        <v>13</v>
      </c>
      <c r="D414" s="153" t="s">
        <v>46</v>
      </c>
      <c r="E414" s="122">
        <v>0.1</v>
      </c>
      <c r="F414" s="122">
        <f>C414*E414</f>
        <v>1.3</v>
      </c>
      <c r="G414" s="122">
        <f>$H$11*E414</f>
        <v>4</v>
      </c>
      <c r="H414" s="123">
        <f>F414*$H$11</f>
        <v>52</v>
      </c>
      <c r="I414" s="135">
        <v>0</v>
      </c>
      <c r="J414" s="123">
        <f>C414*I414</f>
        <v>0</v>
      </c>
      <c r="K414" s="124">
        <f>SUM(H414,J414)</f>
        <v>52</v>
      </c>
      <c r="L414" s="123">
        <f>K414/C414</f>
        <v>4</v>
      </c>
      <c r="M414" s="125">
        <f>C414*L414</f>
        <v>52</v>
      </c>
      <c r="N414" s="131">
        <v>0</v>
      </c>
      <c r="O414" s="118">
        <f>M414*N414</f>
        <v>0</v>
      </c>
      <c r="P414" s="455"/>
      <c r="Q414" s="455"/>
      <c r="R414" s="455"/>
      <c r="S414" s="455"/>
      <c r="T414" s="154"/>
      <c r="U414" s="155"/>
      <c r="V414" s="136"/>
      <c r="W414" s="63"/>
      <c r="X414" s="63"/>
      <c r="Y414" s="62"/>
      <c r="Z414" s="62"/>
      <c r="AA414" s="103"/>
      <c r="AB414" s="103"/>
    </row>
    <row r="415" spans="1:28" s="70" customFormat="1" ht="14.25" x14ac:dyDescent="0.2">
      <c r="A415" s="60"/>
      <c r="B415" s="146"/>
      <c r="C415" s="152"/>
      <c r="D415" s="153"/>
      <c r="E415" s="122"/>
      <c r="F415" s="122"/>
      <c r="G415" s="122"/>
      <c r="H415" s="123"/>
      <c r="I415" s="135"/>
      <c r="J415" s="123"/>
      <c r="K415" s="124"/>
      <c r="L415" s="123"/>
      <c r="M415" s="125"/>
      <c r="N415" s="131"/>
      <c r="O415" s="118"/>
      <c r="P415" s="455"/>
      <c r="Q415" s="455"/>
      <c r="R415" s="455"/>
      <c r="S415" s="455"/>
      <c r="T415" s="154"/>
      <c r="U415" s="155"/>
      <c r="V415" s="136"/>
      <c r="W415" s="63"/>
      <c r="X415" s="63"/>
      <c r="Y415" s="62"/>
      <c r="Z415" s="62"/>
      <c r="AA415" s="103"/>
      <c r="AB415" s="103"/>
    </row>
    <row r="416" spans="1:28" s="70" customFormat="1" ht="14.25" x14ac:dyDescent="0.2">
      <c r="A416" s="60"/>
      <c r="B416" s="146" t="s">
        <v>126</v>
      </c>
      <c r="C416" s="152">
        <v>6</v>
      </c>
      <c r="D416" s="153" t="s">
        <v>45</v>
      </c>
      <c r="E416" s="390">
        <v>0.4</v>
      </c>
      <c r="F416" s="122">
        <f>C416*E416</f>
        <v>2.4000000000000004</v>
      </c>
      <c r="G416" s="122">
        <f>$H$11*E416</f>
        <v>16</v>
      </c>
      <c r="H416" s="123">
        <f>F416*$H$11</f>
        <v>96.000000000000014</v>
      </c>
      <c r="I416" s="135">
        <v>32</v>
      </c>
      <c r="J416" s="123">
        <f>C416*I416</f>
        <v>192</v>
      </c>
      <c r="K416" s="124">
        <f>SUM(H416,J416)</f>
        <v>288</v>
      </c>
      <c r="L416" s="123">
        <f>K416/C416</f>
        <v>48</v>
      </c>
      <c r="M416" s="125">
        <f>C416*L416</f>
        <v>288</v>
      </c>
      <c r="N416" s="131">
        <v>0</v>
      </c>
      <c r="O416" s="118">
        <f>M416*N416</f>
        <v>0</v>
      </c>
      <c r="P416" s="455"/>
      <c r="Q416" s="455"/>
      <c r="R416" s="455"/>
      <c r="S416" s="455"/>
      <c r="T416" s="154"/>
      <c r="U416" s="155"/>
      <c r="V416" s="136"/>
      <c r="W416" s="63"/>
      <c r="X416" s="63"/>
      <c r="Y416" s="62"/>
      <c r="Z416" s="62"/>
      <c r="AA416" s="103"/>
      <c r="AB416" s="103"/>
    </row>
    <row r="417" spans="1:28" s="70" customFormat="1" ht="14.25" x14ac:dyDescent="0.2">
      <c r="A417" s="60"/>
      <c r="B417" s="146" t="s">
        <v>105</v>
      </c>
      <c r="C417" s="152">
        <v>2</v>
      </c>
      <c r="D417" s="153" t="s">
        <v>46</v>
      </c>
      <c r="E417" s="122">
        <v>0.1</v>
      </c>
      <c r="F417" s="122">
        <f>C417*E417</f>
        <v>0.2</v>
      </c>
      <c r="G417" s="122">
        <f>$H$11*E417</f>
        <v>4</v>
      </c>
      <c r="H417" s="123">
        <f>F417*$H$11</f>
        <v>8</v>
      </c>
      <c r="I417" s="135">
        <v>2.5</v>
      </c>
      <c r="J417" s="123">
        <f>C417*I417</f>
        <v>5</v>
      </c>
      <c r="K417" s="124">
        <f>SUM(H417,J417)</f>
        <v>13</v>
      </c>
      <c r="L417" s="123">
        <f>K417/C417</f>
        <v>6.5</v>
      </c>
      <c r="M417" s="125">
        <f>C417*L417</f>
        <v>13</v>
      </c>
      <c r="N417" s="131">
        <v>0</v>
      </c>
      <c r="O417" s="118">
        <f>M417*N417</f>
        <v>0</v>
      </c>
      <c r="P417" s="455"/>
      <c r="Q417" s="455"/>
      <c r="R417" s="455"/>
      <c r="S417" s="455"/>
      <c r="T417" s="154"/>
      <c r="U417" s="155"/>
      <c r="V417" s="136"/>
      <c r="W417" s="63"/>
      <c r="X417" s="63"/>
      <c r="Y417" s="62"/>
      <c r="Z417" s="62"/>
      <c r="AA417" s="103"/>
      <c r="AB417" s="103"/>
    </row>
    <row r="418" spans="1:28" s="70" customFormat="1" ht="14.25" x14ac:dyDescent="0.2">
      <c r="A418" s="60"/>
      <c r="B418" s="146" t="s">
        <v>127</v>
      </c>
      <c r="C418" s="152">
        <v>17</v>
      </c>
      <c r="D418" s="153" t="s">
        <v>46</v>
      </c>
      <c r="E418" s="122">
        <v>0.2</v>
      </c>
      <c r="F418" s="122">
        <f>C418*E418</f>
        <v>3.4000000000000004</v>
      </c>
      <c r="G418" s="122">
        <f>$H$11*E418</f>
        <v>8</v>
      </c>
      <c r="H418" s="123">
        <f>F418*$H$11</f>
        <v>136</v>
      </c>
      <c r="I418" s="135">
        <v>0</v>
      </c>
      <c r="J418" s="123">
        <f>C418*I418</f>
        <v>0</v>
      </c>
      <c r="K418" s="124">
        <f>SUM(H418,J418)</f>
        <v>136</v>
      </c>
      <c r="L418" s="123">
        <f>K418/C418</f>
        <v>8</v>
      </c>
      <c r="M418" s="125">
        <f>C418*L418</f>
        <v>136</v>
      </c>
      <c r="N418" s="131">
        <v>0</v>
      </c>
      <c r="O418" s="118">
        <f>M418*N418</f>
        <v>0</v>
      </c>
      <c r="P418" s="455"/>
      <c r="Q418" s="455"/>
      <c r="R418" s="455"/>
      <c r="S418" s="455"/>
      <c r="T418" s="154"/>
      <c r="U418" s="155"/>
      <c r="V418" s="136"/>
      <c r="W418" s="63"/>
      <c r="X418" s="63"/>
      <c r="Y418" s="62"/>
      <c r="Z418" s="62"/>
      <c r="AA418" s="103"/>
      <c r="AB418" s="103"/>
    </row>
    <row r="419" spans="1:28" s="70" customFormat="1" ht="14.25" x14ac:dyDescent="0.2">
      <c r="A419" s="60"/>
      <c r="B419" s="146"/>
      <c r="C419" s="152"/>
      <c r="D419" s="153"/>
      <c r="E419" s="122"/>
      <c r="F419" s="122"/>
      <c r="G419" s="122"/>
      <c r="H419" s="123"/>
      <c r="I419" s="135"/>
      <c r="J419" s="123"/>
      <c r="K419" s="124"/>
      <c r="L419" s="123"/>
      <c r="M419" s="125"/>
      <c r="N419" s="131"/>
      <c r="O419" s="118"/>
      <c r="P419" s="455"/>
      <c r="Q419" s="455"/>
      <c r="R419" s="455"/>
      <c r="S419" s="455"/>
      <c r="T419" s="154"/>
      <c r="U419" s="155"/>
      <c r="V419" s="136"/>
      <c r="W419" s="63"/>
      <c r="X419" s="63"/>
      <c r="Y419" s="62"/>
      <c r="Z419" s="62"/>
      <c r="AA419" s="103"/>
      <c r="AB419" s="103"/>
    </row>
    <row r="420" spans="1:28" s="70" customFormat="1" ht="14.25" x14ac:dyDescent="0.2">
      <c r="A420" s="60"/>
      <c r="B420" s="146" t="s">
        <v>123</v>
      </c>
      <c r="C420" s="152">
        <v>7</v>
      </c>
      <c r="D420" s="153" t="s">
        <v>45</v>
      </c>
      <c r="E420" s="390">
        <v>0.2</v>
      </c>
      <c r="F420" s="122">
        <f>C420*E420</f>
        <v>1.4000000000000001</v>
      </c>
      <c r="G420" s="122">
        <f>$H$11*E420</f>
        <v>8</v>
      </c>
      <c r="H420" s="123">
        <f>F420*$H$11</f>
        <v>56.000000000000007</v>
      </c>
      <c r="I420" s="135">
        <v>17.87</v>
      </c>
      <c r="J420" s="123">
        <f>C420*I420</f>
        <v>125.09</v>
      </c>
      <c r="K420" s="124">
        <f>SUM(H420,J420)</f>
        <v>181.09</v>
      </c>
      <c r="L420" s="123">
        <f>K420/C420</f>
        <v>25.87</v>
      </c>
      <c r="M420" s="125">
        <f>C420*L420</f>
        <v>181.09</v>
      </c>
      <c r="N420" s="131">
        <v>0</v>
      </c>
      <c r="O420" s="118">
        <f>M420*N420</f>
        <v>0</v>
      </c>
      <c r="P420" s="455"/>
      <c r="Q420" s="455"/>
      <c r="R420" s="455"/>
      <c r="S420" s="455"/>
      <c r="T420" s="154"/>
      <c r="U420" s="155"/>
      <c r="V420" s="136"/>
      <c r="W420" s="63"/>
      <c r="X420" s="63"/>
      <c r="Y420" s="62"/>
      <c r="Z420" s="62"/>
      <c r="AA420" s="103"/>
      <c r="AB420" s="103"/>
    </row>
    <row r="421" spans="1:28" s="70" customFormat="1" ht="14.25" x14ac:dyDescent="0.2">
      <c r="A421" s="60"/>
      <c r="B421" s="146" t="s">
        <v>127</v>
      </c>
      <c r="C421" s="152">
        <v>17</v>
      </c>
      <c r="D421" s="153" t="s">
        <v>46</v>
      </c>
      <c r="E421" s="122">
        <v>0.1</v>
      </c>
      <c r="F421" s="122">
        <f>C421*E421</f>
        <v>1.7000000000000002</v>
      </c>
      <c r="G421" s="122">
        <f>$H$11*E421</f>
        <v>4</v>
      </c>
      <c r="H421" s="123">
        <f>F421*$H$11</f>
        <v>68</v>
      </c>
      <c r="I421" s="135">
        <v>0</v>
      </c>
      <c r="J421" s="123">
        <f>C421*I421</f>
        <v>0</v>
      </c>
      <c r="K421" s="124">
        <f>SUM(H421,J421)</f>
        <v>68</v>
      </c>
      <c r="L421" s="123">
        <f>K421/C421</f>
        <v>4</v>
      </c>
      <c r="M421" s="125">
        <f>C421*L421</f>
        <v>68</v>
      </c>
      <c r="N421" s="131">
        <v>0</v>
      </c>
      <c r="O421" s="118">
        <f>M421*N421</f>
        <v>0</v>
      </c>
      <c r="P421" s="455"/>
      <c r="Q421" s="455"/>
      <c r="R421" s="455"/>
      <c r="S421" s="455"/>
      <c r="T421" s="154"/>
      <c r="U421" s="155"/>
      <c r="V421" s="136"/>
      <c r="W421" s="63"/>
      <c r="X421" s="63"/>
      <c r="Y421" s="62"/>
      <c r="Z421" s="62"/>
      <c r="AA421" s="103"/>
      <c r="AB421" s="103"/>
    </row>
    <row r="422" spans="1:28" s="70" customFormat="1" ht="14.25" x14ac:dyDescent="0.2">
      <c r="A422" s="60"/>
      <c r="B422" s="146"/>
      <c r="C422" s="152"/>
      <c r="D422" s="153"/>
      <c r="E422" s="122"/>
      <c r="F422" s="122"/>
      <c r="G422" s="122"/>
      <c r="H422" s="123"/>
      <c r="I422" s="135"/>
      <c r="J422" s="123"/>
      <c r="K422" s="124"/>
      <c r="L422" s="123"/>
      <c r="M422" s="125"/>
      <c r="N422" s="131"/>
      <c r="O422" s="118"/>
      <c r="P422" s="455"/>
      <c r="Q422" s="455"/>
      <c r="R422" s="455"/>
      <c r="S422" s="455"/>
      <c r="T422" s="154"/>
      <c r="U422" s="155"/>
      <c r="V422" s="136"/>
      <c r="W422" s="63"/>
      <c r="X422" s="63"/>
      <c r="Y422" s="62"/>
      <c r="Z422" s="62"/>
      <c r="AA422" s="103"/>
      <c r="AB422" s="103"/>
    </row>
    <row r="423" spans="1:28" s="70" customFormat="1" ht="14.25" x14ac:dyDescent="0.2">
      <c r="A423" s="60"/>
      <c r="B423" s="146" t="s">
        <v>361</v>
      </c>
      <c r="C423" s="152">
        <v>44</v>
      </c>
      <c r="D423" s="153" t="s">
        <v>60</v>
      </c>
      <c r="E423" s="122">
        <v>0.12</v>
      </c>
      <c r="F423" s="122">
        <f>C423*E423</f>
        <v>5.2799999999999994</v>
      </c>
      <c r="G423" s="122">
        <f>$H$11*E423</f>
        <v>4.8</v>
      </c>
      <c r="H423" s="123">
        <f>F423*$H$11</f>
        <v>211.2</v>
      </c>
      <c r="I423" s="135">
        <v>10</v>
      </c>
      <c r="J423" s="123">
        <f>C423*I423</f>
        <v>440</v>
      </c>
      <c r="K423" s="124">
        <f>SUM(H423,J423)</f>
        <v>651.20000000000005</v>
      </c>
      <c r="L423" s="123">
        <f>K423/C423</f>
        <v>14.8</v>
      </c>
      <c r="M423" s="125">
        <f>C423*L423</f>
        <v>651.20000000000005</v>
      </c>
      <c r="N423" s="131">
        <v>0</v>
      </c>
      <c r="O423" s="118">
        <f>M423*N423</f>
        <v>0</v>
      </c>
      <c r="P423" s="455"/>
      <c r="Q423" s="455"/>
      <c r="R423" s="455"/>
      <c r="S423" s="455"/>
      <c r="T423" s="154"/>
      <c r="U423" s="155"/>
      <c r="V423" s="136"/>
      <c r="W423" s="63"/>
      <c r="X423" s="63"/>
      <c r="Y423" s="62"/>
      <c r="Z423" s="62"/>
      <c r="AA423" s="103"/>
      <c r="AB423" s="103"/>
    </row>
    <row r="424" spans="1:28" s="70" customFormat="1" ht="14.25" x14ac:dyDescent="0.2">
      <c r="A424" s="60"/>
      <c r="B424" s="146"/>
      <c r="C424" s="152"/>
      <c r="D424" s="153"/>
      <c r="E424" s="122"/>
      <c r="F424" s="122"/>
      <c r="G424" s="122"/>
      <c r="H424" s="123"/>
      <c r="I424" s="135"/>
      <c r="J424" s="123"/>
      <c r="K424" s="124"/>
      <c r="L424" s="123"/>
      <c r="M424" s="125"/>
      <c r="N424" s="131"/>
      <c r="O424" s="118"/>
      <c r="P424" s="455"/>
      <c r="Q424" s="455"/>
      <c r="R424" s="455"/>
      <c r="S424" s="455"/>
      <c r="T424" s="154"/>
      <c r="U424" s="155"/>
      <c r="V424" s="136"/>
      <c r="W424" s="63"/>
      <c r="X424" s="63"/>
      <c r="Y424" s="62"/>
      <c r="Z424" s="62"/>
      <c r="AA424" s="103"/>
      <c r="AB424" s="103"/>
    </row>
    <row r="425" spans="1:28" s="70" customFormat="1" ht="14.25" x14ac:dyDescent="0.2">
      <c r="A425" s="60"/>
      <c r="B425" s="165" t="s">
        <v>65</v>
      </c>
      <c r="C425" s="152"/>
      <c r="D425" s="153"/>
      <c r="E425" s="122"/>
      <c r="F425" s="122"/>
      <c r="G425" s="122"/>
      <c r="H425" s="123"/>
      <c r="I425" s="135"/>
      <c r="J425" s="123"/>
      <c r="K425" s="124"/>
      <c r="L425" s="123"/>
      <c r="M425" s="125"/>
      <c r="N425" s="131"/>
      <c r="O425" s="118"/>
      <c r="P425" s="455"/>
      <c r="Q425" s="455"/>
      <c r="R425" s="455"/>
      <c r="S425" s="455"/>
      <c r="T425" s="154"/>
      <c r="U425" s="155"/>
      <c r="V425" s="136"/>
      <c r="W425" s="63"/>
      <c r="X425" s="63"/>
      <c r="Y425" s="62"/>
      <c r="Z425" s="62"/>
      <c r="AA425" s="103"/>
      <c r="AB425" s="103"/>
    </row>
    <row r="426" spans="1:28" s="70" customFormat="1" ht="14.25" x14ac:dyDescent="0.2">
      <c r="A426" s="60"/>
      <c r="B426" s="151" t="s">
        <v>138</v>
      </c>
      <c r="C426" s="152">
        <v>56</v>
      </c>
      <c r="D426" s="153" t="s">
        <v>45</v>
      </c>
      <c r="E426" s="392">
        <v>0.4</v>
      </c>
      <c r="F426" s="122">
        <f>C426*E426</f>
        <v>22.400000000000002</v>
      </c>
      <c r="G426" s="122">
        <f>$H$11*E426</f>
        <v>16</v>
      </c>
      <c r="H426" s="123">
        <f>F426*$H$11</f>
        <v>896.00000000000011</v>
      </c>
      <c r="I426" s="135">
        <v>32</v>
      </c>
      <c r="J426" s="123">
        <f>C426*I426</f>
        <v>1792</v>
      </c>
      <c r="K426" s="124">
        <f>SUM(H426,J426)</f>
        <v>2688</v>
      </c>
      <c r="L426" s="123">
        <f>K426/C426</f>
        <v>48</v>
      </c>
      <c r="M426" s="125">
        <f>C426*L426</f>
        <v>2688</v>
      </c>
      <c r="N426" s="131">
        <v>0</v>
      </c>
      <c r="O426" s="118">
        <f>M426*N426</f>
        <v>0</v>
      </c>
      <c r="P426" s="455"/>
      <c r="Q426" s="455"/>
      <c r="R426" s="455"/>
      <c r="S426" s="455"/>
      <c r="T426" s="154"/>
      <c r="U426" s="155"/>
      <c r="V426" s="136"/>
      <c r="W426" s="63"/>
      <c r="X426" s="63"/>
      <c r="Y426" s="62"/>
      <c r="Z426" s="62"/>
      <c r="AA426" s="103"/>
      <c r="AB426" s="103"/>
    </row>
    <row r="427" spans="1:28" s="70" customFormat="1" ht="14.25" x14ac:dyDescent="0.2">
      <c r="A427" s="60"/>
      <c r="B427" s="151" t="s">
        <v>139</v>
      </c>
      <c r="C427" s="152">
        <v>38</v>
      </c>
      <c r="D427" s="153" t="s">
        <v>46</v>
      </c>
      <c r="E427" s="122">
        <v>0.2</v>
      </c>
      <c r="F427" s="122">
        <f>C427*E427</f>
        <v>7.6000000000000005</v>
      </c>
      <c r="G427" s="122">
        <f>$H$11*E427</f>
        <v>8</v>
      </c>
      <c r="H427" s="123">
        <f>F427*$H$11</f>
        <v>304</v>
      </c>
      <c r="I427" s="135">
        <v>0</v>
      </c>
      <c r="J427" s="123">
        <f>C427*I427</f>
        <v>0</v>
      </c>
      <c r="K427" s="124">
        <f>SUM(H427,J427)</f>
        <v>304</v>
      </c>
      <c r="L427" s="123">
        <f>K427/C427</f>
        <v>8</v>
      </c>
      <c r="M427" s="125">
        <f>C427*L427</f>
        <v>304</v>
      </c>
      <c r="N427" s="131">
        <v>0</v>
      </c>
      <c r="O427" s="118">
        <f>M427*N427</f>
        <v>0</v>
      </c>
      <c r="P427" s="455"/>
      <c r="Q427" s="455"/>
      <c r="R427" s="455"/>
      <c r="S427" s="455"/>
      <c r="T427" s="154"/>
      <c r="U427" s="155"/>
      <c r="V427" s="136"/>
      <c r="W427" s="63"/>
      <c r="X427" s="63"/>
      <c r="Y427" s="62"/>
      <c r="Z427" s="62"/>
      <c r="AA427" s="103"/>
      <c r="AB427" s="103"/>
    </row>
    <row r="428" spans="1:28" s="70" customFormat="1" ht="14.25" x14ac:dyDescent="0.2">
      <c r="A428" s="60"/>
      <c r="B428" s="151" t="s">
        <v>105</v>
      </c>
      <c r="C428" s="152">
        <v>76</v>
      </c>
      <c r="D428" s="153" t="s">
        <v>46</v>
      </c>
      <c r="E428" s="122">
        <v>0.1</v>
      </c>
      <c r="F428" s="122">
        <f>C428*E428</f>
        <v>7.6000000000000005</v>
      </c>
      <c r="G428" s="122">
        <f>$H$11*E428</f>
        <v>4</v>
      </c>
      <c r="H428" s="123">
        <f>F428*$H$11</f>
        <v>304</v>
      </c>
      <c r="I428" s="135">
        <v>2.5</v>
      </c>
      <c r="J428" s="123">
        <f>C428*I428</f>
        <v>190</v>
      </c>
      <c r="K428" s="124">
        <f>SUM(H428,J428)</f>
        <v>494</v>
      </c>
      <c r="L428" s="123">
        <f>K428/C428</f>
        <v>6.5</v>
      </c>
      <c r="M428" s="125">
        <f>C428*L428</f>
        <v>494</v>
      </c>
      <c r="N428" s="131">
        <v>0</v>
      </c>
      <c r="O428" s="118">
        <f>M428*N428</f>
        <v>0</v>
      </c>
      <c r="P428" s="455"/>
      <c r="Q428" s="455"/>
      <c r="R428" s="455"/>
      <c r="S428" s="455"/>
      <c r="T428" s="154"/>
      <c r="U428" s="155"/>
      <c r="V428" s="136"/>
      <c r="W428" s="63"/>
      <c r="X428" s="63"/>
      <c r="Y428" s="62"/>
      <c r="Z428" s="62"/>
      <c r="AA428" s="103"/>
      <c r="AB428" s="103"/>
    </row>
    <row r="429" spans="1:28" s="70" customFormat="1" ht="14.25" x14ac:dyDescent="0.2">
      <c r="A429" s="60"/>
      <c r="B429" s="151"/>
      <c r="C429" s="152"/>
      <c r="D429" s="153"/>
      <c r="E429" s="122"/>
      <c r="F429" s="122"/>
      <c r="G429" s="122"/>
      <c r="H429" s="123"/>
      <c r="I429" s="135"/>
      <c r="J429" s="123"/>
      <c r="K429" s="124"/>
      <c r="L429" s="123"/>
      <c r="M429" s="125"/>
      <c r="N429" s="131"/>
      <c r="O429" s="118"/>
      <c r="P429" s="455"/>
      <c r="Q429" s="455"/>
      <c r="R429" s="455"/>
      <c r="S429" s="455"/>
      <c r="T429" s="154"/>
      <c r="U429" s="155"/>
      <c r="V429" s="136"/>
      <c r="W429" s="63"/>
      <c r="X429" s="63"/>
      <c r="Y429" s="62"/>
      <c r="Z429" s="62"/>
      <c r="AA429" s="103"/>
      <c r="AB429" s="103"/>
    </row>
    <row r="430" spans="1:28" s="70" customFormat="1" ht="14.25" x14ac:dyDescent="0.2">
      <c r="A430" s="60"/>
      <c r="B430" s="151" t="s">
        <v>141</v>
      </c>
      <c r="C430" s="152">
        <v>17</v>
      </c>
      <c r="D430" s="153" t="s">
        <v>45</v>
      </c>
      <c r="E430" s="392">
        <v>0.4</v>
      </c>
      <c r="F430" s="122">
        <f>C430*E430</f>
        <v>6.8000000000000007</v>
      </c>
      <c r="G430" s="122">
        <f>$H$11*E430</f>
        <v>16</v>
      </c>
      <c r="H430" s="123">
        <f>F430*$H$11</f>
        <v>272</v>
      </c>
      <c r="I430" s="135">
        <v>32</v>
      </c>
      <c r="J430" s="123">
        <f>C430*I430</f>
        <v>544</v>
      </c>
      <c r="K430" s="124">
        <f>SUM(H430,J430)</f>
        <v>816</v>
      </c>
      <c r="L430" s="123">
        <f>K430/C430</f>
        <v>48</v>
      </c>
      <c r="M430" s="125">
        <f>C430*L430</f>
        <v>816</v>
      </c>
      <c r="N430" s="131">
        <v>0</v>
      </c>
      <c r="O430" s="118">
        <f>M430*N430</f>
        <v>0</v>
      </c>
      <c r="P430" s="455"/>
      <c r="Q430" s="455"/>
      <c r="R430" s="455"/>
      <c r="S430" s="455"/>
      <c r="T430" s="154"/>
      <c r="U430" s="155"/>
      <c r="V430" s="136"/>
      <c r="W430" s="63"/>
      <c r="X430" s="63"/>
      <c r="Y430" s="62"/>
      <c r="Z430" s="62"/>
      <c r="AA430" s="103"/>
      <c r="AB430" s="103"/>
    </row>
    <row r="431" spans="1:28" s="70" customFormat="1" ht="14.25" x14ac:dyDescent="0.2">
      <c r="A431" s="60"/>
      <c r="B431" s="151" t="s">
        <v>139</v>
      </c>
      <c r="C431" s="152">
        <v>46</v>
      </c>
      <c r="D431" s="153" t="s">
        <v>46</v>
      </c>
      <c r="E431" s="122">
        <v>0.2</v>
      </c>
      <c r="F431" s="122">
        <f>C431*E431</f>
        <v>9.2000000000000011</v>
      </c>
      <c r="G431" s="122">
        <f>$H$11*E431</f>
        <v>8</v>
      </c>
      <c r="H431" s="123">
        <f>F431*$H$11</f>
        <v>368.00000000000006</v>
      </c>
      <c r="I431" s="135">
        <v>0</v>
      </c>
      <c r="J431" s="123">
        <f>C431*I431</f>
        <v>0</v>
      </c>
      <c r="K431" s="124">
        <f>SUM(H431,J431)</f>
        <v>368.00000000000006</v>
      </c>
      <c r="L431" s="123">
        <f>K431/C431</f>
        <v>8.0000000000000018</v>
      </c>
      <c r="M431" s="125">
        <f>C431*L431</f>
        <v>368.00000000000006</v>
      </c>
      <c r="N431" s="131">
        <v>0</v>
      </c>
      <c r="O431" s="118">
        <f>M431*N431</f>
        <v>0</v>
      </c>
      <c r="P431" s="455"/>
      <c r="Q431" s="455"/>
      <c r="R431" s="455"/>
      <c r="S431" s="455"/>
      <c r="T431" s="154"/>
      <c r="U431" s="155"/>
      <c r="V431" s="136"/>
      <c r="W431" s="63"/>
      <c r="X431" s="63"/>
      <c r="Y431" s="62"/>
      <c r="Z431" s="62"/>
      <c r="AA431" s="103"/>
      <c r="AB431" s="103"/>
    </row>
    <row r="432" spans="1:28" s="70" customFormat="1" ht="14.25" x14ac:dyDescent="0.2">
      <c r="A432" s="60"/>
      <c r="B432" s="151" t="s">
        <v>105</v>
      </c>
      <c r="C432" s="152">
        <v>46</v>
      </c>
      <c r="D432" s="153" t="s">
        <v>46</v>
      </c>
      <c r="E432" s="122">
        <v>0.1</v>
      </c>
      <c r="F432" s="122">
        <f>C432*E432</f>
        <v>4.6000000000000005</v>
      </c>
      <c r="G432" s="122">
        <f>$H$11*E432</f>
        <v>4</v>
      </c>
      <c r="H432" s="123">
        <f>F432*$H$11</f>
        <v>184.00000000000003</v>
      </c>
      <c r="I432" s="135">
        <v>2.5</v>
      </c>
      <c r="J432" s="123">
        <f>C432*I432</f>
        <v>115</v>
      </c>
      <c r="K432" s="124">
        <f>SUM(H432,J432)</f>
        <v>299</v>
      </c>
      <c r="L432" s="123">
        <f>K432/C432</f>
        <v>6.5</v>
      </c>
      <c r="M432" s="125">
        <f>C432*L432</f>
        <v>299</v>
      </c>
      <c r="N432" s="131">
        <v>0</v>
      </c>
      <c r="O432" s="118">
        <f>M432*N432</f>
        <v>0</v>
      </c>
      <c r="P432" s="455"/>
      <c r="Q432" s="455"/>
      <c r="R432" s="455"/>
      <c r="S432" s="455"/>
      <c r="T432" s="154"/>
      <c r="U432" s="155"/>
      <c r="V432" s="136"/>
      <c r="W432" s="63"/>
      <c r="X432" s="63"/>
      <c r="Y432" s="62"/>
      <c r="Z432" s="62"/>
      <c r="AA432" s="103"/>
      <c r="AB432" s="103"/>
    </row>
    <row r="433" spans="1:28" s="70" customFormat="1" ht="14.25" x14ac:dyDescent="0.2">
      <c r="A433" s="60"/>
      <c r="B433" s="151"/>
      <c r="C433" s="152"/>
      <c r="D433" s="153"/>
      <c r="E433" s="122"/>
      <c r="F433" s="122"/>
      <c r="G433" s="122"/>
      <c r="H433" s="123"/>
      <c r="I433" s="135"/>
      <c r="J433" s="123"/>
      <c r="K433" s="124"/>
      <c r="L433" s="123"/>
      <c r="M433" s="125"/>
      <c r="N433" s="131"/>
      <c r="O433" s="118"/>
      <c r="P433" s="455"/>
      <c r="Q433" s="455"/>
      <c r="R433" s="455"/>
      <c r="S433" s="455"/>
      <c r="T433" s="154"/>
      <c r="U433" s="155"/>
      <c r="V433" s="136"/>
      <c r="W433" s="63"/>
      <c r="X433" s="63"/>
      <c r="Y433" s="62"/>
      <c r="Z433" s="62"/>
      <c r="AA433" s="103"/>
      <c r="AB433" s="103"/>
    </row>
    <row r="434" spans="1:28" s="70" customFormat="1" ht="14.25" x14ac:dyDescent="0.2">
      <c r="A434" s="60"/>
      <c r="B434" s="151" t="s">
        <v>140</v>
      </c>
      <c r="C434" s="152">
        <v>5</v>
      </c>
      <c r="D434" s="153" t="s">
        <v>45</v>
      </c>
      <c r="E434" s="392">
        <v>0.4</v>
      </c>
      <c r="F434" s="122">
        <f>C434*E434</f>
        <v>2</v>
      </c>
      <c r="G434" s="122">
        <f>$H$11*E434</f>
        <v>16</v>
      </c>
      <c r="H434" s="123">
        <f>F434*$H$11</f>
        <v>80</v>
      </c>
      <c r="I434" s="135">
        <v>32</v>
      </c>
      <c r="J434" s="123">
        <f>C434*I434</f>
        <v>160</v>
      </c>
      <c r="K434" s="124">
        <f>SUM(H434,J434)</f>
        <v>240</v>
      </c>
      <c r="L434" s="123">
        <f>K434/C434</f>
        <v>48</v>
      </c>
      <c r="M434" s="125">
        <f>C434*L434</f>
        <v>240</v>
      </c>
      <c r="N434" s="131">
        <v>0</v>
      </c>
      <c r="O434" s="118">
        <f>M434*N434</f>
        <v>0</v>
      </c>
      <c r="P434" s="455"/>
      <c r="Q434" s="455"/>
      <c r="R434" s="455"/>
      <c r="S434" s="455"/>
      <c r="T434" s="154"/>
      <c r="U434" s="155"/>
      <c r="V434" s="136"/>
      <c r="W434" s="63"/>
      <c r="X434" s="63"/>
      <c r="Y434" s="62"/>
      <c r="Z434" s="62"/>
      <c r="AA434" s="103"/>
      <c r="AB434" s="103"/>
    </row>
    <row r="435" spans="1:28" s="70" customFormat="1" ht="14.25" x14ac:dyDescent="0.2">
      <c r="A435" s="60"/>
      <c r="B435" s="151" t="s">
        <v>139</v>
      </c>
      <c r="C435" s="152">
        <v>10</v>
      </c>
      <c r="D435" s="153" t="s">
        <v>46</v>
      </c>
      <c r="E435" s="122">
        <v>0.2</v>
      </c>
      <c r="F435" s="122">
        <f>C435*E435</f>
        <v>2</v>
      </c>
      <c r="G435" s="122">
        <f>$H$11*E435</f>
        <v>8</v>
      </c>
      <c r="H435" s="123">
        <f>F435*$H$11</f>
        <v>80</v>
      </c>
      <c r="I435" s="135">
        <v>0</v>
      </c>
      <c r="J435" s="123">
        <f>C435*I435</f>
        <v>0</v>
      </c>
      <c r="K435" s="124">
        <f>SUM(H435,J435)</f>
        <v>80</v>
      </c>
      <c r="L435" s="123">
        <f>K435/C435</f>
        <v>8</v>
      </c>
      <c r="M435" s="125">
        <f>C435*L435</f>
        <v>80</v>
      </c>
      <c r="N435" s="131">
        <v>0</v>
      </c>
      <c r="O435" s="118">
        <f>M435*N435</f>
        <v>0</v>
      </c>
      <c r="P435" s="455"/>
      <c r="Q435" s="455"/>
      <c r="R435" s="455"/>
      <c r="S435" s="455"/>
      <c r="T435" s="154"/>
      <c r="U435" s="155"/>
      <c r="V435" s="136"/>
      <c r="W435" s="63"/>
      <c r="X435" s="63"/>
      <c r="Y435" s="62"/>
      <c r="Z435" s="62"/>
      <c r="AA435" s="103"/>
      <c r="AB435" s="103"/>
    </row>
    <row r="436" spans="1:28" s="70" customFormat="1" ht="14.25" x14ac:dyDescent="0.2">
      <c r="A436" s="60"/>
      <c r="B436" s="151" t="s">
        <v>105</v>
      </c>
      <c r="C436" s="152">
        <v>10</v>
      </c>
      <c r="D436" s="153" t="s">
        <v>46</v>
      </c>
      <c r="E436" s="122">
        <v>0.1</v>
      </c>
      <c r="F436" s="122">
        <f>C436*E436</f>
        <v>1</v>
      </c>
      <c r="G436" s="122">
        <f>$H$11*E436</f>
        <v>4</v>
      </c>
      <c r="H436" s="123">
        <f>F436*$H$11</f>
        <v>40</v>
      </c>
      <c r="I436" s="135">
        <v>2.5</v>
      </c>
      <c r="J436" s="123">
        <f>C436*I436</f>
        <v>25</v>
      </c>
      <c r="K436" s="124">
        <f>SUM(H436,J436)</f>
        <v>65</v>
      </c>
      <c r="L436" s="123">
        <f>K436/C436</f>
        <v>6.5</v>
      </c>
      <c r="M436" s="125">
        <f>C436*L436</f>
        <v>65</v>
      </c>
      <c r="N436" s="131">
        <v>0</v>
      </c>
      <c r="O436" s="118">
        <f>M436*N436</f>
        <v>0</v>
      </c>
      <c r="P436" s="455"/>
      <c r="Q436" s="455"/>
      <c r="R436" s="455"/>
      <c r="S436" s="455"/>
      <c r="T436" s="154"/>
      <c r="U436" s="155"/>
      <c r="V436" s="136"/>
      <c r="W436" s="63"/>
      <c r="X436" s="63"/>
      <c r="Y436" s="62"/>
      <c r="Z436" s="62"/>
      <c r="AA436" s="103"/>
      <c r="AB436" s="103"/>
    </row>
    <row r="437" spans="1:28" s="70" customFormat="1" ht="14.25" x14ac:dyDescent="0.2">
      <c r="A437" s="60"/>
      <c r="B437" s="151"/>
      <c r="C437" s="152"/>
      <c r="D437" s="153"/>
      <c r="E437" s="122"/>
      <c r="F437" s="122"/>
      <c r="G437" s="122"/>
      <c r="H437" s="123"/>
      <c r="I437" s="135"/>
      <c r="J437" s="123"/>
      <c r="K437" s="124"/>
      <c r="L437" s="123"/>
      <c r="M437" s="125"/>
      <c r="N437" s="131"/>
      <c r="O437" s="118"/>
      <c r="P437" s="455"/>
      <c r="Q437" s="455"/>
      <c r="R437" s="455"/>
      <c r="S437" s="455"/>
      <c r="T437" s="154"/>
      <c r="U437" s="155"/>
      <c r="V437" s="136"/>
      <c r="W437" s="63"/>
      <c r="X437" s="63"/>
      <c r="Y437" s="62"/>
      <c r="Z437" s="62"/>
      <c r="AA437" s="103"/>
      <c r="AB437" s="103"/>
    </row>
    <row r="438" spans="1:28" s="70" customFormat="1" ht="14.25" x14ac:dyDescent="0.2">
      <c r="A438" s="60"/>
      <c r="B438" s="151" t="s">
        <v>142</v>
      </c>
      <c r="C438" s="152">
        <v>7</v>
      </c>
      <c r="D438" s="153" t="s">
        <v>45</v>
      </c>
      <c r="E438" s="392">
        <v>0.4</v>
      </c>
      <c r="F438" s="122">
        <f>C438*E438</f>
        <v>2.8000000000000003</v>
      </c>
      <c r="G438" s="122">
        <f>$H$11*E438</f>
        <v>16</v>
      </c>
      <c r="H438" s="123">
        <f>F438*$H$11</f>
        <v>112.00000000000001</v>
      </c>
      <c r="I438" s="135">
        <v>32</v>
      </c>
      <c r="J438" s="123">
        <f>C438*I438</f>
        <v>224</v>
      </c>
      <c r="K438" s="124">
        <f>SUM(H438,J438)</f>
        <v>336</v>
      </c>
      <c r="L438" s="123">
        <f>K438/C438</f>
        <v>48</v>
      </c>
      <c r="M438" s="125">
        <f>C438*L438</f>
        <v>336</v>
      </c>
      <c r="N438" s="131">
        <v>0</v>
      </c>
      <c r="O438" s="118">
        <f>M438*N438</f>
        <v>0</v>
      </c>
      <c r="P438" s="455"/>
      <c r="Q438" s="455"/>
      <c r="R438" s="455"/>
      <c r="S438" s="455"/>
      <c r="T438" s="265"/>
      <c r="U438" s="155"/>
      <c r="V438" s="136"/>
      <c r="W438" s="63"/>
      <c r="X438" s="63"/>
      <c r="Y438" s="62"/>
      <c r="Z438" s="62"/>
      <c r="AA438" s="103"/>
      <c r="AB438" s="103"/>
    </row>
    <row r="439" spans="1:28" s="70" customFormat="1" ht="14.25" x14ac:dyDescent="0.2">
      <c r="A439" s="60"/>
      <c r="B439" s="151" t="s">
        <v>139</v>
      </c>
      <c r="C439" s="152">
        <v>10</v>
      </c>
      <c r="D439" s="153" t="s">
        <v>46</v>
      </c>
      <c r="E439" s="122">
        <v>0.2</v>
      </c>
      <c r="F439" s="122">
        <f>C439*E439</f>
        <v>2</v>
      </c>
      <c r="G439" s="122">
        <f>$H$11*E439</f>
        <v>8</v>
      </c>
      <c r="H439" s="123">
        <f>F439*$H$11</f>
        <v>80</v>
      </c>
      <c r="I439" s="135">
        <v>0</v>
      </c>
      <c r="J439" s="123">
        <f>C439*I439</f>
        <v>0</v>
      </c>
      <c r="K439" s="124">
        <f>SUM(H439,J439)</f>
        <v>80</v>
      </c>
      <c r="L439" s="123">
        <f>K439/C439</f>
        <v>8</v>
      </c>
      <c r="M439" s="125">
        <f>C439*L439</f>
        <v>80</v>
      </c>
      <c r="N439" s="131">
        <v>0</v>
      </c>
      <c r="O439" s="118">
        <f>M439*N439</f>
        <v>0</v>
      </c>
      <c r="P439" s="455"/>
      <c r="Q439" s="455"/>
      <c r="R439" s="455"/>
      <c r="S439" s="455"/>
      <c r="T439" s="154"/>
      <c r="U439" s="155"/>
      <c r="V439" s="136"/>
      <c r="W439" s="63"/>
      <c r="X439" s="63"/>
      <c r="Y439" s="62"/>
      <c r="Z439" s="62"/>
      <c r="AA439" s="103"/>
      <c r="AB439" s="103"/>
    </row>
    <row r="440" spans="1:28" s="70" customFormat="1" ht="14.25" x14ac:dyDescent="0.2">
      <c r="A440" s="60"/>
      <c r="B440" s="151"/>
      <c r="C440" s="152"/>
      <c r="D440" s="153"/>
      <c r="E440" s="122"/>
      <c r="F440" s="122"/>
      <c r="G440" s="122"/>
      <c r="H440" s="123"/>
      <c r="I440" s="135"/>
      <c r="J440" s="123"/>
      <c r="K440" s="124"/>
      <c r="L440" s="123"/>
      <c r="M440" s="125"/>
      <c r="N440" s="131"/>
      <c r="O440" s="118"/>
      <c r="P440" s="455"/>
      <c r="Q440" s="455"/>
      <c r="R440" s="455"/>
      <c r="S440" s="455"/>
      <c r="T440" s="154"/>
      <c r="U440" s="155"/>
      <c r="V440" s="136"/>
      <c r="W440" s="63"/>
      <c r="X440" s="63"/>
      <c r="Y440" s="62"/>
      <c r="Z440" s="62"/>
      <c r="AA440" s="103"/>
      <c r="AB440" s="103"/>
    </row>
    <row r="441" spans="1:28" s="70" customFormat="1" ht="14.25" x14ac:dyDescent="0.2">
      <c r="A441" s="60"/>
      <c r="B441" s="151" t="s">
        <v>260</v>
      </c>
      <c r="C441" s="152">
        <v>1</v>
      </c>
      <c r="D441" s="153" t="s">
        <v>45</v>
      </c>
      <c r="E441" s="392">
        <v>0.4</v>
      </c>
      <c r="F441" s="122">
        <f>C441*E441</f>
        <v>0.4</v>
      </c>
      <c r="G441" s="122">
        <f>$H$11*E441</f>
        <v>16</v>
      </c>
      <c r="H441" s="123">
        <f>F441*$H$11</f>
        <v>16</v>
      </c>
      <c r="I441" s="135">
        <v>32</v>
      </c>
      <c r="J441" s="123">
        <f>C441*I441</f>
        <v>32</v>
      </c>
      <c r="K441" s="124">
        <f>SUM(H441,J441)</f>
        <v>48</v>
      </c>
      <c r="L441" s="123">
        <f>K441/C441</f>
        <v>48</v>
      </c>
      <c r="M441" s="125">
        <f>C441*L441</f>
        <v>48</v>
      </c>
      <c r="N441" s="131">
        <v>0</v>
      </c>
      <c r="O441" s="118">
        <f>M441*N441</f>
        <v>0</v>
      </c>
      <c r="P441" s="455"/>
      <c r="Q441" s="455"/>
      <c r="R441" s="455"/>
      <c r="S441" s="455"/>
      <c r="T441" s="265">
        <f>SUM(C387,C389,C391,C392,C393,C394,C397,C400,C401,C402,C408,C412,C416,C420,C426,C430,C434,C438,C441)</f>
        <v>1080</v>
      </c>
      <c r="U441" s="155"/>
      <c r="V441" s="136"/>
      <c r="W441" s="63"/>
      <c r="X441" s="63"/>
      <c r="Y441" s="62"/>
      <c r="Z441" s="62"/>
      <c r="AA441" s="103"/>
      <c r="AB441" s="103"/>
    </row>
    <row r="442" spans="1:28" s="70" customFormat="1" ht="14.25" x14ac:dyDescent="0.2">
      <c r="A442" s="60"/>
      <c r="B442" s="151" t="s">
        <v>139</v>
      </c>
      <c r="C442" s="152">
        <v>14</v>
      </c>
      <c r="D442" s="153" t="s">
        <v>46</v>
      </c>
      <c r="E442" s="122">
        <v>0.2</v>
      </c>
      <c r="F442" s="122">
        <f>C442*E442</f>
        <v>2.8000000000000003</v>
      </c>
      <c r="G442" s="122">
        <f>$H$11*E442</f>
        <v>8</v>
      </c>
      <c r="H442" s="123">
        <f>F442*$H$11</f>
        <v>112.00000000000001</v>
      </c>
      <c r="I442" s="135">
        <v>0</v>
      </c>
      <c r="J442" s="123">
        <f>C442*I442</f>
        <v>0</v>
      </c>
      <c r="K442" s="124">
        <f>SUM(H442,J442)</f>
        <v>112.00000000000001</v>
      </c>
      <c r="L442" s="123">
        <f>K442/C442</f>
        <v>8.0000000000000018</v>
      </c>
      <c r="M442" s="125">
        <f>C442*L442</f>
        <v>112.00000000000003</v>
      </c>
      <c r="N442" s="131">
        <v>0</v>
      </c>
      <c r="O442" s="118">
        <f>M442*N442</f>
        <v>0</v>
      </c>
      <c r="P442" s="455"/>
      <c r="Q442" s="455"/>
      <c r="R442" s="455"/>
      <c r="S442" s="455"/>
      <c r="T442" s="154"/>
      <c r="U442" s="155"/>
      <c r="V442" s="136"/>
      <c r="W442" s="63"/>
      <c r="X442" s="63"/>
      <c r="Y442" s="62"/>
      <c r="Z442" s="62"/>
      <c r="AA442" s="103"/>
      <c r="AB442" s="103"/>
    </row>
    <row r="443" spans="1:28" s="70" customFormat="1" ht="14.25" x14ac:dyDescent="0.2">
      <c r="A443" s="60"/>
      <c r="B443" s="151" t="s">
        <v>105</v>
      </c>
      <c r="C443" s="152">
        <v>14</v>
      </c>
      <c r="D443" s="153" t="s">
        <v>46</v>
      </c>
      <c r="E443" s="122">
        <v>0.1</v>
      </c>
      <c r="F443" s="122">
        <f>C443*E443</f>
        <v>1.4000000000000001</v>
      </c>
      <c r="G443" s="122">
        <f>$H$11*E443</f>
        <v>4</v>
      </c>
      <c r="H443" s="123">
        <f>F443*$H$11</f>
        <v>56.000000000000007</v>
      </c>
      <c r="I443" s="135">
        <v>2.5</v>
      </c>
      <c r="J443" s="123">
        <f>C443*I443</f>
        <v>35</v>
      </c>
      <c r="K443" s="124">
        <f>SUM(H443,J443)</f>
        <v>91</v>
      </c>
      <c r="L443" s="123">
        <f>K443/C443</f>
        <v>6.5</v>
      </c>
      <c r="M443" s="125">
        <f>C443*L443</f>
        <v>91</v>
      </c>
      <c r="N443" s="131">
        <v>0</v>
      </c>
      <c r="O443" s="118">
        <f>M443*N443</f>
        <v>0</v>
      </c>
      <c r="P443" s="455"/>
      <c r="Q443" s="455"/>
      <c r="R443" s="455"/>
      <c r="S443" s="455"/>
      <c r="T443" s="154"/>
      <c r="U443" s="155"/>
      <c r="V443" s="136"/>
      <c r="W443" s="63"/>
      <c r="X443" s="63"/>
      <c r="Y443" s="62"/>
      <c r="Z443" s="62"/>
      <c r="AA443" s="103"/>
      <c r="AB443" s="103"/>
    </row>
    <row r="444" spans="1:28" s="70" customFormat="1" ht="14.25" x14ac:dyDescent="0.2">
      <c r="A444" s="60"/>
      <c r="B444" s="151"/>
      <c r="C444" s="152"/>
      <c r="D444" s="153"/>
      <c r="E444" s="122"/>
      <c r="F444" s="122"/>
      <c r="G444" s="122"/>
      <c r="H444" s="123"/>
      <c r="I444" s="135"/>
      <c r="J444" s="123"/>
      <c r="K444" s="124"/>
      <c r="L444" s="123"/>
      <c r="M444" s="125">
        <f>-T385</f>
        <v>-1223</v>
      </c>
      <c r="N444" s="131"/>
      <c r="O444" s="118"/>
      <c r="P444" s="455"/>
      <c r="Q444" s="455"/>
      <c r="R444" s="455"/>
      <c r="S444" s="455"/>
      <c r="T444" s="154"/>
      <c r="U444" s="155"/>
      <c r="V444" s="136"/>
      <c r="W444" s="63"/>
      <c r="X444" s="63"/>
      <c r="Y444" s="62"/>
      <c r="Z444" s="62"/>
      <c r="AA444" s="103"/>
      <c r="AB444" s="103"/>
    </row>
    <row r="445" spans="1:28" s="70" customFormat="1" ht="14.25" x14ac:dyDescent="0.2">
      <c r="A445" s="60"/>
      <c r="B445" s="151"/>
      <c r="C445" s="152"/>
      <c r="D445" s="153"/>
      <c r="E445" s="122"/>
      <c r="F445" s="122"/>
      <c r="G445" s="122"/>
      <c r="H445" s="123"/>
      <c r="I445" s="135"/>
      <c r="J445" s="123"/>
      <c r="K445" s="124"/>
      <c r="L445" s="123"/>
      <c r="M445" s="125"/>
      <c r="N445" s="131"/>
      <c r="O445" s="118"/>
      <c r="P445" s="452">
        <f>SUM(M387:M444)</f>
        <v>36933.61</v>
      </c>
      <c r="Q445" s="450">
        <f>P445*SUM($L$585:$L$589)</f>
        <v>3508.6929500000001</v>
      </c>
      <c r="R445" s="266"/>
      <c r="S445" s="266"/>
      <c r="T445" s="154"/>
      <c r="U445" s="155"/>
      <c r="V445" s="136"/>
      <c r="W445" s="63"/>
      <c r="X445" s="63"/>
      <c r="Y445" s="62"/>
      <c r="Z445" s="62"/>
      <c r="AA445" s="103"/>
      <c r="AB445" s="103"/>
    </row>
    <row r="446" spans="1:28" s="70" customFormat="1" ht="14.25" x14ac:dyDescent="0.2">
      <c r="A446" s="60"/>
      <c r="B446" s="151"/>
      <c r="C446" s="152"/>
      <c r="D446" s="153"/>
      <c r="E446" s="122"/>
      <c r="F446" s="122"/>
      <c r="G446" s="122"/>
      <c r="H446" s="123"/>
      <c r="I446" s="135"/>
      <c r="J446" s="123"/>
      <c r="K446" s="124"/>
      <c r="L446" s="123"/>
      <c r="M446" s="125"/>
      <c r="N446" s="131"/>
      <c r="O446" s="118"/>
      <c r="P446" s="451">
        <f>P445/$M$582</f>
        <v>9.4860228780610664E-2</v>
      </c>
      <c r="Q446" s="452">
        <f>P446*$M$593</f>
        <v>800.91463476814658</v>
      </c>
      <c r="R446" s="452">
        <f>SUM(P445,Q445,Q446)</f>
        <v>41243.217584768143</v>
      </c>
      <c r="S446" s="452">
        <f>R446*1.08</f>
        <v>44542.674991549597</v>
      </c>
      <c r="T446" s="154"/>
      <c r="U446" s="155"/>
      <c r="V446" s="136"/>
      <c r="W446" s="63"/>
      <c r="X446" s="63"/>
      <c r="Y446" s="62"/>
      <c r="Z446" s="62"/>
      <c r="AA446" s="103"/>
      <c r="AB446" s="103"/>
    </row>
    <row r="447" spans="1:28" s="70" customFormat="1" ht="14.25" x14ac:dyDescent="0.2">
      <c r="A447" s="60"/>
      <c r="B447" s="151"/>
      <c r="C447" s="152"/>
      <c r="D447" s="153"/>
      <c r="E447" s="122"/>
      <c r="F447" s="122"/>
      <c r="G447" s="122"/>
      <c r="H447" s="123"/>
      <c r="I447" s="135"/>
      <c r="J447" s="123"/>
      <c r="K447" s="124"/>
      <c r="L447" s="123"/>
      <c r="M447" s="125"/>
      <c r="N447" s="131"/>
      <c r="O447" s="118"/>
      <c r="P447" s="455"/>
      <c r="Q447" s="455"/>
      <c r="R447" s="455"/>
      <c r="S447" s="455"/>
      <c r="T447" s="154"/>
      <c r="U447" s="155"/>
      <c r="V447" s="136"/>
      <c r="W447" s="63"/>
      <c r="X447" s="63"/>
      <c r="Y447" s="62"/>
      <c r="Z447" s="62"/>
      <c r="AA447" s="103"/>
      <c r="AB447" s="103"/>
    </row>
    <row r="448" spans="1:28" s="70" customFormat="1" ht="15" x14ac:dyDescent="0.2">
      <c r="A448" s="60"/>
      <c r="B448" s="169" t="s">
        <v>71</v>
      </c>
      <c r="C448" s="152"/>
      <c r="D448" s="153"/>
      <c r="E448" s="122"/>
      <c r="F448" s="122"/>
      <c r="G448" s="122"/>
      <c r="H448" s="123"/>
      <c r="I448" s="135"/>
      <c r="J448" s="123"/>
      <c r="K448" s="124"/>
      <c r="L448" s="123"/>
      <c r="M448" s="125"/>
      <c r="N448" s="131"/>
      <c r="O448" s="118"/>
      <c r="P448" s="455"/>
      <c r="Q448" s="455"/>
      <c r="R448" s="455"/>
      <c r="S448" s="455"/>
      <c r="T448" s="394">
        <f>SUM(C450,C452,C454,C455,C456,C457,C460,C463,C464,C464,C465,C471,C475,C479,C479,C483,C489,C489,C493,C493,C497,C497,C501,C501,C504,C504)</f>
        <v>1235</v>
      </c>
      <c r="U448" s="155"/>
      <c r="V448" s="136"/>
      <c r="W448" s="63"/>
      <c r="X448" s="63"/>
      <c r="Y448" s="62"/>
      <c r="Z448" s="62"/>
      <c r="AA448" s="103"/>
      <c r="AB448" s="103"/>
    </row>
    <row r="449" spans="1:28" s="70" customFormat="1" ht="14.25" x14ac:dyDescent="0.2">
      <c r="A449" s="60"/>
      <c r="B449" s="165" t="s">
        <v>72</v>
      </c>
      <c r="C449" s="152"/>
      <c r="D449" s="153"/>
      <c r="E449" s="122"/>
      <c r="F449" s="122"/>
      <c r="G449" s="122"/>
      <c r="H449" s="123"/>
      <c r="I449" s="135"/>
      <c r="J449" s="123"/>
      <c r="K449" s="124"/>
      <c r="L449" s="123"/>
      <c r="M449" s="125"/>
      <c r="N449" s="131"/>
      <c r="O449" s="118"/>
      <c r="P449" s="455"/>
      <c r="Q449" s="455"/>
      <c r="R449" s="455"/>
      <c r="S449" s="455"/>
      <c r="T449" s="154"/>
      <c r="U449" s="155"/>
      <c r="V449" s="136"/>
      <c r="W449" s="63"/>
      <c r="X449" s="63"/>
      <c r="Y449" s="62"/>
      <c r="Z449" s="62"/>
      <c r="AA449" s="103"/>
      <c r="AB449" s="103"/>
    </row>
    <row r="450" spans="1:28" s="70" customFormat="1" ht="14.25" x14ac:dyDescent="0.2">
      <c r="A450" s="60"/>
      <c r="B450" s="146" t="s">
        <v>133</v>
      </c>
      <c r="C450" s="152">
        <v>232</v>
      </c>
      <c r="D450" s="153" t="s">
        <v>45</v>
      </c>
      <c r="E450" s="390">
        <v>0.2</v>
      </c>
      <c r="F450" s="122">
        <f t="shared" ref="F450:F469" si="56">C450*E450</f>
        <v>46.400000000000006</v>
      </c>
      <c r="G450" s="122">
        <f t="shared" ref="G450:G469" si="57">$H$11*E450</f>
        <v>8</v>
      </c>
      <c r="H450" s="123">
        <f t="shared" ref="H450:H469" si="58">F450*$H$11</f>
        <v>1856.0000000000002</v>
      </c>
      <c r="I450" s="135">
        <v>17.87</v>
      </c>
      <c r="J450" s="123">
        <f t="shared" ref="J450:J469" si="59">C450*I450</f>
        <v>4145.84</v>
      </c>
      <c r="K450" s="124">
        <f t="shared" ref="K450:K469" si="60">SUM(H450,J450)</f>
        <v>6001.84</v>
      </c>
      <c r="L450" s="123">
        <f t="shared" ref="L450:L469" si="61">K450/C450</f>
        <v>25.87</v>
      </c>
      <c r="M450" s="125">
        <f t="shared" ref="M450:M469" si="62">C450*L450</f>
        <v>6001.84</v>
      </c>
      <c r="N450" s="131">
        <v>0</v>
      </c>
      <c r="O450" s="118">
        <f t="shared" ref="O450:O469" si="63">M450*N450</f>
        <v>0</v>
      </c>
      <c r="P450" s="455"/>
      <c r="Q450" s="455"/>
      <c r="R450" s="455"/>
      <c r="S450" s="455"/>
      <c r="T450" s="154"/>
      <c r="U450" s="155"/>
      <c r="V450" s="136"/>
      <c r="W450" s="63"/>
      <c r="X450" s="63"/>
      <c r="Y450" s="62"/>
      <c r="Z450" s="62"/>
      <c r="AA450" s="103"/>
      <c r="AB450" s="103"/>
    </row>
    <row r="451" spans="1:28" s="70" customFormat="1" ht="14.25" x14ac:dyDescent="0.2">
      <c r="A451" s="60"/>
      <c r="B451" s="146" t="s">
        <v>105</v>
      </c>
      <c r="C451" s="152">
        <v>110</v>
      </c>
      <c r="D451" s="153" t="s">
        <v>46</v>
      </c>
      <c r="E451" s="122">
        <v>0.1</v>
      </c>
      <c r="F451" s="122">
        <f t="shared" si="56"/>
        <v>11</v>
      </c>
      <c r="G451" s="122">
        <f t="shared" si="57"/>
        <v>4</v>
      </c>
      <c r="H451" s="123">
        <f t="shared" si="58"/>
        <v>440</v>
      </c>
      <c r="I451" s="135">
        <v>2.5</v>
      </c>
      <c r="J451" s="123">
        <f t="shared" si="59"/>
        <v>275</v>
      </c>
      <c r="K451" s="124">
        <f t="shared" si="60"/>
        <v>715</v>
      </c>
      <c r="L451" s="123">
        <f t="shared" si="61"/>
        <v>6.5</v>
      </c>
      <c r="M451" s="125">
        <f t="shared" si="62"/>
        <v>715</v>
      </c>
      <c r="N451" s="131">
        <v>0</v>
      </c>
      <c r="O451" s="118">
        <f t="shared" si="63"/>
        <v>0</v>
      </c>
      <c r="P451" s="455"/>
      <c r="Q451" s="455"/>
      <c r="R451" s="455"/>
      <c r="S451" s="455"/>
      <c r="T451" s="154"/>
      <c r="U451" s="155"/>
      <c r="V451" s="136"/>
      <c r="W451" s="63"/>
      <c r="X451" s="63"/>
      <c r="Y451" s="62"/>
      <c r="Z451" s="62"/>
      <c r="AA451" s="103"/>
      <c r="AB451" s="103"/>
    </row>
    <row r="452" spans="1:28" s="70" customFormat="1" ht="14.25" x14ac:dyDescent="0.2">
      <c r="A452" s="60"/>
      <c r="B452" s="146" t="s">
        <v>135</v>
      </c>
      <c r="C452" s="152">
        <v>137</v>
      </c>
      <c r="D452" s="153" t="s">
        <v>45</v>
      </c>
      <c r="E452" s="122">
        <v>0.2</v>
      </c>
      <c r="F452" s="122">
        <f t="shared" si="56"/>
        <v>27.400000000000002</v>
      </c>
      <c r="G452" s="122">
        <f t="shared" si="57"/>
        <v>8</v>
      </c>
      <c r="H452" s="123">
        <f t="shared" si="58"/>
        <v>1096</v>
      </c>
      <c r="I452" s="135">
        <v>16</v>
      </c>
      <c r="J452" s="123">
        <f t="shared" si="59"/>
        <v>2192</v>
      </c>
      <c r="K452" s="124">
        <f t="shared" si="60"/>
        <v>3288</v>
      </c>
      <c r="L452" s="123">
        <f t="shared" si="61"/>
        <v>24</v>
      </c>
      <c r="M452" s="125">
        <f t="shared" si="62"/>
        <v>3288</v>
      </c>
      <c r="N452" s="131">
        <v>0</v>
      </c>
      <c r="O452" s="118">
        <f t="shared" si="63"/>
        <v>0</v>
      </c>
      <c r="P452" s="455"/>
      <c r="Q452" s="455"/>
      <c r="R452" s="455"/>
      <c r="S452" s="455"/>
      <c r="T452" s="154"/>
      <c r="U452" s="155"/>
      <c r="V452" s="136"/>
      <c r="W452" s="63"/>
      <c r="X452" s="63"/>
      <c r="Y452" s="62"/>
      <c r="Z452" s="62"/>
      <c r="AA452" s="103"/>
      <c r="AB452" s="103"/>
    </row>
    <row r="453" spans="1:28" s="70" customFormat="1" ht="14.25" x14ac:dyDescent="0.2">
      <c r="A453" s="60"/>
      <c r="B453" s="264" t="s">
        <v>105</v>
      </c>
      <c r="C453" s="152">
        <v>66</v>
      </c>
      <c r="D453" s="153" t="s">
        <v>46</v>
      </c>
      <c r="E453" s="122">
        <v>0.1</v>
      </c>
      <c r="F453" s="122">
        <f t="shared" si="56"/>
        <v>6.6000000000000005</v>
      </c>
      <c r="G453" s="122">
        <f t="shared" si="57"/>
        <v>4</v>
      </c>
      <c r="H453" s="123">
        <f t="shared" si="58"/>
        <v>264</v>
      </c>
      <c r="I453" s="135">
        <v>2.5</v>
      </c>
      <c r="J453" s="123">
        <f t="shared" si="59"/>
        <v>165</v>
      </c>
      <c r="K453" s="124">
        <f t="shared" si="60"/>
        <v>429</v>
      </c>
      <c r="L453" s="123">
        <f t="shared" si="61"/>
        <v>6.5</v>
      </c>
      <c r="M453" s="125">
        <f t="shared" si="62"/>
        <v>429</v>
      </c>
      <c r="N453" s="131">
        <v>0</v>
      </c>
      <c r="O453" s="118">
        <f t="shared" si="63"/>
        <v>0</v>
      </c>
      <c r="P453" s="455"/>
      <c r="Q453" s="455"/>
      <c r="R453" s="455"/>
      <c r="S453" s="455"/>
      <c r="T453" s="154"/>
      <c r="U453" s="155"/>
      <c r="V453" s="136"/>
      <c r="W453" s="63"/>
      <c r="X453" s="63"/>
      <c r="Y453" s="62"/>
      <c r="Z453" s="62"/>
      <c r="AA453" s="103"/>
      <c r="AB453" s="103"/>
    </row>
    <row r="454" spans="1:28" s="70" customFormat="1" ht="14.25" x14ac:dyDescent="0.2">
      <c r="A454" s="60"/>
      <c r="B454" s="264" t="s">
        <v>137</v>
      </c>
      <c r="C454" s="152">
        <v>6</v>
      </c>
      <c r="D454" s="153" t="s">
        <v>45</v>
      </c>
      <c r="E454" s="390">
        <v>0.2</v>
      </c>
      <c r="F454" s="122">
        <f>C454*E454</f>
        <v>1.2000000000000002</v>
      </c>
      <c r="G454" s="122">
        <f>$H$11*E454</f>
        <v>8</v>
      </c>
      <c r="H454" s="123">
        <f>F454*$H$11</f>
        <v>48.000000000000007</v>
      </c>
      <c r="I454" s="135">
        <v>45</v>
      </c>
      <c r="J454" s="123">
        <f>C454*I454</f>
        <v>270</v>
      </c>
      <c r="K454" s="124">
        <f>SUM(H454,J454)</f>
        <v>318</v>
      </c>
      <c r="L454" s="123">
        <f>K454/C454</f>
        <v>53</v>
      </c>
      <c r="M454" s="125">
        <f>C454*L454</f>
        <v>318</v>
      </c>
      <c r="N454" s="131">
        <v>0</v>
      </c>
      <c r="O454" s="118">
        <f>M454*N454</f>
        <v>0</v>
      </c>
      <c r="P454" s="455"/>
      <c r="Q454" s="455"/>
      <c r="R454" s="455"/>
      <c r="S454" s="455"/>
      <c r="T454" s="154"/>
      <c r="U454" s="155"/>
      <c r="V454" s="136"/>
      <c r="W454" s="63"/>
      <c r="X454" s="63"/>
      <c r="Y454" s="62"/>
      <c r="Z454" s="62"/>
      <c r="AA454" s="103"/>
      <c r="AB454" s="103"/>
    </row>
    <row r="455" spans="1:28" s="70" customFormat="1" ht="14.25" x14ac:dyDescent="0.2">
      <c r="A455" s="60"/>
      <c r="B455" s="146" t="s">
        <v>134</v>
      </c>
      <c r="C455" s="152">
        <v>156</v>
      </c>
      <c r="D455" s="153" t="s">
        <v>45</v>
      </c>
      <c r="E455" s="122">
        <v>0.2</v>
      </c>
      <c r="F455" s="122">
        <f t="shared" si="56"/>
        <v>31.200000000000003</v>
      </c>
      <c r="G455" s="122">
        <f t="shared" si="57"/>
        <v>8</v>
      </c>
      <c r="H455" s="123">
        <f t="shared" si="58"/>
        <v>1248</v>
      </c>
      <c r="I455" s="135">
        <v>13.51</v>
      </c>
      <c r="J455" s="123">
        <f t="shared" si="59"/>
        <v>2107.56</v>
      </c>
      <c r="K455" s="124">
        <f t="shared" si="60"/>
        <v>3355.56</v>
      </c>
      <c r="L455" s="123">
        <f t="shared" si="61"/>
        <v>21.509999999999998</v>
      </c>
      <c r="M455" s="125">
        <f t="shared" si="62"/>
        <v>3355.5599999999995</v>
      </c>
      <c r="N455" s="131">
        <v>0</v>
      </c>
      <c r="O455" s="118">
        <f t="shared" si="63"/>
        <v>0</v>
      </c>
      <c r="P455" s="455"/>
      <c r="Q455" s="455"/>
      <c r="R455" s="455"/>
      <c r="S455" s="455"/>
      <c r="T455" s="154"/>
      <c r="U455" s="155"/>
      <c r="V455" s="136"/>
      <c r="W455" s="63"/>
      <c r="X455" s="63"/>
      <c r="Y455" s="62"/>
      <c r="Z455" s="62"/>
      <c r="AA455" s="103"/>
      <c r="AB455" s="103"/>
    </row>
    <row r="456" spans="1:28" s="70" customFormat="1" ht="14.25" x14ac:dyDescent="0.2">
      <c r="A456" s="60"/>
      <c r="B456" s="146" t="s">
        <v>103</v>
      </c>
      <c r="C456" s="152">
        <v>53</v>
      </c>
      <c r="D456" s="153" t="s">
        <v>45</v>
      </c>
      <c r="E456" s="122">
        <v>0.2</v>
      </c>
      <c r="F456" s="122">
        <f t="shared" si="56"/>
        <v>10.600000000000001</v>
      </c>
      <c r="G456" s="122">
        <f t="shared" si="57"/>
        <v>8</v>
      </c>
      <c r="H456" s="123">
        <f t="shared" si="58"/>
        <v>424.00000000000006</v>
      </c>
      <c r="I456" s="135">
        <v>13.51</v>
      </c>
      <c r="J456" s="123">
        <f t="shared" si="59"/>
        <v>716.03</v>
      </c>
      <c r="K456" s="124">
        <f t="shared" si="60"/>
        <v>1140.03</v>
      </c>
      <c r="L456" s="123">
        <f t="shared" si="61"/>
        <v>21.509999999999998</v>
      </c>
      <c r="M456" s="125">
        <f t="shared" si="62"/>
        <v>1140.03</v>
      </c>
      <c r="N456" s="131">
        <v>0</v>
      </c>
      <c r="O456" s="118">
        <f t="shared" si="63"/>
        <v>0</v>
      </c>
      <c r="P456" s="455"/>
      <c r="Q456" s="455"/>
      <c r="R456" s="455"/>
      <c r="S456" s="455"/>
      <c r="T456" s="154"/>
      <c r="U456" s="155"/>
      <c r="V456" s="136"/>
      <c r="W456" s="63"/>
      <c r="X456" s="63"/>
      <c r="Y456" s="62"/>
      <c r="Z456" s="62"/>
      <c r="AA456" s="103"/>
      <c r="AB456" s="103"/>
    </row>
    <row r="457" spans="1:28" s="70" customFormat="1" ht="14.25" x14ac:dyDescent="0.2">
      <c r="A457" s="60"/>
      <c r="B457" s="146" t="s">
        <v>136</v>
      </c>
      <c r="C457" s="152">
        <v>128</v>
      </c>
      <c r="D457" s="153" t="s">
        <v>45</v>
      </c>
      <c r="E457" s="390">
        <v>0.2</v>
      </c>
      <c r="F457" s="122">
        <f t="shared" si="56"/>
        <v>25.6</v>
      </c>
      <c r="G457" s="122">
        <f t="shared" si="57"/>
        <v>8</v>
      </c>
      <c r="H457" s="123">
        <f t="shared" si="58"/>
        <v>1024</v>
      </c>
      <c r="I457" s="135">
        <v>16</v>
      </c>
      <c r="J457" s="123">
        <f t="shared" si="59"/>
        <v>2048</v>
      </c>
      <c r="K457" s="124">
        <f t="shared" si="60"/>
        <v>3072</v>
      </c>
      <c r="L457" s="123">
        <f t="shared" si="61"/>
        <v>24</v>
      </c>
      <c r="M457" s="125">
        <f t="shared" si="62"/>
        <v>3072</v>
      </c>
      <c r="N457" s="131">
        <v>0</v>
      </c>
      <c r="O457" s="118">
        <f t="shared" si="63"/>
        <v>0</v>
      </c>
      <c r="P457" s="455"/>
      <c r="Q457" s="455"/>
      <c r="R457" s="455"/>
      <c r="S457" s="455"/>
      <c r="T457" s="154"/>
      <c r="U457" s="155"/>
      <c r="V457" s="136"/>
      <c r="W457" s="63"/>
      <c r="X457" s="63"/>
      <c r="Y457" s="62"/>
      <c r="Z457" s="62"/>
      <c r="AA457" s="103"/>
      <c r="AB457" s="103"/>
    </row>
    <row r="458" spans="1:28" s="70" customFormat="1" ht="14.25" x14ac:dyDescent="0.2">
      <c r="A458" s="60"/>
      <c r="B458" s="146" t="s">
        <v>105</v>
      </c>
      <c r="C458" s="152">
        <v>72</v>
      </c>
      <c r="D458" s="153" t="s">
        <v>46</v>
      </c>
      <c r="E458" s="122">
        <v>0.1</v>
      </c>
      <c r="F458" s="122">
        <f t="shared" si="56"/>
        <v>7.2</v>
      </c>
      <c r="G458" s="122">
        <f t="shared" si="57"/>
        <v>4</v>
      </c>
      <c r="H458" s="123">
        <f t="shared" si="58"/>
        <v>288</v>
      </c>
      <c r="I458" s="135">
        <v>2.5</v>
      </c>
      <c r="J458" s="123">
        <f t="shared" si="59"/>
        <v>180</v>
      </c>
      <c r="K458" s="124">
        <f t="shared" si="60"/>
        <v>468</v>
      </c>
      <c r="L458" s="123">
        <f t="shared" si="61"/>
        <v>6.5</v>
      </c>
      <c r="M458" s="125">
        <f t="shared" si="62"/>
        <v>468</v>
      </c>
      <c r="N458" s="131">
        <v>0</v>
      </c>
      <c r="O458" s="118">
        <f t="shared" si="63"/>
        <v>0</v>
      </c>
      <c r="P458" s="455"/>
      <c r="Q458" s="455"/>
      <c r="R458" s="455"/>
      <c r="S458" s="455"/>
      <c r="T458" s="154"/>
      <c r="U458" s="155"/>
      <c r="V458" s="136"/>
      <c r="W458" s="63"/>
      <c r="X458" s="63"/>
      <c r="Y458" s="62"/>
      <c r="Z458" s="62"/>
      <c r="AA458" s="103"/>
      <c r="AB458" s="103"/>
    </row>
    <row r="459" spans="1:28" s="70" customFormat="1" ht="14.25" x14ac:dyDescent="0.2">
      <c r="A459" s="60"/>
      <c r="B459" s="151" t="s">
        <v>358</v>
      </c>
      <c r="C459" s="152">
        <v>36</v>
      </c>
      <c r="D459" s="153" t="s">
        <v>46</v>
      </c>
      <c r="E459" s="310">
        <v>0.2</v>
      </c>
      <c r="F459" s="122">
        <f t="shared" si="56"/>
        <v>7.2</v>
      </c>
      <c r="G459" s="122">
        <f t="shared" si="57"/>
        <v>8</v>
      </c>
      <c r="H459" s="123">
        <f t="shared" si="58"/>
        <v>288</v>
      </c>
      <c r="I459" s="135">
        <v>6</v>
      </c>
      <c r="J459" s="123">
        <f t="shared" si="59"/>
        <v>216</v>
      </c>
      <c r="K459" s="124">
        <f t="shared" si="60"/>
        <v>504</v>
      </c>
      <c r="L459" s="123">
        <f t="shared" si="61"/>
        <v>14</v>
      </c>
      <c r="M459" s="125">
        <f t="shared" si="62"/>
        <v>504</v>
      </c>
      <c r="N459" s="131">
        <v>0</v>
      </c>
      <c r="O459" s="118">
        <f t="shared" si="63"/>
        <v>0</v>
      </c>
      <c r="P459" s="455"/>
      <c r="Q459" s="455"/>
      <c r="R459" s="455"/>
      <c r="S459" s="455"/>
      <c r="T459" s="154"/>
      <c r="U459" s="155"/>
      <c r="V459" s="136"/>
      <c r="W459" s="63"/>
      <c r="X459" s="63"/>
      <c r="Y459" s="62"/>
      <c r="Z459" s="62"/>
      <c r="AA459" s="103"/>
      <c r="AB459" s="103"/>
    </row>
    <row r="460" spans="1:28" s="70" customFormat="1" ht="14.25" x14ac:dyDescent="0.2">
      <c r="A460" s="60"/>
      <c r="B460" s="146" t="s">
        <v>116</v>
      </c>
      <c r="C460" s="152">
        <v>146</v>
      </c>
      <c r="D460" s="153" t="s">
        <v>45</v>
      </c>
      <c r="E460" s="390">
        <v>0.25</v>
      </c>
      <c r="F460" s="122">
        <f t="shared" si="56"/>
        <v>36.5</v>
      </c>
      <c r="G460" s="122">
        <f t="shared" si="57"/>
        <v>10</v>
      </c>
      <c r="H460" s="123">
        <f t="shared" si="58"/>
        <v>1460</v>
      </c>
      <c r="I460" s="135">
        <v>16</v>
      </c>
      <c r="J460" s="123">
        <f t="shared" si="59"/>
        <v>2336</v>
      </c>
      <c r="K460" s="124">
        <f t="shared" si="60"/>
        <v>3796</v>
      </c>
      <c r="L460" s="123">
        <f t="shared" si="61"/>
        <v>26</v>
      </c>
      <c r="M460" s="125">
        <f t="shared" si="62"/>
        <v>3796</v>
      </c>
      <c r="N460" s="131">
        <v>0</v>
      </c>
      <c r="O460" s="118">
        <f t="shared" si="63"/>
        <v>0</v>
      </c>
      <c r="P460" s="455"/>
      <c r="Q460" s="455"/>
      <c r="R460" s="455"/>
      <c r="S460" s="455"/>
      <c r="T460" s="154"/>
      <c r="U460" s="155"/>
      <c r="V460" s="136"/>
      <c r="W460" s="63"/>
      <c r="X460" s="63"/>
      <c r="Y460" s="62"/>
      <c r="Z460" s="62"/>
      <c r="AA460" s="103"/>
      <c r="AB460" s="103"/>
    </row>
    <row r="461" spans="1:28" s="70" customFormat="1" ht="14.25" x14ac:dyDescent="0.2">
      <c r="A461" s="60"/>
      <c r="B461" s="264" t="s">
        <v>105</v>
      </c>
      <c r="C461" s="152">
        <v>80</v>
      </c>
      <c r="D461" s="153" t="s">
        <v>46</v>
      </c>
      <c r="E461" s="310">
        <v>0.1</v>
      </c>
      <c r="F461" s="122">
        <f t="shared" si="56"/>
        <v>8</v>
      </c>
      <c r="G461" s="122">
        <f t="shared" si="57"/>
        <v>4</v>
      </c>
      <c r="H461" s="123">
        <f t="shared" si="58"/>
        <v>320</v>
      </c>
      <c r="I461" s="135">
        <v>2.5</v>
      </c>
      <c r="J461" s="123">
        <f t="shared" si="59"/>
        <v>200</v>
      </c>
      <c r="K461" s="124">
        <f t="shared" si="60"/>
        <v>520</v>
      </c>
      <c r="L461" s="123">
        <f t="shared" si="61"/>
        <v>6.5</v>
      </c>
      <c r="M461" s="125">
        <f t="shared" si="62"/>
        <v>520</v>
      </c>
      <c r="N461" s="131">
        <v>0</v>
      </c>
      <c r="O461" s="118">
        <f t="shared" si="63"/>
        <v>0</v>
      </c>
      <c r="P461" s="455"/>
      <c r="Q461" s="455"/>
      <c r="R461" s="455"/>
      <c r="S461" s="455"/>
      <c r="T461" s="154"/>
      <c r="U461" s="155"/>
      <c r="V461" s="136"/>
      <c r="W461" s="63"/>
      <c r="X461" s="63"/>
      <c r="Y461" s="62"/>
      <c r="Z461" s="62"/>
      <c r="AA461" s="103"/>
      <c r="AB461" s="103"/>
    </row>
    <row r="462" spans="1:28" s="70" customFormat="1" ht="14.25" x14ac:dyDescent="0.2">
      <c r="A462" s="60"/>
      <c r="B462" s="151" t="s">
        <v>358</v>
      </c>
      <c r="C462" s="152">
        <v>40</v>
      </c>
      <c r="D462" s="153" t="s">
        <v>46</v>
      </c>
      <c r="E462" s="310">
        <v>0.2</v>
      </c>
      <c r="F462" s="122">
        <f t="shared" si="56"/>
        <v>8</v>
      </c>
      <c r="G462" s="122">
        <f t="shared" si="57"/>
        <v>8</v>
      </c>
      <c r="H462" s="123">
        <f t="shared" si="58"/>
        <v>320</v>
      </c>
      <c r="I462" s="135">
        <v>6</v>
      </c>
      <c r="J462" s="123">
        <f t="shared" si="59"/>
        <v>240</v>
      </c>
      <c r="K462" s="124">
        <f t="shared" si="60"/>
        <v>560</v>
      </c>
      <c r="L462" s="123">
        <f t="shared" si="61"/>
        <v>14</v>
      </c>
      <c r="M462" s="125">
        <f t="shared" si="62"/>
        <v>560</v>
      </c>
      <c r="N462" s="131">
        <v>0</v>
      </c>
      <c r="O462" s="118">
        <f t="shared" si="63"/>
        <v>0</v>
      </c>
      <c r="P462" s="455"/>
      <c r="Q462" s="455"/>
      <c r="R462" s="455"/>
      <c r="S462" s="455"/>
      <c r="T462" s="154"/>
      <c r="U462" s="155"/>
      <c r="V462" s="136"/>
      <c r="W462" s="63"/>
      <c r="X462" s="63"/>
      <c r="Y462" s="62"/>
      <c r="Z462" s="62"/>
      <c r="AA462" s="103"/>
      <c r="AB462" s="103"/>
    </row>
    <row r="463" spans="1:28" s="70" customFormat="1" ht="14.25" x14ac:dyDescent="0.2">
      <c r="A463" s="60"/>
      <c r="B463" s="146" t="s">
        <v>118</v>
      </c>
      <c r="C463" s="152">
        <v>24</v>
      </c>
      <c r="D463" s="153" t="s">
        <v>45</v>
      </c>
      <c r="E463" s="122">
        <v>0.2</v>
      </c>
      <c r="F463" s="122">
        <f t="shared" si="56"/>
        <v>4.8000000000000007</v>
      </c>
      <c r="G463" s="122">
        <f t="shared" si="57"/>
        <v>8</v>
      </c>
      <c r="H463" s="123">
        <f t="shared" si="58"/>
        <v>192.00000000000003</v>
      </c>
      <c r="I463" s="135">
        <v>14</v>
      </c>
      <c r="J463" s="123">
        <f t="shared" si="59"/>
        <v>336</v>
      </c>
      <c r="K463" s="124">
        <f t="shared" si="60"/>
        <v>528</v>
      </c>
      <c r="L463" s="123">
        <f t="shared" si="61"/>
        <v>22</v>
      </c>
      <c r="M463" s="125">
        <f t="shared" si="62"/>
        <v>528</v>
      </c>
      <c r="N463" s="131">
        <v>0</v>
      </c>
      <c r="O463" s="118">
        <f t="shared" si="63"/>
        <v>0</v>
      </c>
      <c r="P463" s="455"/>
      <c r="Q463" s="455"/>
      <c r="R463" s="455"/>
      <c r="S463" s="455"/>
      <c r="T463" s="154"/>
      <c r="U463" s="155"/>
      <c r="V463" s="136"/>
      <c r="W463" s="63"/>
      <c r="X463" s="63"/>
      <c r="Y463" s="62"/>
      <c r="Z463" s="62"/>
      <c r="AA463" s="103"/>
      <c r="AB463" s="103"/>
    </row>
    <row r="464" spans="1:28" s="70" customFormat="1" ht="14.25" x14ac:dyDescent="0.2">
      <c r="A464" s="60"/>
      <c r="B464" s="146" t="s">
        <v>146</v>
      </c>
      <c r="C464" s="152">
        <v>52</v>
      </c>
      <c r="D464" s="153" t="s">
        <v>45</v>
      </c>
      <c r="E464" s="390">
        <v>0.4</v>
      </c>
      <c r="F464" s="122">
        <f t="shared" si="56"/>
        <v>20.8</v>
      </c>
      <c r="G464" s="122">
        <f t="shared" si="57"/>
        <v>16</v>
      </c>
      <c r="H464" s="123">
        <f t="shared" si="58"/>
        <v>832</v>
      </c>
      <c r="I464" s="135">
        <v>33</v>
      </c>
      <c r="J464" s="123">
        <f t="shared" si="59"/>
        <v>1716</v>
      </c>
      <c r="K464" s="124">
        <f t="shared" si="60"/>
        <v>2548</v>
      </c>
      <c r="L464" s="123">
        <f t="shared" si="61"/>
        <v>49</v>
      </c>
      <c r="M464" s="125">
        <f t="shared" si="62"/>
        <v>2548</v>
      </c>
      <c r="N464" s="131">
        <v>0</v>
      </c>
      <c r="O464" s="118">
        <f t="shared" si="63"/>
        <v>0</v>
      </c>
      <c r="P464" s="455"/>
      <c r="Q464" s="455"/>
      <c r="R464" s="455"/>
      <c r="S464" s="455"/>
      <c r="T464" s="154"/>
      <c r="U464" s="155"/>
      <c r="V464" s="136"/>
      <c r="W464" s="63"/>
      <c r="X464" s="63"/>
      <c r="Y464" s="62"/>
      <c r="Z464" s="62"/>
      <c r="AA464" s="103"/>
      <c r="AB464" s="103"/>
    </row>
    <row r="465" spans="1:28" s="70" customFormat="1" ht="14.25" x14ac:dyDescent="0.2">
      <c r="A465" s="60"/>
      <c r="B465" s="146" t="s">
        <v>122</v>
      </c>
      <c r="C465" s="152">
        <v>52</v>
      </c>
      <c r="D465" s="153" t="s">
        <v>45</v>
      </c>
      <c r="E465" s="390">
        <v>0.2</v>
      </c>
      <c r="F465" s="122">
        <f t="shared" si="56"/>
        <v>10.4</v>
      </c>
      <c r="G465" s="122">
        <f t="shared" si="57"/>
        <v>8</v>
      </c>
      <c r="H465" s="123">
        <f t="shared" si="58"/>
        <v>416</v>
      </c>
      <c r="I465" s="135">
        <v>17.87</v>
      </c>
      <c r="J465" s="123">
        <f t="shared" si="59"/>
        <v>929.24</v>
      </c>
      <c r="K465" s="124">
        <f t="shared" si="60"/>
        <v>1345.24</v>
      </c>
      <c r="L465" s="123">
        <f t="shared" si="61"/>
        <v>25.87</v>
      </c>
      <c r="M465" s="125">
        <f t="shared" si="62"/>
        <v>1345.24</v>
      </c>
      <c r="N465" s="131">
        <v>0</v>
      </c>
      <c r="O465" s="118">
        <f t="shared" si="63"/>
        <v>0</v>
      </c>
      <c r="P465" s="455"/>
      <c r="Q465" s="455"/>
      <c r="R465" s="455"/>
      <c r="S465" s="455"/>
      <c r="T465" s="154"/>
      <c r="U465" s="155"/>
      <c r="V465" s="136"/>
      <c r="W465" s="63"/>
      <c r="X465" s="63"/>
      <c r="Y465" s="62"/>
      <c r="Z465" s="62"/>
      <c r="AA465" s="103"/>
      <c r="AB465" s="103"/>
    </row>
    <row r="466" spans="1:28" s="70" customFormat="1" ht="14.25" x14ac:dyDescent="0.2">
      <c r="A466" s="60"/>
      <c r="B466" s="146" t="s">
        <v>105</v>
      </c>
      <c r="C466" s="152">
        <v>48</v>
      </c>
      <c r="D466" s="153" t="s">
        <v>46</v>
      </c>
      <c r="E466" s="122">
        <v>0.1</v>
      </c>
      <c r="F466" s="122">
        <f t="shared" si="56"/>
        <v>4.8000000000000007</v>
      </c>
      <c r="G466" s="122">
        <f t="shared" si="57"/>
        <v>4</v>
      </c>
      <c r="H466" s="123">
        <f t="shared" si="58"/>
        <v>192.00000000000003</v>
      </c>
      <c r="I466" s="135">
        <v>2.5</v>
      </c>
      <c r="J466" s="123">
        <f t="shared" si="59"/>
        <v>120</v>
      </c>
      <c r="K466" s="124">
        <f t="shared" si="60"/>
        <v>312</v>
      </c>
      <c r="L466" s="123">
        <f t="shared" si="61"/>
        <v>6.5</v>
      </c>
      <c r="M466" s="125">
        <f t="shared" si="62"/>
        <v>312</v>
      </c>
      <c r="N466" s="131">
        <v>0</v>
      </c>
      <c r="O466" s="118">
        <f t="shared" si="63"/>
        <v>0</v>
      </c>
      <c r="P466" s="455"/>
      <c r="Q466" s="455"/>
      <c r="R466" s="455"/>
      <c r="S466" s="455"/>
      <c r="T466" s="154"/>
      <c r="U466" s="155"/>
      <c r="V466" s="136"/>
      <c r="W466" s="63"/>
      <c r="X466" s="63"/>
      <c r="Y466" s="62"/>
      <c r="Z466" s="62"/>
      <c r="AA466" s="103"/>
      <c r="AB466" s="103"/>
    </row>
    <row r="467" spans="1:28" s="70" customFormat="1" ht="14.25" x14ac:dyDescent="0.2">
      <c r="A467" s="60"/>
      <c r="B467" s="146" t="s">
        <v>129</v>
      </c>
      <c r="C467" s="152">
        <v>111</v>
      </c>
      <c r="D467" s="153" t="s">
        <v>45</v>
      </c>
      <c r="E467" s="122">
        <v>0.02</v>
      </c>
      <c r="F467" s="122">
        <f t="shared" si="56"/>
        <v>2.2200000000000002</v>
      </c>
      <c r="G467" s="122">
        <f t="shared" si="57"/>
        <v>0.8</v>
      </c>
      <c r="H467" s="123">
        <f t="shared" si="58"/>
        <v>88.800000000000011</v>
      </c>
      <c r="I467" s="135">
        <v>10.48</v>
      </c>
      <c r="J467" s="123">
        <f t="shared" si="59"/>
        <v>1163.28</v>
      </c>
      <c r="K467" s="124">
        <f t="shared" si="60"/>
        <v>1252.08</v>
      </c>
      <c r="L467" s="123">
        <f t="shared" si="61"/>
        <v>11.28</v>
      </c>
      <c r="M467" s="125">
        <f t="shared" si="62"/>
        <v>1252.08</v>
      </c>
      <c r="N467" s="131">
        <v>0</v>
      </c>
      <c r="O467" s="118">
        <f t="shared" si="63"/>
        <v>0</v>
      </c>
      <c r="P467" s="455"/>
      <c r="Q467" s="455"/>
      <c r="R467" s="455"/>
      <c r="S467" s="455"/>
      <c r="T467" s="154"/>
      <c r="U467" s="155"/>
      <c r="V467" s="136"/>
      <c r="W467" s="63"/>
      <c r="X467" s="63"/>
      <c r="Y467" s="62"/>
      <c r="Z467" s="62"/>
      <c r="AA467" s="103"/>
      <c r="AB467" s="103"/>
    </row>
    <row r="468" spans="1:28" s="70" customFormat="1" ht="14.25" x14ac:dyDescent="0.2">
      <c r="A468" s="60"/>
      <c r="B468" s="146" t="s">
        <v>131</v>
      </c>
      <c r="C468" s="152">
        <v>52</v>
      </c>
      <c r="D468" s="153" t="s">
        <v>45</v>
      </c>
      <c r="E468" s="122">
        <v>0</v>
      </c>
      <c r="F468" s="122">
        <f t="shared" si="56"/>
        <v>0</v>
      </c>
      <c r="G468" s="122">
        <f t="shared" si="57"/>
        <v>0</v>
      </c>
      <c r="H468" s="123">
        <f t="shared" si="58"/>
        <v>0</v>
      </c>
      <c r="I468" s="135">
        <v>6</v>
      </c>
      <c r="J468" s="123">
        <f t="shared" si="59"/>
        <v>312</v>
      </c>
      <c r="K468" s="124">
        <f t="shared" si="60"/>
        <v>312</v>
      </c>
      <c r="L468" s="123">
        <f t="shared" si="61"/>
        <v>6</v>
      </c>
      <c r="M468" s="125">
        <f t="shared" si="62"/>
        <v>312</v>
      </c>
      <c r="N468" s="131">
        <v>0</v>
      </c>
      <c r="O468" s="118">
        <f t="shared" si="63"/>
        <v>0</v>
      </c>
      <c r="P468" s="455"/>
      <c r="Q468" s="455"/>
      <c r="R468" s="455"/>
      <c r="S468" s="455"/>
      <c r="T468" s="154"/>
      <c r="U468" s="155"/>
      <c r="V468" s="136"/>
      <c r="W468" s="63"/>
      <c r="X468" s="63"/>
      <c r="Y468" s="62"/>
      <c r="Z468" s="62"/>
      <c r="AA468" s="103"/>
      <c r="AB468" s="103"/>
    </row>
    <row r="469" spans="1:28" s="70" customFormat="1" ht="14.25" x14ac:dyDescent="0.2">
      <c r="A469" s="60"/>
      <c r="B469" s="146" t="s">
        <v>132</v>
      </c>
      <c r="C469" s="152">
        <v>37</v>
      </c>
      <c r="D469" s="153" t="s">
        <v>45</v>
      </c>
      <c r="E469" s="122">
        <v>0</v>
      </c>
      <c r="F469" s="122">
        <f t="shared" si="56"/>
        <v>0</v>
      </c>
      <c r="G469" s="122">
        <f t="shared" si="57"/>
        <v>0</v>
      </c>
      <c r="H469" s="123">
        <f t="shared" si="58"/>
        <v>0</v>
      </c>
      <c r="I469" s="135">
        <v>9</v>
      </c>
      <c r="J469" s="123">
        <f t="shared" si="59"/>
        <v>333</v>
      </c>
      <c r="K469" s="124">
        <f t="shared" si="60"/>
        <v>333</v>
      </c>
      <c r="L469" s="123">
        <f t="shared" si="61"/>
        <v>9</v>
      </c>
      <c r="M469" s="125">
        <f t="shared" si="62"/>
        <v>333</v>
      </c>
      <c r="N469" s="131">
        <v>0</v>
      </c>
      <c r="O469" s="118">
        <f t="shared" si="63"/>
        <v>0</v>
      </c>
      <c r="P469" s="455"/>
      <c r="Q469" s="455"/>
      <c r="R469" s="455"/>
      <c r="S469" s="455"/>
      <c r="T469" s="154"/>
      <c r="U469" s="155"/>
      <c r="V469" s="136"/>
      <c r="W469" s="63"/>
      <c r="X469" s="63"/>
      <c r="Y469" s="62"/>
      <c r="Z469" s="62"/>
      <c r="AA469" s="103"/>
      <c r="AB469" s="103"/>
    </row>
    <row r="470" spans="1:28" s="70" customFormat="1" ht="14.25" x14ac:dyDescent="0.2">
      <c r="A470" s="60"/>
      <c r="B470" s="146"/>
      <c r="C470" s="152"/>
      <c r="D470" s="153"/>
      <c r="E470" s="122"/>
      <c r="F470" s="122"/>
      <c r="G470" s="122"/>
      <c r="H470" s="123"/>
      <c r="I470" s="135"/>
      <c r="J470" s="123"/>
      <c r="K470" s="124"/>
      <c r="L470" s="123"/>
      <c r="M470" s="125"/>
      <c r="N470" s="131"/>
      <c r="O470" s="118"/>
      <c r="P470" s="455"/>
      <c r="Q470" s="455"/>
      <c r="R470" s="455"/>
      <c r="S470" s="455"/>
      <c r="T470" s="154"/>
      <c r="U470" s="155"/>
      <c r="V470" s="136"/>
      <c r="W470" s="63"/>
      <c r="X470" s="63"/>
      <c r="Y470" s="62"/>
      <c r="Z470" s="62"/>
      <c r="AA470" s="103"/>
      <c r="AB470" s="103"/>
    </row>
    <row r="471" spans="1:28" s="70" customFormat="1" ht="14.25" x14ac:dyDescent="0.2">
      <c r="A471" s="60"/>
      <c r="B471" s="146" t="s">
        <v>124</v>
      </c>
      <c r="C471" s="152">
        <v>2</v>
      </c>
      <c r="D471" s="153" t="s">
        <v>45</v>
      </c>
      <c r="E471" s="122">
        <v>0.2</v>
      </c>
      <c r="F471" s="122">
        <f>C471*E471</f>
        <v>0.4</v>
      </c>
      <c r="G471" s="122">
        <f>$H$11*E471</f>
        <v>8</v>
      </c>
      <c r="H471" s="123">
        <f>F471*$H$11</f>
        <v>16</v>
      </c>
      <c r="I471" s="135">
        <v>16</v>
      </c>
      <c r="J471" s="123">
        <f>C471*I471</f>
        <v>32</v>
      </c>
      <c r="K471" s="124">
        <f>SUM(H471,J471)</f>
        <v>48</v>
      </c>
      <c r="L471" s="123">
        <f>K471/C471</f>
        <v>24</v>
      </c>
      <c r="M471" s="125">
        <f>C471*L471</f>
        <v>48</v>
      </c>
      <c r="N471" s="131">
        <v>0</v>
      </c>
      <c r="O471" s="118">
        <f>M471*N471</f>
        <v>0</v>
      </c>
      <c r="P471" s="455"/>
      <c r="Q471" s="455"/>
      <c r="R471" s="455"/>
      <c r="S471" s="455"/>
      <c r="T471" s="154"/>
      <c r="U471" s="155"/>
      <c r="V471" s="136"/>
      <c r="W471" s="63"/>
      <c r="X471" s="63"/>
      <c r="Y471" s="62"/>
      <c r="Z471" s="62"/>
      <c r="AA471" s="103"/>
      <c r="AB471" s="103"/>
    </row>
    <row r="472" spans="1:28" s="70" customFormat="1" ht="14.25" x14ac:dyDescent="0.2">
      <c r="A472" s="60"/>
      <c r="B472" s="146" t="s">
        <v>105</v>
      </c>
      <c r="C472" s="152">
        <v>10</v>
      </c>
      <c r="D472" s="153" t="s">
        <v>46</v>
      </c>
      <c r="E472" s="122">
        <v>0.1</v>
      </c>
      <c r="F472" s="122">
        <f>C472*E472</f>
        <v>1</v>
      </c>
      <c r="G472" s="122">
        <f>$H$11*E472</f>
        <v>4</v>
      </c>
      <c r="H472" s="123">
        <f>F472*$H$11</f>
        <v>40</v>
      </c>
      <c r="I472" s="135">
        <v>2.5</v>
      </c>
      <c r="J472" s="123">
        <f>C472*I472</f>
        <v>25</v>
      </c>
      <c r="K472" s="124">
        <f>SUM(H472,J472)</f>
        <v>65</v>
      </c>
      <c r="L472" s="123">
        <f>K472/C472</f>
        <v>6.5</v>
      </c>
      <c r="M472" s="125">
        <f>C472*L472</f>
        <v>65</v>
      </c>
      <c r="N472" s="131">
        <v>0</v>
      </c>
      <c r="O472" s="118">
        <f>M472*N472</f>
        <v>0</v>
      </c>
      <c r="P472" s="455"/>
      <c r="Q472" s="455"/>
      <c r="R472" s="455"/>
      <c r="S472" s="455"/>
      <c r="T472" s="154"/>
      <c r="U472" s="155"/>
      <c r="V472" s="136"/>
      <c r="W472" s="63"/>
      <c r="X472" s="63"/>
      <c r="Y472" s="62"/>
      <c r="Z472" s="62"/>
      <c r="AA472" s="103"/>
      <c r="AB472" s="103"/>
    </row>
    <row r="473" spans="1:28" s="70" customFormat="1" ht="14.25" x14ac:dyDescent="0.2">
      <c r="A473" s="60"/>
      <c r="B473" s="146" t="s">
        <v>128</v>
      </c>
      <c r="C473" s="152">
        <v>10</v>
      </c>
      <c r="D473" s="153" t="s">
        <v>46</v>
      </c>
      <c r="E473" s="122">
        <v>0.1</v>
      </c>
      <c r="F473" s="122">
        <f>C473*E473</f>
        <v>1</v>
      </c>
      <c r="G473" s="122">
        <f>$H$11*E473</f>
        <v>4</v>
      </c>
      <c r="H473" s="123">
        <f>F473*$H$11</f>
        <v>40</v>
      </c>
      <c r="I473" s="135">
        <v>0</v>
      </c>
      <c r="J473" s="123">
        <f>C473*I473</f>
        <v>0</v>
      </c>
      <c r="K473" s="124">
        <f>SUM(H473,J473)</f>
        <v>40</v>
      </c>
      <c r="L473" s="123">
        <f>K473/C473</f>
        <v>4</v>
      </c>
      <c r="M473" s="125">
        <f>C473*L473</f>
        <v>40</v>
      </c>
      <c r="N473" s="131">
        <v>0</v>
      </c>
      <c r="O473" s="118">
        <f>M473*N473</f>
        <v>0</v>
      </c>
      <c r="P473" s="455"/>
      <c r="Q473" s="455"/>
      <c r="R473" s="455"/>
      <c r="S473" s="455"/>
      <c r="T473" s="154"/>
      <c r="U473" s="155"/>
      <c r="V473" s="136"/>
      <c r="W473" s="63"/>
      <c r="X473" s="63"/>
      <c r="Y473" s="62"/>
      <c r="Z473" s="62"/>
      <c r="AA473" s="103"/>
      <c r="AB473" s="103"/>
    </row>
    <row r="474" spans="1:28" s="70" customFormat="1" ht="14.25" x14ac:dyDescent="0.2">
      <c r="A474" s="60"/>
      <c r="B474" s="146"/>
      <c r="C474" s="152"/>
      <c r="D474" s="153"/>
      <c r="E474" s="122"/>
      <c r="F474" s="122"/>
      <c r="G474" s="122"/>
      <c r="H474" s="123"/>
      <c r="I474" s="135"/>
      <c r="J474" s="123"/>
      <c r="K474" s="124"/>
      <c r="L474" s="123"/>
      <c r="M474" s="125"/>
      <c r="N474" s="131"/>
      <c r="O474" s="118"/>
      <c r="P474" s="455"/>
      <c r="Q474" s="455"/>
      <c r="R474" s="455"/>
      <c r="S474" s="455"/>
      <c r="T474" s="154"/>
      <c r="U474" s="155"/>
      <c r="V474" s="136"/>
      <c r="W474" s="63"/>
      <c r="X474" s="63"/>
      <c r="Y474" s="62"/>
      <c r="Z474" s="62"/>
      <c r="AA474" s="103"/>
      <c r="AB474" s="103"/>
    </row>
    <row r="475" spans="1:28" s="70" customFormat="1" ht="14.25" x14ac:dyDescent="0.2">
      <c r="A475" s="60"/>
      <c r="B475" s="146" t="s">
        <v>125</v>
      </c>
      <c r="C475" s="152">
        <v>4</v>
      </c>
      <c r="D475" s="153" t="s">
        <v>45</v>
      </c>
      <c r="E475" s="122">
        <v>0.2</v>
      </c>
      <c r="F475" s="122">
        <f>C475*E475</f>
        <v>0.8</v>
      </c>
      <c r="G475" s="122">
        <f>$H$11*E475</f>
        <v>8</v>
      </c>
      <c r="H475" s="123">
        <f>F475*$H$11</f>
        <v>32</v>
      </c>
      <c r="I475" s="135">
        <v>16</v>
      </c>
      <c r="J475" s="123">
        <f>C475*I475</f>
        <v>64</v>
      </c>
      <c r="K475" s="124">
        <f>SUM(H475,J475)</f>
        <v>96</v>
      </c>
      <c r="L475" s="123">
        <f>K475/C475</f>
        <v>24</v>
      </c>
      <c r="M475" s="125">
        <f>C475*L475</f>
        <v>96</v>
      </c>
      <c r="N475" s="131">
        <v>0</v>
      </c>
      <c r="O475" s="118">
        <f>M475*N475</f>
        <v>0</v>
      </c>
      <c r="P475" s="455"/>
      <c r="Q475" s="455"/>
      <c r="R475" s="455"/>
      <c r="S475" s="455"/>
      <c r="T475" s="154"/>
      <c r="U475" s="155"/>
      <c r="V475" s="136"/>
      <c r="W475" s="63"/>
      <c r="X475" s="63"/>
      <c r="Y475" s="62"/>
      <c r="Z475" s="62"/>
      <c r="AA475" s="103"/>
      <c r="AB475" s="103"/>
    </row>
    <row r="476" spans="1:28" s="70" customFormat="1" ht="14.25" x14ac:dyDescent="0.2">
      <c r="A476" s="60"/>
      <c r="B476" s="146" t="s">
        <v>105</v>
      </c>
      <c r="C476" s="152">
        <v>13</v>
      </c>
      <c r="D476" s="153" t="s">
        <v>46</v>
      </c>
      <c r="E476" s="122">
        <v>0.1</v>
      </c>
      <c r="F476" s="122">
        <f>C476*E476</f>
        <v>1.3</v>
      </c>
      <c r="G476" s="122">
        <f>$H$11*E476</f>
        <v>4</v>
      </c>
      <c r="H476" s="123">
        <f>F476*$H$11</f>
        <v>52</v>
      </c>
      <c r="I476" s="135">
        <v>2.5</v>
      </c>
      <c r="J476" s="123">
        <f>C476*I476</f>
        <v>32.5</v>
      </c>
      <c r="K476" s="124">
        <f>SUM(H476,J476)</f>
        <v>84.5</v>
      </c>
      <c r="L476" s="123">
        <f>K476/C476</f>
        <v>6.5</v>
      </c>
      <c r="M476" s="125">
        <f>C476*L476</f>
        <v>84.5</v>
      </c>
      <c r="N476" s="131">
        <v>0</v>
      </c>
      <c r="O476" s="118">
        <f>M476*N476</f>
        <v>0</v>
      </c>
      <c r="P476" s="455"/>
      <c r="Q476" s="455"/>
      <c r="R476" s="455"/>
      <c r="S476" s="455"/>
      <c r="T476" s="154"/>
      <c r="U476" s="155"/>
      <c r="V476" s="136"/>
      <c r="W476" s="63"/>
      <c r="X476" s="63"/>
      <c r="Y476" s="62"/>
      <c r="Z476" s="62"/>
      <c r="AA476" s="103"/>
      <c r="AB476" s="103"/>
    </row>
    <row r="477" spans="1:28" s="70" customFormat="1" ht="14.25" x14ac:dyDescent="0.2">
      <c r="A477" s="60"/>
      <c r="B477" s="146" t="s">
        <v>127</v>
      </c>
      <c r="C477" s="152">
        <v>13</v>
      </c>
      <c r="D477" s="153" t="s">
        <v>46</v>
      </c>
      <c r="E477" s="122">
        <v>0.1</v>
      </c>
      <c r="F477" s="122">
        <f>C477*E477</f>
        <v>1.3</v>
      </c>
      <c r="G477" s="122">
        <f>$H$11*E477</f>
        <v>4</v>
      </c>
      <c r="H477" s="123">
        <f>F477*$H$11</f>
        <v>52</v>
      </c>
      <c r="I477" s="135">
        <v>0</v>
      </c>
      <c r="J477" s="123">
        <f>C477*I477</f>
        <v>0</v>
      </c>
      <c r="K477" s="124">
        <f>SUM(H477,J477)</f>
        <v>52</v>
      </c>
      <c r="L477" s="123">
        <f>K477/C477</f>
        <v>4</v>
      </c>
      <c r="M477" s="125">
        <f>C477*L477</f>
        <v>52</v>
      </c>
      <c r="N477" s="131">
        <v>0</v>
      </c>
      <c r="O477" s="118">
        <f>M477*N477</f>
        <v>0</v>
      </c>
      <c r="P477" s="455"/>
      <c r="Q477" s="455"/>
      <c r="R477" s="455"/>
      <c r="S477" s="455"/>
      <c r="T477" s="154"/>
      <c r="U477" s="155"/>
      <c r="V477" s="136"/>
      <c r="W477" s="63"/>
      <c r="X477" s="63"/>
      <c r="Y477" s="62"/>
      <c r="Z477" s="62"/>
      <c r="AA477" s="103"/>
      <c r="AB477" s="103"/>
    </row>
    <row r="478" spans="1:28" s="70" customFormat="1" ht="14.25" x14ac:dyDescent="0.2">
      <c r="A478" s="60"/>
      <c r="B478" s="146"/>
      <c r="C478" s="152"/>
      <c r="D478" s="153"/>
      <c r="E478" s="122"/>
      <c r="F478" s="122"/>
      <c r="G478" s="122"/>
      <c r="H478" s="123"/>
      <c r="I478" s="135"/>
      <c r="J478" s="123"/>
      <c r="K478" s="124"/>
      <c r="L478" s="123"/>
      <c r="M478" s="125"/>
      <c r="N478" s="131"/>
      <c r="O478" s="118"/>
      <c r="P478" s="455"/>
      <c r="Q478" s="455"/>
      <c r="R478" s="455"/>
      <c r="S478" s="455"/>
      <c r="T478" s="154"/>
      <c r="U478" s="155"/>
      <c r="V478" s="136"/>
      <c r="W478" s="63"/>
      <c r="X478" s="63"/>
      <c r="Y478" s="62"/>
      <c r="Z478" s="62"/>
      <c r="AA478" s="103"/>
      <c r="AB478" s="103"/>
    </row>
    <row r="479" spans="1:28" s="70" customFormat="1" ht="14.25" x14ac:dyDescent="0.2">
      <c r="A479" s="60"/>
      <c r="B479" s="146" t="s">
        <v>126</v>
      </c>
      <c r="C479" s="152">
        <v>6</v>
      </c>
      <c r="D479" s="153" t="s">
        <v>45</v>
      </c>
      <c r="E479" s="390">
        <v>0.4</v>
      </c>
      <c r="F479" s="122">
        <f>C479*E479</f>
        <v>2.4000000000000004</v>
      </c>
      <c r="G479" s="122">
        <f>$H$11*E479</f>
        <v>16</v>
      </c>
      <c r="H479" s="123">
        <f>F479*$H$11</f>
        <v>96.000000000000014</v>
      </c>
      <c r="I479" s="135">
        <v>32</v>
      </c>
      <c r="J479" s="123">
        <f>C479*I479</f>
        <v>192</v>
      </c>
      <c r="K479" s="124">
        <f>SUM(H479,J479)</f>
        <v>288</v>
      </c>
      <c r="L479" s="123">
        <f>K479/C479</f>
        <v>48</v>
      </c>
      <c r="M479" s="125">
        <f>C479*L479</f>
        <v>288</v>
      </c>
      <c r="N479" s="131">
        <v>0</v>
      </c>
      <c r="O479" s="118">
        <f>M479*N479</f>
        <v>0</v>
      </c>
      <c r="P479" s="455"/>
      <c r="Q479" s="455"/>
      <c r="R479" s="455"/>
      <c r="S479" s="455"/>
      <c r="T479" s="154"/>
      <c r="U479" s="155"/>
      <c r="V479" s="136"/>
      <c r="W479" s="63"/>
      <c r="X479" s="63"/>
      <c r="Y479" s="62"/>
      <c r="Z479" s="62"/>
      <c r="AA479" s="103"/>
      <c r="AB479" s="103"/>
    </row>
    <row r="480" spans="1:28" s="70" customFormat="1" ht="14.25" x14ac:dyDescent="0.2">
      <c r="A480" s="60"/>
      <c r="B480" s="146" t="s">
        <v>105</v>
      </c>
      <c r="C480" s="152">
        <v>2</v>
      </c>
      <c r="D480" s="153" t="s">
        <v>46</v>
      </c>
      <c r="E480" s="122">
        <v>0.1</v>
      </c>
      <c r="F480" s="122">
        <f>C480*E480</f>
        <v>0.2</v>
      </c>
      <c r="G480" s="122">
        <f>$H$11*E480</f>
        <v>4</v>
      </c>
      <c r="H480" s="123">
        <f>F480*$H$11</f>
        <v>8</v>
      </c>
      <c r="I480" s="135">
        <v>2.5</v>
      </c>
      <c r="J480" s="123">
        <f>C480*I480</f>
        <v>5</v>
      </c>
      <c r="K480" s="124">
        <f>SUM(H480,J480)</f>
        <v>13</v>
      </c>
      <c r="L480" s="123">
        <f>K480/C480</f>
        <v>6.5</v>
      </c>
      <c r="M480" s="125">
        <f>C480*L480</f>
        <v>13</v>
      </c>
      <c r="N480" s="131">
        <v>0</v>
      </c>
      <c r="O480" s="118">
        <f>M480*N480</f>
        <v>0</v>
      </c>
      <c r="P480" s="455"/>
      <c r="Q480" s="455"/>
      <c r="R480" s="455"/>
      <c r="S480" s="455"/>
      <c r="T480" s="154"/>
      <c r="U480" s="155"/>
      <c r="V480" s="136"/>
      <c r="W480" s="63"/>
      <c r="X480" s="63"/>
      <c r="Y480" s="62"/>
      <c r="Z480" s="62"/>
      <c r="AA480" s="103"/>
      <c r="AB480" s="103"/>
    </row>
    <row r="481" spans="1:28" s="70" customFormat="1" ht="14.25" x14ac:dyDescent="0.2">
      <c r="A481" s="60"/>
      <c r="B481" s="146" t="s">
        <v>127</v>
      </c>
      <c r="C481" s="152">
        <v>17</v>
      </c>
      <c r="D481" s="153" t="s">
        <v>46</v>
      </c>
      <c r="E481" s="122">
        <v>0.2</v>
      </c>
      <c r="F481" s="122">
        <f>C481*E481</f>
        <v>3.4000000000000004</v>
      </c>
      <c r="G481" s="122">
        <f>$H$11*E481</f>
        <v>8</v>
      </c>
      <c r="H481" s="123">
        <f>F481*$H$11</f>
        <v>136</v>
      </c>
      <c r="I481" s="135">
        <v>0</v>
      </c>
      <c r="J481" s="123">
        <f>C481*I481</f>
        <v>0</v>
      </c>
      <c r="K481" s="124">
        <f>SUM(H481,J481)</f>
        <v>136</v>
      </c>
      <c r="L481" s="123">
        <f>K481/C481</f>
        <v>8</v>
      </c>
      <c r="M481" s="125">
        <f>C481*L481</f>
        <v>136</v>
      </c>
      <c r="N481" s="131">
        <v>0</v>
      </c>
      <c r="O481" s="118">
        <f>M481*N481</f>
        <v>0</v>
      </c>
      <c r="P481" s="455"/>
      <c r="Q481" s="455"/>
      <c r="R481" s="455"/>
      <c r="S481" s="455"/>
      <c r="T481" s="154"/>
      <c r="U481" s="155"/>
      <c r="V481" s="136"/>
      <c r="W481" s="63"/>
      <c r="X481" s="63"/>
      <c r="Y481" s="62"/>
      <c r="Z481" s="62"/>
      <c r="AA481" s="103"/>
      <c r="AB481" s="103"/>
    </row>
    <row r="482" spans="1:28" s="70" customFormat="1" ht="14.25" x14ac:dyDescent="0.2">
      <c r="A482" s="60"/>
      <c r="B482" s="146"/>
      <c r="C482" s="152"/>
      <c r="D482" s="153"/>
      <c r="E482" s="122"/>
      <c r="F482" s="122"/>
      <c r="G482" s="122"/>
      <c r="H482" s="123"/>
      <c r="I482" s="135"/>
      <c r="J482" s="123"/>
      <c r="K482" s="124"/>
      <c r="L482" s="123"/>
      <c r="M482" s="125"/>
      <c r="N482" s="131"/>
      <c r="O482" s="118"/>
      <c r="P482" s="455"/>
      <c r="Q482" s="455"/>
      <c r="R482" s="455"/>
      <c r="S482" s="455"/>
      <c r="T482" s="154"/>
      <c r="U482" s="155"/>
      <c r="V482" s="136"/>
      <c r="W482" s="63"/>
      <c r="X482" s="63"/>
      <c r="Y482" s="62"/>
      <c r="Z482" s="62"/>
      <c r="AA482" s="103"/>
      <c r="AB482" s="103"/>
    </row>
    <row r="483" spans="1:28" s="70" customFormat="1" ht="14.25" x14ac:dyDescent="0.2">
      <c r="A483" s="60"/>
      <c r="B483" s="146" t="s">
        <v>123</v>
      </c>
      <c r="C483" s="152">
        <v>7</v>
      </c>
      <c r="D483" s="153" t="s">
        <v>45</v>
      </c>
      <c r="E483" s="390">
        <v>0.2</v>
      </c>
      <c r="F483" s="122">
        <f>C483*E483</f>
        <v>1.4000000000000001</v>
      </c>
      <c r="G483" s="122">
        <f>$H$11*E483</f>
        <v>8</v>
      </c>
      <c r="H483" s="123">
        <f>F483*$H$11</f>
        <v>56.000000000000007</v>
      </c>
      <c r="I483" s="135">
        <v>19</v>
      </c>
      <c r="J483" s="123">
        <f>C483*I483</f>
        <v>133</v>
      </c>
      <c r="K483" s="124">
        <f>SUM(H483,J483)</f>
        <v>189</v>
      </c>
      <c r="L483" s="123">
        <f>K483/C483</f>
        <v>27</v>
      </c>
      <c r="M483" s="125">
        <f>C483*L483</f>
        <v>189</v>
      </c>
      <c r="N483" s="131">
        <v>0</v>
      </c>
      <c r="O483" s="118">
        <f>M483*N483</f>
        <v>0</v>
      </c>
      <c r="P483" s="455"/>
      <c r="Q483" s="455"/>
      <c r="R483" s="455"/>
      <c r="S483" s="455"/>
      <c r="T483" s="154"/>
      <c r="U483" s="155"/>
      <c r="V483" s="136"/>
      <c r="W483" s="63"/>
      <c r="X483" s="63"/>
      <c r="Y483" s="62"/>
      <c r="Z483" s="62"/>
      <c r="AA483" s="103"/>
      <c r="AB483" s="103"/>
    </row>
    <row r="484" spans="1:28" s="70" customFormat="1" ht="14.25" x14ac:dyDescent="0.2">
      <c r="A484" s="60"/>
      <c r="B484" s="146" t="s">
        <v>127</v>
      </c>
      <c r="C484" s="152">
        <v>17</v>
      </c>
      <c r="D484" s="153" t="s">
        <v>46</v>
      </c>
      <c r="E484" s="122">
        <v>0.1</v>
      </c>
      <c r="F484" s="122">
        <f>C484*E484</f>
        <v>1.7000000000000002</v>
      </c>
      <c r="G484" s="122">
        <f>$H$11*E484</f>
        <v>4</v>
      </c>
      <c r="H484" s="123">
        <f>F484*$H$11</f>
        <v>68</v>
      </c>
      <c r="I484" s="135">
        <v>0</v>
      </c>
      <c r="J484" s="123">
        <f>C484*I484</f>
        <v>0</v>
      </c>
      <c r="K484" s="124">
        <f>SUM(H484,J484)</f>
        <v>68</v>
      </c>
      <c r="L484" s="123">
        <f>K484/C484</f>
        <v>4</v>
      </c>
      <c r="M484" s="125">
        <f>C484*L484</f>
        <v>68</v>
      </c>
      <c r="N484" s="131">
        <v>0</v>
      </c>
      <c r="O484" s="118">
        <f>M484*N484</f>
        <v>0</v>
      </c>
      <c r="P484" s="455"/>
      <c r="Q484" s="455"/>
      <c r="R484" s="455"/>
      <c r="S484" s="455"/>
      <c r="T484" s="154"/>
      <c r="U484" s="155"/>
      <c r="V484" s="136"/>
      <c r="W484" s="63"/>
      <c r="X484" s="63"/>
      <c r="Y484" s="62"/>
      <c r="Z484" s="62"/>
      <c r="AA484" s="103"/>
      <c r="AB484" s="103"/>
    </row>
    <row r="485" spans="1:28" s="70" customFormat="1" ht="14.25" x14ac:dyDescent="0.2">
      <c r="A485" s="60"/>
      <c r="B485" s="146"/>
      <c r="C485" s="152"/>
      <c r="D485" s="153"/>
      <c r="E485" s="122"/>
      <c r="F485" s="122"/>
      <c r="G485" s="122"/>
      <c r="H485" s="123"/>
      <c r="I485" s="135"/>
      <c r="J485" s="123"/>
      <c r="K485" s="124"/>
      <c r="L485" s="123"/>
      <c r="M485" s="125"/>
      <c r="N485" s="131"/>
      <c r="O485" s="118"/>
      <c r="P485" s="455"/>
      <c r="Q485" s="455"/>
      <c r="R485" s="455"/>
      <c r="S485" s="455"/>
      <c r="T485" s="154"/>
      <c r="U485" s="155"/>
      <c r="V485" s="136"/>
      <c r="W485" s="63"/>
      <c r="X485" s="63"/>
      <c r="Y485" s="62"/>
      <c r="Z485" s="62"/>
      <c r="AA485" s="103"/>
      <c r="AB485" s="103"/>
    </row>
    <row r="486" spans="1:28" s="70" customFormat="1" ht="14.25" x14ac:dyDescent="0.2">
      <c r="A486" s="60"/>
      <c r="B486" s="146" t="s">
        <v>361</v>
      </c>
      <c r="C486" s="152">
        <v>44</v>
      </c>
      <c r="D486" s="153" t="s">
        <v>60</v>
      </c>
      <c r="E486" s="122">
        <v>0.12</v>
      </c>
      <c r="F486" s="122">
        <f>C486*E486</f>
        <v>5.2799999999999994</v>
      </c>
      <c r="G486" s="122">
        <f>$H$11*E486</f>
        <v>4.8</v>
      </c>
      <c r="H486" s="123">
        <f>F486*$H$11</f>
        <v>211.2</v>
      </c>
      <c r="I486" s="135">
        <v>10</v>
      </c>
      <c r="J486" s="123">
        <f>C486*I486</f>
        <v>440</v>
      </c>
      <c r="K486" s="124">
        <f>SUM(H486,J486)</f>
        <v>651.20000000000005</v>
      </c>
      <c r="L486" s="123">
        <f>K486/C486</f>
        <v>14.8</v>
      </c>
      <c r="M486" s="125">
        <f>C486*L486</f>
        <v>651.20000000000005</v>
      </c>
      <c r="N486" s="131">
        <v>0</v>
      </c>
      <c r="O486" s="118">
        <f>M486*N486</f>
        <v>0</v>
      </c>
      <c r="P486" s="455"/>
      <c r="Q486" s="455"/>
      <c r="R486" s="455"/>
      <c r="S486" s="455"/>
      <c r="T486" s="154"/>
      <c r="U486" s="155"/>
      <c r="V486" s="136"/>
      <c r="W486" s="63"/>
      <c r="X486" s="63"/>
      <c r="Y486" s="62"/>
      <c r="Z486" s="62"/>
      <c r="AA486" s="103"/>
      <c r="AB486" s="103"/>
    </row>
    <row r="487" spans="1:28" s="70" customFormat="1" ht="14.25" x14ac:dyDescent="0.2">
      <c r="A487" s="60"/>
      <c r="B487" s="114"/>
      <c r="C487" s="152"/>
      <c r="D487" s="153"/>
      <c r="E487" s="122"/>
      <c r="F487" s="122"/>
      <c r="G487" s="122"/>
      <c r="H487" s="123"/>
      <c r="I487" s="135"/>
      <c r="J487" s="123"/>
      <c r="K487" s="124"/>
      <c r="L487" s="123"/>
      <c r="M487" s="125"/>
      <c r="N487" s="131"/>
      <c r="O487" s="118"/>
      <c r="P487" s="455"/>
      <c r="Q487" s="455"/>
      <c r="R487" s="455"/>
      <c r="S487" s="455"/>
      <c r="T487" s="154"/>
      <c r="U487" s="155"/>
      <c r="V487" s="136"/>
      <c r="W487" s="63"/>
      <c r="X487" s="63"/>
      <c r="Y487" s="62"/>
      <c r="Z487" s="62"/>
      <c r="AA487" s="103"/>
      <c r="AB487" s="103"/>
    </row>
    <row r="488" spans="1:28" s="70" customFormat="1" ht="14.25" x14ac:dyDescent="0.2">
      <c r="A488" s="60"/>
      <c r="B488" s="165" t="s">
        <v>65</v>
      </c>
      <c r="C488" s="152"/>
      <c r="D488" s="153"/>
      <c r="E488" s="122"/>
      <c r="F488" s="122"/>
      <c r="G488" s="122"/>
      <c r="H488" s="123"/>
      <c r="I488" s="135"/>
      <c r="J488" s="123"/>
      <c r="K488" s="124"/>
      <c r="L488" s="123"/>
      <c r="M488" s="125"/>
      <c r="N488" s="131"/>
      <c r="O488" s="118"/>
      <c r="P488" s="455"/>
      <c r="Q488" s="455"/>
      <c r="R488" s="455"/>
      <c r="S488" s="455"/>
      <c r="T488" s="154"/>
      <c r="U488" s="155"/>
      <c r="V488" s="136"/>
      <c r="W488" s="63"/>
      <c r="X488" s="63"/>
      <c r="Y488" s="62"/>
      <c r="Z488" s="62"/>
      <c r="AA488" s="103"/>
      <c r="AB488" s="103"/>
    </row>
    <row r="489" spans="1:28" s="70" customFormat="1" ht="14.25" x14ac:dyDescent="0.2">
      <c r="A489" s="60"/>
      <c r="B489" s="151" t="s">
        <v>138</v>
      </c>
      <c r="C489" s="152">
        <v>56</v>
      </c>
      <c r="D489" s="153" t="s">
        <v>45</v>
      </c>
      <c r="E489" s="392">
        <v>0.4</v>
      </c>
      <c r="F489" s="122">
        <f>C489*E489</f>
        <v>22.400000000000002</v>
      </c>
      <c r="G489" s="122">
        <f>$H$11*E489</f>
        <v>16</v>
      </c>
      <c r="H489" s="123">
        <f>F489*$H$11</f>
        <v>896.00000000000011</v>
      </c>
      <c r="I489" s="135">
        <v>32</v>
      </c>
      <c r="J489" s="123">
        <f>C489*I489</f>
        <v>1792</v>
      </c>
      <c r="K489" s="124">
        <f>SUM(H489,J489)</f>
        <v>2688</v>
      </c>
      <c r="L489" s="123">
        <f>K489/C489</f>
        <v>48</v>
      </c>
      <c r="M489" s="125">
        <f>C489*L489</f>
        <v>2688</v>
      </c>
      <c r="N489" s="131">
        <v>0</v>
      </c>
      <c r="O489" s="118">
        <f>M489*N489</f>
        <v>0</v>
      </c>
      <c r="P489" s="455"/>
      <c r="Q489" s="455"/>
      <c r="R489" s="455"/>
      <c r="S489" s="455"/>
      <c r="T489" s="154"/>
      <c r="U489" s="155"/>
      <c r="V489" s="136"/>
      <c r="W489" s="63"/>
      <c r="X489" s="63"/>
      <c r="Y489" s="62"/>
      <c r="Z489" s="62"/>
      <c r="AA489" s="103"/>
      <c r="AB489" s="103"/>
    </row>
    <row r="490" spans="1:28" s="70" customFormat="1" ht="14.25" x14ac:dyDescent="0.2">
      <c r="A490" s="60"/>
      <c r="B490" s="151" t="s">
        <v>139</v>
      </c>
      <c r="C490" s="152">
        <v>38</v>
      </c>
      <c r="D490" s="153" t="s">
        <v>46</v>
      </c>
      <c r="E490" s="122">
        <v>0.2</v>
      </c>
      <c r="F490" s="122">
        <f>C490*E490</f>
        <v>7.6000000000000005</v>
      </c>
      <c r="G490" s="122">
        <f>$H$11*E490</f>
        <v>8</v>
      </c>
      <c r="H490" s="123">
        <f>F490*$H$11</f>
        <v>304</v>
      </c>
      <c r="I490" s="135">
        <v>0</v>
      </c>
      <c r="J490" s="123">
        <f>C490*I490</f>
        <v>0</v>
      </c>
      <c r="K490" s="124">
        <f>SUM(H490,J490)</f>
        <v>304</v>
      </c>
      <c r="L490" s="123">
        <f>K490/C490</f>
        <v>8</v>
      </c>
      <c r="M490" s="125">
        <f>C490*L490</f>
        <v>304</v>
      </c>
      <c r="N490" s="131">
        <v>0</v>
      </c>
      <c r="O490" s="118">
        <f>M490*N490</f>
        <v>0</v>
      </c>
      <c r="P490" s="455"/>
      <c r="Q490" s="455"/>
      <c r="R490" s="455"/>
      <c r="S490" s="455"/>
      <c r="T490" s="154"/>
      <c r="U490" s="155"/>
      <c r="V490" s="136"/>
      <c r="W490" s="63"/>
      <c r="X490" s="63"/>
      <c r="Y490" s="62"/>
      <c r="Z490" s="62"/>
      <c r="AA490" s="103"/>
      <c r="AB490" s="103"/>
    </row>
    <row r="491" spans="1:28" s="70" customFormat="1" ht="14.25" x14ac:dyDescent="0.2">
      <c r="A491" s="60"/>
      <c r="B491" s="151" t="s">
        <v>105</v>
      </c>
      <c r="C491" s="152">
        <v>76</v>
      </c>
      <c r="D491" s="153" t="s">
        <v>46</v>
      </c>
      <c r="E491" s="122">
        <v>0.1</v>
      </c>
      <c r="F491" s="122">
        <f>C491*E491</f>
        <v>7.6000000000000005</v>
      </c>
      <c r="G491" s="122">
        <f>$H$11*E491</f>
        <v>4</v>
      </c>
      <c r="H491" s="123">
        <f>F491*$H$11</f>
        <v>304</v>
      </c>
      <c r="I491" s="135">
        <v>2.5</v>
      </c>
      <c r="J491" s="123">
        <f>C491*I491</f>
        <v>190</v>
      </c>
      <c r="K491" s="124">
        <f>SUM(H491,J491)</f>
        <v>494</v>
      </c>
      <c r="L491" s="123">
        <f>K491/C491</f>
        <v>6.5</v>
      </c>
      <c r="M491" s="125">
        <f>C491*L491</f>
        <v>494</v>
      </c>
      <c r="N491" s="131">
        <v>0</v>
      </c>
      <c r="O491" s="118">
        <f>M491*N491</f>
        <v>0</v>
      </c>
      <c r="P491" s="455"/>
      <c r="Q491" s="455"/>
      <c r="R491" s="455"/>
      <c r="S491" s="455"/>
      <c r="T491" s="154"/>
      <c r="U491" s="155"/>
      <c r="V491" s="136"/>
      <c r="W491" s="63"/>
      <c r="X491" s="63"/>
      <c r="Y491" s="62"/>
      <c r="Z491" s="62"/>
      <c r="AA491" s="103"/>
      <c r="AB491" s="103"/>
    </row>
    <row r="492" spans="1:28" s="70" customFormat="1" ht="14.25" x14ac:dyDescent="0.2">
      <c r="A492" s="60"/>
      <c r="B492" s="151"/>
      <c r="C492" s="152"/>
      <c r="D492" s="153"/>
      <c r="E492" s="122"/>
      <c r="F492" s="122"/>
      <c r="G492" s="122"/>
      <c r="H492" s="123"/>
      <c r="I492" s="135"/>
      <c r="J492" s="123"/>
      <c r="K492" s="124"/>
      <c r="L492" s="123"/>
      <c r="M492" s="125"/>
      <c r="N492" s="131"/>
      <c r="O492" s="118"/>
      <c r="P492" s="455"/>
      <c r="Q492" s="455"/>
      <c r="R492" s="455"/>
      <c r="S492" s="455"/>
      <c r="T492" s="154"/>
      <c r="U492" s="155"/>
      <c r="V492" s="136"/>
      <c r="W492" s="63"/>
      <c r="X492" s="63"/>
      <c r="Y492" s="62"/>
      <c r="Z492" s="62"/>
      <c r="AA492" s="103"/>
      <c r="AB492" s="103"/>
    </row>
    <row r="493" spans="1:28" s="70" customFormat="1" ht="14.25" x14ac:dyDescent="0.2">
      <c r="A493" s="60"/>
      <c r="B493" s="151" t="s">
        <v>141</v>
      </c>
      <c r="C493" s="152">
        <v>17</v>
      </c>
      <c r="D493" s="153" t="s">
        <v>45</v>
      </c>
      <c r="E493" s="392">
        <v>0.4</v>
      </c>
      <c r="F493" s="122">
        <f>C493*E493</f>
        <v>6.8000000000000007</v>
      </c>
      <c r="G493" s="122">
        <f>$H$11*E493</f>
        <v>16</v>
      </c>
      <c r="H493" s="123">
        <f>F493*$H$11</f>
        <v>272</v>
      </c>
      <c r="I493" s="135">
        <v>32</v>
      </c>
      <c r="J493" s="123">
        <f>C493*I493</f>
        <v>544</v>
      </c>
      <c r="K493" s="124">
        <f>SUM(H493,J493)</f>
        <v>816</v>
      </c>
      <c r="L493" s="123">
        <f>K493/C493</f>
        <v>48</v>
      </c>
      <c r="M493" s="125">
        <f>C493*L493</f>
        <v>816</v>
      </c>
      <c r="N493" s="131">
        <v>0</v>
      </c>
      <c r="O493" s="118">
        <f>M493*N493</f>
        <v>0</v>
      </c>
      <c r="P493" s="455"/>
      <c r="Q493" s="455"/>
      <c r="R493" s="455"/>
      <c r="S493" s="455"/>
      <c r="T493" s="154"/>
      <c r="U493" s="155"/>
      <c r="V493" s="136"/>
      <c r="W493" s="63"/>
      <c r="X493" s="63"/>
      <c r="Y493" s="62"/>
      <c r="Z493" s="62"/>
      <c r="AA493" s="103"/>
      <c r="AB493" s="103"/>
    </row>
    <row r="494" spans="1:28" s="70" customFormat="1" ht="14.25" x14ac:dyDescent="0.2">
      <c r="A494" s="60"/>
      <c r="B494" s="151" t="s">
        <v>139</v>
      </c>
      <c r="C494" s="152">
        <v>46</v>
      </c>
      <c r="D494" s="153" t="s">
        <v>46</v>
      </c>
      <c r="E494" s="122">
        <v>0.2</v>
      </c>
      <c r="F494" s="122">
        <f>C494*E494</f>
        <v>9.2000000000000011</v>
      </c>
      <c r="G494" s="122">
        <f>$H$11*E494</f>
        <v>8</v>
      </c>
      <c r="H494" s="123">
        <f>F494*$H$11</f>
        <v>368.00000000000006</v>
      </c>
      <c r="I494" s="135">
        <v>0</v>
      </c>
      <c r="J494" s="123">
        <f>C494*I494</f>
        <v>0</v>
      </c>
      <c r="K494" s="124">
        <f>SUM(H494,J494)</f>
        <v>368.00000000000006</v>
      </c>
      <c r="L494" s="123">
        <f>K494/C494</f>
        <v>8.0000000000000018</v>
      </c>
      <c r="M494" s="125">
        <f>C494*L494</f>
        <v>368.00000000000006</v>
      </c>
      <c r="N494" s="131">
        <v>0</v>
      </c>
      <c r="O494" s="118">
        <f>M494*N494</f>
        <v>0</v>
      </c>
      <c r="P494" s="455"/>
      <c r="Q494" s="455"/>
      <c r="R494" s="455"/>
      <c r="S494" s="455"/>
      <c r="T494" s="154"/>
      <c r="U494" s="155"/>
      <c r="V494" s="136"/>
      <c r="W494" s="63"/>
      <c r="X494" s="63"/>
      <c r="Y494" s="62"/>
      <c r="Z494" s="62"/>
      <c r="AA494" s="103"/>
      <c r="AB494" s="103"/>
    </row>
    <row r="495" spans="1:28" s="70" customFormat="1" ht="14.25" x14ac:dyDescent="0.2">
      <c r="A495" s="60"/>
      <c r="B495" s="151" t="s">
        <v>105</v>
      </c>
      <c r="C495" s="152">
        <v>46</v>
      </c>
      <c r="D495" s="153" t="s">
        <v>46</v>
      </c>
      <c r="E495" s="122">
        <v>0.1</v>
      </c>
      <c r="F495" s="122">
        <f>C495*E495</f>
        <v>4.6000000000000005</v>
      </c>
      <c r="G495" s="122">
        <f>$H$11*E495</f>
        <v>4</v>
      </c>
      <c r="H495" s="123">
        <f>F495*$H$11</f>
        <v>184.00000000000003</v>
      </c>
      <c r="I495" s="135">
        <v>2.5</v>
      </c>
      <c r="J495" s="123">
        <f>C495*I495</f>
        <v>115</v>
      </c>
      <c r="K495" s="124">
        <f>SUM(H495,J495)</f>
        <v>299</v>
      </c>
      <c r="L495" s="123">
        <f>K495/C495</f>
        <v>6.5</v>
      </c>
      <c r="M495" s="125">
        <f>C495*L495</f>
        <v>299</v>
      </c>
      <c r="N495" s="131">
        <v>0</v>
      </c>
      <c r="O495" s="118">
        <f>M495*N495</f>
        <v>0</v>
      </c>
      <c r="P495" s="455"/>
      <c r="Q495" s="455"/>
      <c r="R495" s="455"/>
      <c r="S495" s="455"/>
      <c r="T495" s="154"/>
      <c r="U495" s="155"/>
      <c r="V495" s="136"/>
      <c r="W495" s="63"/>
      <c r="X495" s="63"/>
      <c r="Y495" s="62"/>
      <c r="Z495" s="62"/>
      <c r="AA495" s="103"/>
      <c r="AB495" s="103"/>
    </row>
    <row r="496" spans="1:28" s="70" customFormat="1" ht="14.25" x14ac:dyDescent="0.2">
      <c r="A496" s="60"/>
      <c r="B496" s="151"/>
      <c r="C496" s="152"/>
      <c r="D496" s="153"/>
      <c r="E496" s="122"/>
      <c r="F496" s="122"/>
      <c r="G496" s="122"/>
      <c r="H496" s="123"/>
      <c r="I496" s="135"/>
      <c r="J496" s="123"/>
      <c r="K496" s="124"/>
      <c r="L496" s="123"/>
      <c r="M496" s="125"/>
      <c r="N496" s="131"/>
      <c r="O496" s="118"/>
      <c r="P496" s="455"/>
      <c r="Q496" s="455"/>
      <c r="R496" s="455"/>
      <c r="S496" s="455"/>
      <c r="T496" s="154"/>
      <c r="U496" s="155"/>
      <c r="V496" s="136"/>
      <c r="W496" s="63"/>
      <c r="X496" s="63"/>
      <c r="Y496" s="62"/>
      <c r="Z496" s="62"/>
      <c r="AA496" s="103"/>
      <c r="AB496" s="103"/>
    </row>
    <row r="497" spans="1:28" s="70" customFormat="1" ht="14.25" x14ac:dyDescent="0.2">
      <c r="A497" s="60"/>
      <c r="B497" s="151" t="s">
        <v>140</v>
      </c>
      <c r="C497" s="152">
        <v>5</v>
      </c>
      <c r="D497" s="153" t="s">
        <v>45</v>
      </c>
      <c r="E497" s="392">
        <v>0.4</v>
      </c>
      <c r="F497" s="122">
        <f>C497*E497</f>
        <v>2</v>
      </c>
      <c r="G497" s="122">
        <f>$H$11*E497</f>
        <v>16</v>
      </c>
      <c r="H497" s="123">
        <f>F497*$H$11</f>
        <v>80</v>
      </c>
      <c r="I497" s="135">
        <v>32</v>
      </c>
      <c r="J497" s="123">
        <f>C497*I497</f>
        <v>160</v>
      </c>
      <c r="K497" s="124">
        <f>SUM(H497,J497)</f>
        <v>240</v>
      </c>
      <c r="L497" s="123">
        <f>K497/C497</f>
        <v>48</v>
      </c>
      <c r="M497" s="125">
        <f>C497*L497</f>
        <v>240</v>
      </c>
      <c r="N497" s="131">
        <v>0</v>
      </c>
      <c r="O497" s="118">
        <f>M497*N497</f>
        <v>0</v>
      </c>
      <c r="P497" s="455"/>
      <c r="Q497" s="455"/>
      <c r="R497" s="455"/>
      <c r="S497" s="455"/>
      <c r="T497" s="154"/>
      <c r="U497" s="155"/>
      <c r="V497" s="136"/>
      <c r="W497" s="63"/>
      <c r="X497" s="63"/>
      <c r="Y497" s="62"/>
      <c r="Z497" s="62"/>
      <c r="AA497" s="103"/>
      <c r="AB497" s="103"/>
    </row>
    <row r="498" spans="1:28" s="70" customFormat="1" ht="14.25" x14ac:dyDescent="0.2">
      <c r="A498" s="60"/>
      <c r="B498" s="151" t="s">
        <v>139</v>
      </c>
      <c r="C498" s="152">
        <v>10</v>
      </c>
      <c r="D498" s="153" t="s">
        <v>46</v>
      </c>
      <c r="E498" s="122">
        <v>0.2</v>
      </c>
      <c r="F498" s="122">
        <f>C498*E498</f>
        <v>2</v>
      </c>
      <c r="G498" s="122">
        <f>$H$11*E498</f>
        <v>8</v>
      </c>
      <c r="H498" s="123">
        <f>F498*$H$11</f>
        <v>80</v>
      </c>
      <c r="I498" s="135">
        <v>0</v>
      </c>
      <c r="J498" s="123">
        <f>C498*I498</f>
        <v>0</v>
      </c>
      <c r="K498" s="124">
        <f>SUM(H498,J498)</f>
        <v>80</v>
      </c>
      <c r="L498" s="123">
        <f>K498/C498</f>
        <v>8</v>
      </c>
      <c r="M498" s="125">
        <f>C498*L498</f>
        <v>80</v>
      </c>
      <c r="N498" s="131">
        <v>0</v>
      </c>
      <c r="O498" s="118">
        <f>M498*N498</f>
        <v>0</v>
      </c>
      <c r="P498" s="455"/>
      <c r="Q498" s="455"/>
      <c r="R498" s="455"/>
      <c r="S498" s="455"/>
      <c r="T498" s="154"/>
      <c r="U498" s="155"/>
      <c r="V498" s="136"/>
      <c r="W498" s="63"/>
      <c r="X498" s="63"/>
      <c r="Y498" s="62"/>
      <c r="Z498" s="62"/>
      <c r="AA498" s="103"/>
      <c r="AB498" s="103"/>
    </row>
    <row r="499" spans="1:28" s="70" customFormat="1" ht="14.25" x14ac:dyDescent="0.2">
      <c r="A499" s="60"/>
      <c r="B499" s="151" t="s">
        <v>105</v>
      </c>
      <c r="C499" s="152">
        <v>10</v>
      </c>
      <c r="D499" s="153" t="s">
        <v>46</v>
      </c>
      <c r="E499" s="122">
        <v>0.1</v>
      </c>
      <c r="F499" s="122">
        <f>C499*E499</f>
        <v>1</v>
      </c>
      <c r="G499" s="122">
        <f>$H$11*E499</f>
        <v>4</v>
      </c>
      <c r="H499" s="123">
        <f>F499*$H$11</f>
        <v>40</v>
      </c>
      <c r="I499" s="135">
        <v>2.5</v>
      </c>
      <c r="J499" s="123">
        <f>C499*I499</f>
        <v>25</v>
      </c>
      <c r="K499" s="124">
        <f>SUM(H499,J499)</f>
        <v>65</v>
      </c>
      <c r="L499" s="123">
        <f>K499/C499</f>
        <v>6.5</v>
      </c>
      <c r="M499" s="125">
        <f>C499*L499</f>
        <v>65</v>
      </c>
      <c r="N499" s="131">
        <v>0</v>
      </c>
      <c r="O499" s="118">
        <f>M499*N499</f>
        <v>0</v>
      </c>
      <c r="P499" s="455"/>
      <c r="Q499" s="455"/>
      <c r="R499" s="455"/>
      <c r="S499" s="455"/>
      <c r="T499" s="154"/>
      <c r="U499" s="155"/>
      <c r="V499" s="136"/>
      <c r="W499" s="63"/>
      <c r="X499" s="63"/>
      <c r="Y499" s="62"/>
      <c r="Z499" s="62"/>
      <c r="AA499" s="103"/>
      <c r="AB499" s="103"/>
    </row>
    <row r="500" spans="1:28" s="70" customFormat="1" ht="14.25" x14ac:dyDescent="0.2">
      <c r="A500" s="60"/>
      <c r="B500" s="151"/>
      <c r="C500" s="152"/>
      <c r="D500" s="153"/>
      <c r="E500" s="122"/>
      <c r="F500" s="122"/>
      <c r="G500" s="122"/>
      <c r="H500" s="123"/>
      <c r="I500" s="135"/>
      <c r="J500" s="123"/>
      <c r="K500" s="124"/>
      <c r="L500" s="123"/>
      <c r="M500" s="125"/>
      <c r="N500" s="131"/>
      <c r="O500" s="118"/>
      <c r="P500" s="455"/>
      <c r="Q500" s="455"/>
      <c r="R500" s="455"/>
      <c r="S500" s="455"/>
      <c r="T500" s="154"/>
      <c r="U500" s="155"/>
      <c r="V500" s="136"/>
      <c r="W500" s="63"/>
      <c r="X500" s="63"/>
      <c r="Y500" s="62"/>
      <c r="Z500" s="62"/>
      <c r="AA500" s="103"/>
      <c r="AB500" s="103"/>
    </row>
    <row r="501" spans="1:28" s="70" customFormat="1" ht="14.25" x14ac:dyDescent="0.2">
      <c r="A501" s="60"/>
      <c r="B501" s="151" t="s">
        <v>142</v>
      </c>
      <c r="C501" s="152">
        <v>7</v>
      </c>
      <c r="D501" s="153" t="s">
        <v>45</v>
      </c>
      <c r="E501" s="392">
        <v>0.4</v>
      </c>
      <c r="F501" s="122">
        <f>C501*E501</f>
        <v>2.8000000000000003</v>
      </c>
      <c r="G501" s="122">
        <f>$H$11*E501</f>
        <v>16</v>
      </c>
      <c r="H501" s="123">
        <f>F501*$H$11</f>
        <v>112.00000000000001</v>
      </c>
      <c r="I501" s="135">
        <v>32</v>
      </c>
      <c r="J501" s="123">
        <f>C501*I501</f>
        <v>224</v>
      </c>
      <c r="K501" s="124">
        <f>SUM(H501,J501)</f>
        <v>336</v>
      </c>
      <c r="L501" s="123">
        <f>K501/C501</f>
        <v>48</v>
      </c>
      <c r="M501" s="125">
        <f>C501*L501</f>
        <v>336</v>
      </c>
      <c r="N501" s="131">
        <v>0</v>
      </c>
      <c r="O501" s="118">
        <f>M501*N501</f>
        <v>0</v>
      </c>
      <c r="P501" s="455"/>
      <c r="Q501" s="455"/>
      <c r="R501" s="455"/>
      <c r="S501" s="455"/>
      <c r="U501" s="155"/>
      <c r="V501" s="136"/>
      <c r="W501" s="63"/>
      <c r="X501" s="63"/>
      <c r="Y501" s="62"/>
      <c r="Z501" s="62"/>
      <c r="AA501" s="103"/>
      <c r="AB501" s="103"/>
    </row>
    <row r="502" spans="1:28" s="70" customFormat="1" ht="14.25" x14ac:dyDescent="0.2">
      <c r="A502" s="60"/>
      <c r="B502" s="151" t="s">
        <v>139</v>
      </c>
      <c r="C502" s="152">
        <v>10</v>
      </c>
      <c r="D502" s="153" t="s">
        <v>46</v>
      </c>
      <c r="E502" s="122">
        <v>0.2</v>
      </c>
      <c r="F502" s="122">
        <f>C502*E502</f>
        <v>2</v>
      </c>
      <c r="G502" s="122">
        <f>$H$11*E502</f>
        <v>8</v>
      </c>
      <c r="H502" s="123">
        <f>F502*$H$11</f>
        <v>80</v>
      </c>
      <c r="I502" s="135">
        <v>0</v>
      </c>
      <c r="J502" s="123">
        <f>C502*I502</f>
        <v>0</v>
      </c>
      <c r="K502" s="124">
        <f>SUM(H502,J502)</f>
        <v>80</v>
      </c>
      <c r="L502" s="123">
        <f>K502/C502</f>
        <v>8</v>
      </c>
      <c r="M502" s="125">
        <f>C502*L502</f>
        <v>80</v>
      </c>
      <c r="N502" s="131">
        <v>0</v>
      </c>
      <c r="O502" s="118">
        <f>M502*N502</f>
        <v>0</v>
      </c>
      <c r="P502" s="455"/>
      <c r="Q502" s="455"/>
      <c r="R502" s="455"/>
      <c r="S502" s="455"/>
      <c r="T502" s="154"/>
      <c r="U502" s="155"/>
      <c r="V502" s="136"/>
      <c r="W502" s="63"/>
      <c r="X502" s="63"/>
      <c r="Y502" s="62"/>
      <c r="Z502" s="62"/>
      <c r="AA502" s="103"/>
      <c r="AB502" s="103"/>
    </row>
    <row r="503" spans="1:28" s="70" customFormat="1" ht="14.25" x14ac:dyDescent="0.2">
      <c r="A503" s="60"/>
      <c r="B503" s="151"/>
      <c r="C503" s="152"/>
      <c r="D503" s="153"/>
      <c r="E503" s="122"/>
      <c r="F503" s="122"/>
      <c r="G503" s="122"/>
      <c r="H503" s="123"/>
      <c r="I503" s="135"/>
      <c r="J503" s="123"/>
      <c r="K503" s="124"/>
      <c r="L503" s="123"/>
      <c r="M503" s="125"/>
      <c r="N503" s="131"/>
      <c r="O503" s="118"/>
      <c r="P503" s="455"/>
      <c r="Q503" s="455"/>
      <c r="R503" s="455"/>
      <c r="S503" s="455"/>
      <c r="T503" s="154"/>
      <c r="U503" s="155"/>
      <c r="V503" s="136"/>
      <c r="W503" s="63"/>
      <c r="X503" s="63"/>
      <c r="Y503" s="62"/>
      <c r="Z503" s="62"/>
      <c r="AA503" s="103"/>
      <c r="AB503" s="103"/>
    </row>
    <row r="504" spans="1:28" s="70" customFormat="1" ht="14.25" x14ac:dyDescent="0.2">
      <c r="A504" s="60"/>
      <c r="B504" s="151" t="s">
        <v>260</v>
      </c>
      <c r="C504" s="152">
        <v>1</v>
      </c>
      <c r="D504" s="153" t="s">
        <v>45</v>
      </c>
      <c r="E504" s="392">
        <v>0.4</v>
      </c>
      <c r="F504" s="122">
        <f>C504*E504</f>
        <v>0.4</v>
      </c>
      <c r="G504" s="122">
        <f>$H$11*E504</f>
        <v>16</v>
      </c>
      <c r="H504" s="123">
        <f>F504*$H$11</f>
        <v>16</v>
      </c>
      <c r="I504" s="135">
        <v>32</v>
      </c>
      <c r="J504" s="123">
        <f>C504*I504</f>
        <v>32</v>
      </c>
      <c r="K504" s="124">
        <f>SUM(H504,J504)</f>
        <v>48</v>
      </c>
      <c r="L504" s="123">
        <f>K504/C504</f>
        <v>48</v>
      </c>
      <c r="M504" s="125">
        <f>C504*L504</f>
        <v>48</v>
      </c>
      <c r="N504" s="131">
        <v>0</v>
      </c>
      <c r="O504" s="118">
        <f>M504*N504</f>
        <v>0</v>
      </c>
      <c r="P504" s="455"/>
      <c r="Q504" s="455"/>
      <c r="R504" s="455"/>
      <c r="S504" s="455"/>
      <c r="T504" s="265">
        <f>SUM(C450,C452,C454,C455,C456,C457,C460,C463,C464,C465,C471,C475,C479,C483,C489,C493,C497,C501,C504)</f>
        <v>1091</v>
      </c>
      <c r="U504" s="155"/>
      <c r="V504" s="136"/>
      <c r="W504" s="63"/>
      <c r="X504" s="63"/>
      <c r="Y504" s="62"/>
      <c r="Z504" s="62"/>
      <c r="AA504" s="103"/>
      <c r="AB504" s="103"/>
    </row>
    <row r="505" spans="1:28" s="70" customFormat="1" ht="14.25" x14ac:dyDescent="0.2">
      <c r="A505" s="60"/>
      <c r="B505" s="151" t="s">
        <v>139</v>
      </c>
      <c r="C505" s="152">
        <v>14</v>
      </c>
      <c r="D505" s="153" t="s">
        <v>46</v>
      </c>
      <c r="E505" s="122">
        <v>0.2</v>
      </c>
      <c r="F505" s="122">
        <f>C505*E505</f>
        <v>2.8000000000000003</v>
      </c>
      <c r="G505" s="122">
        <f>$H$11*E505</f>
        <v>8</v>
      </c>
      <c r="H505" s="123">
        <f>F505*$H$11</f>
        <v>112.00000000000001</v>
      </c>
      <c r="I505" s="135">
        <v>0</v>
      </c>
      <c r="J505" s="123">
        <f>C505*I505</f>
        <v>0</v>
      </c>
      <c r="K505" s="124">
        <f>SUM(H505,J505)</f>
        <v>112.00000000000001</v>
      </c>
      <c r="L505" s="123">
        <f>K505/C505</f>
        <v>8.0000000000000018</v>
      </c>
      <c r="M505" s="125">
        <f>C505*L505</f>
        <v>112.00000000000003</v>
      </c>
      <c r="N505" s="131">
        <v>0</v>
      </c>
      <c r="O505" s="118">
        <f>M505*N505</f>
        <v>0</v>
      </c>
      <c r="P505" s="455"/>
      <c r="Q505" s="455"/>
      <c r="R505" s="455"/>
      <c r="S505" s="455"/>
      <c r="T505" s="154"/>
      <c r="U505" s="155"/>
      <c r="V505" s="136"/>
      <c r="W505" s="63"/>
      <c r="X505" s="63"/>
      <c r="Y505" s="62"/>
      <c r="Z505" s="62"/>
      <c r="AA505" s="103"/>
      <c r="AB505" s="103"/>
    </row>
    <row r="506" spans="1:28" s="70" customFormat="1" ht="14.25" x14ac:dyDescent="0.2">
      <c r="A506" s="60"/>
      <c r="B506" s="151" t="s">
        <v>105</v>
      </c>
      <c r="C506" s="152">
        <v>14</v>
      </c>
      <c r="D506" s="153" t="s">
        <v>46</v>
      </c>
      <c r="E506" s="122">
        <v>0.1</v>
      </c>
      <c r="F506" s="122">
        <f>C506*E506</f>
        <v>1.4000000000000001</v>
      </c>
      <c r="G506" s="122">
        <f>$H$11*E506</f>
        <v>4</v>
      </c>
      <c r="H506" s="123">
        <f>F506*$H$11</f>
        <v>56.000000000000007</v>
      </c>
      <c r="I506" s="135">
        <v>2.5</v>
      </c>
      <c r="J506" s="123">
        <f>C506*I506</f>
        <v>35</v>
      </c>
      <c r="K506" s="124">
        <f>SUM(H506,J506)</f>
        <v>91</v>
      </c>
      <c r="L506" s="123">
        <f>K506/C506</f>
        <v>6.5</v>
      </c>
      <c r="M506" s="125">
        <f>C506*L506</f>
        <v>91</v>
      </c>
      <c r="N506" s="131">
        <v>0</v>
      </c>
      <c r="O506" s="118">
        <f>M506*N506</f>
        <v>0</v>
      </c>
      <c r="P506" s="455"/>
      <c r="Q506" s="455"/>
      <c r="R506" s="455"/>
      <c r="S506" s="455"/>
      <c r="T506" s="154"/>
      <c r="U506" s="155"/>
      <c r="V506" s="136"/>
      <c r="W506" s="63"/>
      <c r="X506" s="63"/>
      <c r="Y506" s="62"/>
      <c r="Z506" s="62"/>
      <c r="AA506" s="103"/>
      <c r="AB506" s="103"/>
    </row>
    <row r="507" spans="1:28" s="70" customFormat="1" ht="14.25" x14ac:dyDescent="0.2">
      <c r="A507" s="60"/>
      <c r="B507" s="151"/>
      <c r="C507" s="152"/>
      <c r="D507" s="153"/>
      <c r="E507" s="122"/>
      <c r="F507" s="122"/>
      <c r="G507" s="122"/>
      <c r="H507" s="123"/>
      <c r="I507" s="135"/>
      <c r="J507" s="123"/>
      <c r="K507" s="124"/>
      <c r="L507" s="123"/>
      <c r="M507" s="125">
        <f>-T448</f>
        <v>-1235</v>
      </c>
      <c r="N507" s="131"/>
      <c r="O507" s="118"/>
      <c r="P507" s="455"/>
      <c r="Q507" s="455"/>
      <c r="R507" s="455"/>
      <c r="S507" s="455"/>
      <c r="T507" s="154"/>
      <c r="U507" s="155"/>
      <c r="V507" s="136"/>
      <c r="W507" s="63"/>
      <c r="X507" s="63"/>
      <c r="Y507" s="62"/>
      <c r="Z507" s="62"/>
      <c r="AA507" s="103"/>
      <c r="AB507" s="103"/>
    </row>
    <row r="508" spans="1:28" s="70" customFormat="1" ht="14.25" x14ac:dyDescent="0.2">
      <c r="A508" s="60"/>
      <c r="B508" s="151"/>
      <c r="C508" s="152"/>
      <c r="D508" s="153"/>
      <c r="E508" s="122"/>
      <c r="F508" s="122"/>
      <c r="G508" s="122"/>
      <c r="H508" s="123"/>
      <c r="I508" s="135"/>
      <c r="J508" s="123"/>
      <c r="K508" s="124"/>
      <c r="L508" s="123"/>
      <c r="M508" s="125"/>
      <c r="N508" s="131"/>
      <c r="O508" s="118"/>
      <c r="P508" s="452">
        <f>SUM(M450:M507)</f>
        <v>37314.449999999997</v>
      </c>
      <c r="Q508" s="450">
        <f>P508*SUM($L$585:$L$589)</f>
        <v>3544.8727499999995</v>
      </c>
      <c r="R508" s="266"/>
      <c r="S508" s="266"/>
      <c r="T508" s="154"/>
      <c r="U508" s="155"/>
      <c r="V508" s="136"/>
      <c r="W508" s="63"/>
      <c r="X508" s="63"/>
      <c r="Y508" s="62"/>
      <c r="Z508" s="62"/>
      <c r="AA508" s="103"/>
      <c r="AB508" s="103"/>
    </row>
    <row r="509" spans="1:28" s="70" customFormat="1" ht="14.25" x14ac:dyDescent="0.2">
      <c r="A509" s="60"/>
      <c r="B509" s="151"/>
      <c r="C509" s="152"/>
      <c r="D509" s="153"/>
      <c r="E509" s="122"/>
      <c r="F509" s="122"/>
      <c r="G509" s="122"/>
      <c r="H509" s="123"/>
      <c r="I509" s="135"/>
      <c r="J509" s="123"/>
      <c r="K509" s="124"/>
      <c r="L509" s="123"/>
      <c r="M509" s="125"/>
      <c r="N509" s="131"/>
      <c r="O509" s="118"/>
      <c r="P509" s="451">
        <f>P508/$M$582</f>
        <v>9.5838377668000962E-2</v>
      </c>
      <c r="Q509" s="452">
        <f>P509*$M$593</f>
        <v>809.17324608464389</v>
      </c>
      <c r="R509" s="452">
        <f>SUM(P508,Q508,Q509)</f>
        <v>41668.495996084646</v>
      </c>
      <c r="S509" s="452">
        <f>R509*1.08</f>
        <v>45001.97567577142</v>
      </c>
      <c r="T509" s="154"/>
      <c r="U509" s="155"/>
      <c r="V509" s="136"/>
      <c r="W509" s="63"/>
      <c r="X509" s="63"/>
      <c r="Y509" s="62"/>
      <c r="Z509" s="62"/>
      <c r="AA509" s="103"/>
      <c r="AB509" s="103"/>
    </row>
    <row r="510" spans="1:28" s="70" customFormat="1" ht="14.25" x14ac:dyDescent="0.2">
      <c r="A510" s="60"/>
      <c r="B510" s="151"/>
      <c r="C510" s="152"/>
      <c r="D510" s="153"/>
      <c r="E510" s="122"/>
      <c r="F510" s="122"/>
      <c r="G510" s="122"/>
      <c r="H510" s="123"/>
      <c r="I510" s="135"/>
      <c r="J510" s="123"/>
      <c r="K510" s="124"/>
      <c r="L510" s="123"/>
      <c r="M510" s="125"/>
      <c r="N510" s="131"/>
      <c r="O510" s="118"/>
      <c r="P510" s="455"/>
      <c r="Q510" s="455"/>
      <c r="R510" s="455"/>
      <c r="S510" s="455"/>
      <c r="T510" s="154"/>
      <c r="U510" s="155"/>
      <c r="V510" s="136"/>
      <c r="W510" s="63"/>
      <c r="X510" s="63"/>
      <c r="Y510" s="62"/>
      <c r="Z510" s="62"/>
      <c r="AA510" s="103"/>
      <c r="AB510" s="103"/>
    </row>
    <row r="511" spans="1:28" s="70" customFormat="1" ht="15" x14ac:dyDescent="0.2">
      <c r="A511" s="60"/>
      <c r="B511" s="169" t="s">
        <v>62</v>
      </c>
      <c r="C511" s="152"/>
      <c r="D511" s="153"/>
      <c r="E511" s="122"/>
      <c r="F511" s="122"/>
      <c r="G511" s="122"/>
      <c r="H511" s="123"/>
      <c r="I511" s="135"/>
      <c r="J511" s="123"/>
      <c r="K511" s="124"/>
      <c r="L511" s="123"/>
      <c r="M511" s="125"/>
      <c r="N511" s="131"/>
      <c r="O511" s="118"/>
      <c r="P511" s="455"/>
      <c r="Q511" s="455"/>
      <c r="R511" s="455"/>
      <c r="S511" s="455"/>
      <c r="T511" s="394">
        <f>SUM(C513,C515,C517,C518,C519,C520,C523,C526,C527,C527,C528,C534,C538,C542,C542,C546,C552,C552,C556,C556,C560,C560,C564,C564)</f>
        <v>1272</v>
      </c>
      <c r="U511" s="155"/>
      <c r="V511" s="136"/>
      <c r="W511" s="63"/>
      <c r="X511" s="63"/>
      <c r="Y511" s="62"/>
      <c r="Z511" s="62"/>
      <c r="AA511" s="103"/>
      <c r="AB511" s="103"/>
    </row>
    <row r="512" spans="1:28" s="70" customFormat="1" ht="14.25" x14ac:dyDescent="0.2">
      <c r="A512" s="60"/>
      <c r="B512" s="165" t="s">
        <v>72</v>
      </c>
      <c r="C512" s="152"/>
      <c r="D512" s="153"/>
      <c r="E512" s="122"/>
      <c r="F512" s="122"/>
      <c r="G512" s="122"/>
      <c r="H512" s="123"/>
      <c r="I512" s="135"/>
      <c r="J512" s="123"/>
      <c r="K512" s="124"/>
      <c r="L512" s="123"/>
      <c r="M512" s="125"/>
      <c r="N512" s="131"/>
      <c r="O512" s="118"/>
      <c r="P512" s="455"/>
      <c r="Q512" s="455"/>
      <c r="R512" s="455"/>
      <c r="S512" s="455"/>
      <c r="T512" s="154"/>
      <c r="U512" s="155"/>
      <c r="V512" s="136"/>
      <c r="W512" s="63"/>
      <c r="X512" s="63"/>
      <c r="Y512" s="62"/>
      <c r="Z512" s="62"/>
      <c r="AA512" s="103"/>
      <c r="AB512" s="103"/>
    </row>
    <row r="513" spans="1:28" s="70" customFormat="1" ht="14.25" x14ac:dyDescent="0.2">
      <c r="A513" s="60"/>
      <c r="B513" s="146" t="s">
        <v>133</v>
      </c>
      <c r="C513" s="152">
        <v>217</v>
      </c>
      <c r="D513" s="153" t="s">
        <v>45</v>
      </c>
      <c r="E513" s="390">
        <v>0.2</v>
      </c>
      <c r="F513" s="122">
        <f>C513*E513</f>
        <v>43.400000000000006</v>
      </c>
      <c r="G513" s="122">
        <f>$H$11*E513</f>
        <v>8</v>
      </c>
      <c r="H513" s="123">
        <f>F513*$H$11</f>
        <v>1736.0000000000002</v>
      </c>
      <c r="I513" s="135">
        <v>17.87</v>
      </c>
      <c r="J513" s="123">
        <f>C513*I513</f>
        <v>3877.7900000000004</v>
      </c>
      <c r="K513" s="124">
        <f>SUM(H513,J513)</f>
        <v>5613.7900000000009</v>
      </c>
      <c r="L513" s="123">
        <f>K513/C513</f>
        <v>25.870000000000005</v>
      </c>
      <c r="M513" s="125">
        <f>C513*L513</f>
        <v>5613.7900000000009</v>
      </c>
      <c r="N513" s="131">
        <v>0</v>
      </c>
      <c r="O513" s="118">
        <f>M513*N513</f>
        <v>0</v>
      </c>
      <c r="P513" s="455"/>
      <c r="Q513" s="455"/>
      <c r="R513" s="455"/>
      <c r="S513" s="455"/>
      <c r="T513" s="154"/>
      <c r="U513" s="155"/>
      <c r="V513" s="136"/>
      <c r="W513" s="63"/>
      <c r="X513" s="63"/>
      <c r="Y513" s="62"/>
      <c r="Z513" s="62"/>
      <c r="AA513" s="103"/>
      <c r="AB513" s="103"/>
    </row>
    <row r="514" spans="1:28" s="70" customFormat="1" ht="14.25" x14ac:dyDescent="0.2">
      <c r="A514" s="60"/>
      <c r="B514" s="146" t="s">
        <v>105</v>
      </c>
      <c r="C514" s="152">
        <v>104</v>
      </c>
      <c r="D514" s="153" t="s">
        <v>46</v>
      </c>
      <c r="E514" s="122">
        <v>0.1</v>
      </c>
      <c r="F514" s="122">
        <f>C514*E514</f>
        <v>10.4</v>
      </c>
      <c r="G514" s="122">
        <f>$H$11*E514</f>
        <v>4</v>
      </c>
      <c r="H514" s="123">
        <f>F514*$H$11</f>
        <v>416</v>
      </c>
      <c r="I514" s="135">
        <v>2.5</v>
      </c>
      <c r="J514" s="123">
        <f>C514*I514</f>
        <v>260</v>
      </c>
      <c r="K514" s="124">
        <f>SUM(H514,J514)</f>
        <v>676</v>
      </c>
      <c r="L514" s="123">
        <f>K514/C514</f>
        <v>6.5</v>
      </c>
      <c r="M514" s="125">
        <f>C514*L514</f>
        <v>676</v>
      </c>
      <c r="N514" s="131">
        <v>0</v>
      </c>
      <c r="O514" s="118">
        <f>M514*N514</f>
        <v>0</v>
      </c>
      <c r="P514" s="455"/>
      <c r="Q514" s="455"/>
      <c r="R514" s="455"/>
      <c r="S514" s="455"/>
      <c r="T514" s="154"/>
      <c r="U514" s="155"/>
      <c r="V514" s="136"/>
      <c r="W514" s="63"/>
      <c r="X514" s="63"/>
      <c r="Y514" s="62"/>
      <c r="Z514" s="62"/>
      <c r="AA514" s="103"/>
      <c r="AB514" s="103"/>
    </row>
    <row r="515" spans="1:28" s="70" customFormat="1" ht="14.25" x14ac:dyDescent="0.2">
      <c r="A515" s="60"/>
      <c r="B515" s="146" t="s">
        <v>135</v>
      </c>
      <c r="C515" s="152">
        <v>136</v>
      </c>
      <c r="D515" s="153" t="s">
        <v>45</v>
      </c>
      <c r="E515" s="122">
        <v>0.2</v>
      </c>
      <c r="F515" s="122">
        <f>C515*E515</f>
        <v>27.200000000000003</v>
      </c>
      <c r="G515" s="122">
        <f>$H$11*E515</f>
        <v>8</v>
      </c>
      <c r="H515" s="123">
        <f>F515*$H$11</f>
        <v>1088</v>
      </c>
      <c r="I515" s="135">
        <v>16</v>
      </c>
      <c r="J515" s="123">
        <f>C515*I515</f>
        <v>2176</v>
      </c>
      <c r="K515" s="124">
        <f>SUM(H515,J515)</f>
        <v>3264</v>
      </c>
      <c r="L515" s="123">
        <f>K515/C515</f>
        <v>24</v>
      </c>
      <c r="M515" s="125">
        <f>C515*L515</f>
        <v>3264</v>
      </c>
      <c r="N515" s="131">
        <v>0</v>
      </c>
      <c r="O515" s="118">
        <f>M515*N515</f>
        <v>0</v>
      </c>
      <c r="P515" s="455"/>
      <c r="Q515" s="455"/>
      <c r="R515" s="455"/>
      <c r="S515" s="455"/>
      <c r="T515" s="154"/>
      <c r="U515" s="155"/>
      <c r="V515" s="136"/>
      <c r="W515" s="63"/>
      <c r="X515" s="63"/>
      <c r="Y515" s="62"/>
      <c r="Z515" s="62"/>
      <c r="AA515" s="103"/>
      <c r="AB515" s="103"/>
    </row>
    <row r="516" spans="1:28" s="70" customFormat="1" ht="14.25" x14ac:dyDescent="0.2">
      <c r="A516" s="60"/>
      <c r="B516" s="146" t="s">
        <v>105</v>
      </c>
      <c r="C516" s="152">
        <v>64</v>
      </c>
      <c r="D516" s="153" t="s">
        <v>46</v>
      </c>
      <c r="E516" s="122">
        <v>0.1</v>
      </c>
      <c r="F516" s="122">
        <f>C516*E516</f>
        <v>6.4</v>
      </c>
      <c r="G516" s="122">
        <f>$H$11*E516</f>
        <v>4</v>
      </c>
      <c r="H516" s="123">
        <f>F516*$H$11</f>
        <v>256</v>
      </c>
      <c r="I516" s="135">
        <v>2.5</v>
      </c>
      <c r="J516" s="123">
        <f>C516*I516</f>
        <v>160</v>
      </c>
      <c r="K516" s="124">
        <f>SUM(H516,J516)</f>
        <v>416</v>
      </c>
      <c r="L516" s="123">
        <f>K516/C516</f>
        <v>6.5</v>
      </c>
      <c r="M516" s="125">
        <f>C516*L516</f>
        <v>416</v>
      </c>
      <c r="N516" s="131">
        <v>0</v>
      </c>
      <c r="O516" s="118">
        <f>M516*N516</f>
        <v>0</v>
      </c>
      <c r="P516" s="455"/>
      <c r="Q516" s="455"/>
      <c r="R516" s="455"/>
      <c r="S516" s="455"/>
      <c r="T516" s="154"/>
      <c r="U516" s="155"/>
      <c r="V516" s="136"/>
      <c r="W516" s="63"/>
      <c r="X516" s="63"/>
      <c r="Y516" s="62"/>
      <c r="Z516" s="62"/>
      <c r="AA516" s="103"/>
      <c r="AB516" s="103"/>
    </row>
    <row r="517" spans="1:28" s="70" customFormat="1" ht="14.25" x14ac:dyDescent="0.2">
      <c r="A517" s="60"/>
      <c r="B517" s="264" t="s">
        <v>137</v>
      </c>
      <c r="C517" s="152">
        <v>6</v>
      </c>
      <c r="D517" s="153" t="s">
        <v>45</v>
      </c>
      <c r="E517" s="390">
        <v>0.2</v>
      </c>
      <c r="F517" s="122">
        <f>C517*E517</f>
        <v>1.2000000000000002</v>
      </c>
      <c r="G517" s="122">
        <f>$H$11*E517</f>
        <v>8</v>
      </c>
      <c r="H517" s="123">
        <f>F517*$H$11</f>
        <v>48.000000000000007</v>
      </c>
      <c r="I517" s="135">
        <v>45</v>
      </c>
      <c r="J517" s="123">
        <f>C517*I517</f>
        <v>270</v>
      </c>
      <c r="K517" s="124">
        <f>SUM(H517,J517)</f>
        <v>318</v>
      </c>
      <c r="L517" s="123">
        <f>K517/C517</f>
        <v>53</v>
      </c>
      <c r="M517" s="125">
        <f>C517*L517</f>
        <v>318</v>
      </c>
      <c r="N517" s="131">
        <v>0</v>
      </c>
      <c r="O517" s="118">
        <f>M517*N517</f>
        <v>0</v>
      </c>
      <c r="P517" s="455"/>
      <c r="Q517" s="455"/>
      <c r="R517" s="455"/>
      <c r="S517" s="455"/>
      <c r="T517" s="154"/>
      <c r="U517" s="155"/>
      <c r="V517" s="136"/>
      <c r="W517" s="63"/>
      <c r="X517" s="63"/>
      <c r="Y517" s="62"/>
      <c r="Z517" s="62"/>
      <c r="AA517" s="103"/>
      <c r="AB517" s="103"/>
    </row>
    <row r="518" spans="1:28" s="70" customFormat="1" ht="14.25" x14ac:dyDescent="0.2">
      <c r="A518" s="60"/>
      <c r="B518" s="146" t="s">
        <v>134</v>
      </c>
      <c r="C518" s="152">
        <v>154</v>
      </c>
      <c r="D518" s="153" t="s">
        <v>45</v>
      </c>
      <c r="E518" s="122">
        <v>0.2</v>
      </c>
      <c r="F518" s="122">
        <f t="shared" ref="F518:F532" si="64">C518*E518</f>
        <v>30.8</v>
      </c>
      <c r="G518" s="122">
        <f t="shared" ref="G518:G532" si="65">$H$11*E518</f>
        <v>8</v>
      </c>
      <c r="H518" s="123">
        <f t="shared" ref="H518:H532" si="66">F518*$H$11</f>
        <v>1232</v>
      </c>
      <c r="I518" s="135">
        <v>13.51</v>
      </c>
      <c r="J518" s="123">
        <f t="shared" ref="J518:J532" si="67">C518*I518</f>
        <v>2080.54</v>
      </c>
      <c r="K518" s="124">
        <f t="shared" ref="K518:K532" si="68">SUM(H518,J518)</f>
        <v>3312.54</v>
      </c>
      <c r="L518" s="123">
        <f t="shared" ref="L518:L532" si="69">K518/C518</f>
        <v>21.509999999999998</v>
      </c>
      <c r="M518" s="125">
        <f t="shared" ref="M518:M532" si="70">C518*L518</f>
        <v>3312.5399999999995</v>
      </c>
      <c r="N518" s="131">
        <v>0</v>
      </c>
      <c r="O518" s="118">
        <f t="shared" ref="O518:O532" si="71">M518*N518</f>
        <v>0</v>
      </c>
      <c r="P518" s="455"/>
      <c r="Q518" s="455"/>
      <c r="R518" s="455"/>
      <c r="S518" s="455"/>
      <c r="T518" s="154"/>
      <c r="U518" s="155"/>
      <c r="V518" s="136"/>
      <c r="W518" s="63"/>
      <c r="X518" s="63"/>
      <c r="Y518" s="62"/>
      <c r="Z518" s="62"/>
      <c r="AA518" s="103"/>
      <c r="AB518" s="103"/>
    </row>
    <row r="519" spans="1:28" s="70" customFormat="1" ht="14.25" x14ac:dyDescent="0.2">
      <c r="A519" s="60"/>
      <c r="B519" s="146" t="s">
        <v>103</v>
      </c>
      <c r="C519" s="152">
        <v>53</v>
      </c>
      <c r="D519" s="153" t="s">
        <v>45</v>
      </c>
      <c r="E519" s="122">
        <v>0.2</v>
      </c>
      <c r="F519" s="122">
        <f t="shared" si="64"/>
        <v>10.600000000000001</v>
      </c>
      <c r="G519" s="122">
        <f t="shared" si="65"/>
        <v>8</v>
      </c>
      <c r="H519" s="123">
        <f t="shared" si="66"/>
        <v>424.00000000000006</v>
      </c>
      <c r="I519" s="135">
        <v>13.51</v>
      </c>
      <c r="J519" s="123">
        <f t="shared" si="67"/>
        <v>716.03</v>
      </c>
      <c r="K519" s="124">
        <f t="shared" si="68"/>
        <v>1140.03</v>
      </c>
      <c r="L519" s="123">
        <f t="shared" si="69"/>
        <v>21.509999999999998</v>
      </c>
      <c r="M519" s="125">
        <f t="shared" si="70"/>
        <v>1140.03</v>
      </c>
      <c r="N519" s="131">
        <v>0</v>
      </c>
      <c r="O519" s="118">
        <f t="shared" si="71"/>
        <v>0</v>
      </c>
      <c r="P519" s="455"/>
      <c r="Q519" s="455"/>
      <c r="R519" s="455"/>
      <c r="S519" s="455"/>
      <c r="T519" s="154"/>
      <c r="U519" s="155"/>
      <c r="V519" s="136"/>
      <c r="W519" s="63"/>
      <c r="X519" s="63"/>
      <c r="Y519" s="62"/>
      <c r="Z519" s="62"/>
      <c r="AA519" s="103"/>
      <c r="AB519" s="103"/>
    </row>
    <row r="520" spans="1:28" s="70" customFormat="1" ht="14.25" x14ac:dyDescent="0.2">
      <c r="A520" s="60"/>
      <c r="B520" s="146" t="s">
        <v>136</v>
      </c>
      <c r="C520" s="152">
        <v>128</v>
      </c>
      <c r="D520" s="153" t="s">
        <v>45</v>
      </c>
      <c r="E520" s="390">
        <v>0.2</v>
      </c>
      <c r="F520" s="122">
        <f t="shared" si="64"/>
        <v>25.6</v>
      </c>
      <c r="G520" s="122">
        <f t="shared" si="65"/>
        <v>8</v>
      </c>
      <c r="H520" s="123">
        <f t="shared" si="66"/>
        <v>1024</v>
      </c>
      <c r="I520" s="135">
        <v>16</v>
      </c>
      <c r="J520" s="123">
        <f t="shared" si="67"/>
        <v>2048</v>
      </c>
      <c r="K520" s="124">
        <f t="shared" si="68"/>
        <v>3072</v>
      </c>
      <c r="L520" s="123">
        <f t="shared" si="69"/>
        <v>24</v>
      </c>
      <c r="M520" s="125">
        <f t="shared" si="70"/>
        <v>3072</v>
      </c>
      <c r="N520" s="131">
        <v>0</v>
      </c>
      <c r="O520" s="118">
        <f t="shared" si="71"/>
        <v>0</v>
      </c>
      <c r="P520" s="455"/>
      <c r="Q520" s="455"/>
      <c r="R520" s="455"/>
      <c r="S520" s="455"/>
      <c r="T520" s="154"/>
      <c r="U520" s="155"/>
      <c r="V520" s="136"/>
      <c r="W520" s="63"/>
      <c r="X520" s="63"/>
      <c r="Y520" s="62"/>
      <c r="Z520" s="62"/>
      <c r="AA520" s="103"/>
      <c r="AB520" s="103"/>
    </row>
    <row r="521" spans="1:28" s="70" customFormat="1" ht="14.25" x14ac:dyDescent="0.2">
      <c r="A521" s="60"/>
      <c r="B521" s="146" t="s">
        <v>105</v>
      </c>
      <c r="C521" s="152">
        <v>72</v>
      </c>
      <c r="D521" s="153" t="s">
        <v>46</v>
      </c>
      <c r="E521" s="122">
        <v>0.1</v>
      </c>
      <c r="F521" s="122">
        <f t="shared" si="64"/>
        <v>7.2</v>
      </c>
      <c r="G521" s="122">
        <f t="shared" si="65"/>
        <v>4</v>
      </c>
      <c r="H521" s="123">
        <f t="shared" si="66"/>
        <v>288</v>
      </c>
      <c r="I521" s="135">
        <v>2.5</v>
      </c>
      <c r="J521" s="123">
        <f t="shared" si="67"/>
        <v>180</v>
      </c>
      <c r="K521" s="124">
        <f t="shared" si="68"/>
        <v>468</v>
      </c>
      <c r="L521" s="123">
        <f t="shared" si="69"/>
        <v>6.5</v>
      </c>
      <c r="M521" s="125">
        <f t="shared" si="70"/>
        <v>468</v>
      </c>
      <c r="N521" s="131">
        <v>0</v>
      </c>
      <c r="O521" s="118">
        <f t="shared" si="71"/>
        <v>0</v>
      </c>
      <c r="P521" s="455"/>
      <c r="Q521" s="455"/>
      <c r="R521" s="455"/>
      <c r="S521" s="455"/>
      <c r="T521" s="154"/>
      <c r="U521" s="155"/>
      <c r="V521" s="136"/>
      <c r="W521" s="63"/>
      <c r="X521" s="63"/>
      <c r="Y521" s="62"/>
      <c r="Z521" s="62"/>
      <c r="AA521" s="103"/>
      <c r="AB521" s="103"/>
    </row>
    <row r="522" spans="1:28" s="70" customFormat="1" ht="14.25" x14ac:dyDescent="0.2">
      <c r="A522" s="60"/>
      <c r="B522" s="151" t="s">
        <v>358</v>
      </c>
      <c r="C522" s="152">
        <v>36</v>
      </c>
      <c r="D522" s="153" t="s">
        <v>46</v>
      </c>
      <c r="E522" s="310">
        <v>0.2</v>
      </c>
      <c r="F522" s="122">
        <f>C522*E522</f>
        <v>7.2</v>
      </c>
      <c r="G522" s="122">
        <f>$H$11*E522</f>
        <v>8</v>
      </c>
      <c r="H522" s="123">
        <f>F522*$H$11</f>
        <v>288</v>
      </c>
      <c r="I522" s="135">
        <v>6</v>
      </c>
      <c r="J522" s="123">
        <f>C522*I522</f>
        <v>216</v>
      </c>
      <c r="K522" s="124">
        <f>SUM(H522,J522)</f>
        <v>504</v>
      </c>
      <c r="L522" s="123">
        <f>K522/C522</f>
        <v>14</v>
      </c>
      <c r="M522" s="125">
        <f>C522*L522</f>
        <v>504</v>
      </c>
      <c r="N522" s="131">
        <v>0</v>
      </c>
      <c r="O522" s="118">
        <f>M522*N522</f>
        <v>0</v>
      </c>
      <c r="P522" s="455"/>
      <c r="Q522" s="455"/>
      <c r="R522" s="455"/>
      <c r="S522" s="455"/>
      <c r="T522" s="154"/>
      <c r="U522" s="155"/>
      <c r="V522" s="136"/>
      <c r="W522" s="63"/>
      <c r="X522" s="63"/>
      <c r="Y522" s="62"/>
      <c r="Z522" s="62"/>
      <c r="AA522" s="103"/>
      <c r="AB522" s="103"/>
    </row>
    <row r="523" spans="1:28" s="70" customFormat="1" ht="14.25" x14ac:dyDescent="0.2">
      <c r="A523" s="60"/>
      <c r="B523" s="146" t="s">
        <v>116</v>
      </c>
      <c r="C523" s="152">
        <v>206</v>
      </c>
      <c r="D523" s="153" t="s">
        <v>45</v>
      </c>
      <c r="E523" s="390">
        <v>0.2</v>
      </c>
      <c r="F523" s="122">
        <f t="shared" si="64"/>
        <v>41.2</v>
      </c>
      <c r="G523" s="122">
        <f t="shared" si="65"/>
        <v>8</v>
      </c>
      <c r="H523" s="123">
        <f t="shared" si="66"/>
        <v>1648</v>
      </c>
      <c r="I523" s="135">
        <v>16</v>
      </c>
      <c r="J523" s="123">
        <f t="shared" si="67"/>
        <v>3296</v>
      </c>
      <c r="K523" s="124">
        <f t="shared" si="68"/>
        <v>4944</v>
      </c>
      <c r="L523" s="123">
        <f t="shared" si="69"/>
        <v>24</v>
      </c>
      <c r="M523" s="125">
        <f t="shared" si="70"/>
        <v>4944</v>
      </c>
      <c r="N523" s="131">
        <v>0</v>
      </c>
      <c r="O523" s="118">
        <f t="shared" si="71"/>
        <v>0</v>
      </c>
      <c r="P523" s="455"/>
      <c r="Q523" s="455"/>
      <c r="R523" s="455"/>
      <c r="S523" s="455"/>
      <c r="T523" s="154"/>
      <c r="U523" s="155"/>
      <c r="V523" s="136"/>
      <c r="W523" s="63"/>
      <c r="X523" s="63"/>
      <c r="Y523" s="62"/>
      <c r="Z523" s="62"/>
      <c r="AA523" s="103"/>
      <c r="AB523" s="103"/>
    </row>
    <row r="524" spans="1:28" s="70" customFormat="1" ht="14.25" x14ac:dyDescent="0.2">
      <c r="A524" s="60"/>
      <c r="B524" s="264" t="s">
        <v>105</v>
      </c>
      <c r="C524" s="152">
        <v>104</v>
      </c>
      <c r="D524" s="153" t="s">
        <v>46</v>
      </c>
      <c r="E524" s="310">
        <v>0.1</v>
      </c>
      <c r="F524" s="122">
        <f t="shared" si="64"/>
        <v>10.4</v>
      </c>
      <c r="G524" s="122">
        <f t="shared" si="65"/>
        <v>4</v>
      </c>
      <c r="H524" s="123">
        <f t="shared" si="66"/>
        <v>416</v>
      </c>
      <c r="I524" s="135">
        <v>2.5</v>
      </c>
      <c r="J524" s="123">
        <f t="shared" si="67"/>
        <v>260</v>
      </c>
      <c r="K524" s="124">
        <f t="shared" si="68"/>
        <v>676</v>
      </c>
      <c r="L524" s="123">
        <f t="shared" si="69"/>
        <v>6.5</v>
      </c>
      <c r="M524" s="125">
        <f t="shared" si="70"/>
        <v>676</v>
      </c>
      <c r="N524" s="131">
        <v>0</v>
      </c>
      <c r="O524" s="118">
        <f t="shared" si="71"/>
        <v>0</v>
      </c>
      <c r="P524" s="455"/>
      <c r="Q524" s="455"/>
      <c r="R524" s="455"/>
      <c r="S524" s="455"/>
      <c r="T524" s="154"/>
      <c r="U524" s="155"/>
      <c r="V524" s="136"/>
      <c r="W524" s="63"/>
      <c r="X524" s="63"/>
      <c r="Y524" s="62"/>
      <c r="Z524" s="62"/>
      <c r="AA524" s="103"/>
      <c r="AB524" s="103"/>
    </row>
    <row r="525" spans="1:28" s="70" customFormat="1" ht="14.25" x14ac:dyDescent="0.2">
      <c r="A525" s="60"/>
      <c r="B525" s="151" t="s">
        <v>358</v>
      </c>
      <c r="C525" s="152">
        <v>52</v>
      </c>
      <c r="D525" s="153" t="s">
        <v>46</v>
      </c>
      <c r="E525" s="310">
        <v>0.2</v>
      </c>
      <c r="F525" s="122">
        <f t="shared" si="64"/>
        <v>10.4</v>
      </c>
      <c r="G525" s="122">
        <f t="shared" si="65"/>
        <v>8</v>
      </c>
      <c r="H525" s="123">
        <f t="shared" si="66"/>
        <v>416</v>
      </c>
      <c r="I525" s="135">
        <v>6</v>
      </c>
      <c r="J525" s="123">
        <f t="shared" si="67"/>
        <v>312</v>
      </c>
      <c r="K525" s="124">
        <f t="shared" si="68"/>
        <v>728</v>
      </c>
      <c r="L525" s="123">
        <f t="shared" si="69"/>
        <v>14</v>
      </c>
      <c r="M525" s="125">
        <f t="shared" si="70"/>
        <v>728</v>
      </c>
      <c r="N525" s="131">
        <v>0</v>
      </c>
      <c r="O525" s="118">
        <f t="shared" si="71"/>
        <v>0</v>
      </c>
      <c r="P525" s="455"/>
      <c r="Q525" s="455"/>
      <c r="R525" s="455"/>
      <c r="S525" s="455"/>
      <c r="T525" s="154"/>
      <c r="U525" s="155"/>
      <c r="V525" s="136"/>
      <c r="W525" s="63"/>
      <c r="X525" s="63"/>
      <c r="Y525" s="62"/>
      <c r="Z525" s="62"/>
      <c r="AA525" s="103"/>
      <c r="AB525" s="103"/>
    </row>
    <row r="526" spans="1:28" s="70" customFormat="1" ht="14.25" x14ac:dyDescent="0.2">
      <c r="A526" s="60"/>
      <c r="B526" s="146" t="s">
        <v>118</v>
      </c>
      <c r="C526" s="152">
        <v>24</v>
      </c>
      <c r="D526" s="153" t="s">
        <v>45</v>
      </c>
      <c r="E526" s="122">
        <v>0.2</v>
      </c>
      <c r="F526" s="122">
        <f t="shared" si="64"/>
        <v>4.8000000000000007</v>
      </c>
      <c r="G526" s="122">
        <f t="shared" si="65"/>
        <v>8</v>
      </c>
      <c r="H526" s="123">
        <f t="shared" si="66"/>
        <v>192.00000000000003</v>
      </c>
      <c r="I526" s="135">
        <v>13.51</v>
      </c>
      <c r="J526" s="123">
        <f t="shared" si="67"/>
        <v>324.24</v>
      </c>
      <c r="K526" s="124">
        <f t="shared" si="68"/>
        <v>516.24</v>
      </c>
      <c r="L526" s="123">
        <f t="shared" si="69"/>
        <v>21.51</v>
      </c>
      <c r="M526" s="125">
        <f t="shared" si="70"/>
        <v>516.24</v>
      </c>
      <c r="N526" s="131">
        <v>0</v>
      </c>
      <c r="O526" s="118">
        <f t="shared" si="71"/>
        <v>0</v>
      </c>
      <c r="P526" s="455"/>
      <c r="Q526" s="455"/>
      <c r="R526" s="455"/>
      <c r="S526" s="455"/>
      <c r="T526" s="154"/>
      <c r="U526" s="155"/>
      <c r="V526" s="136"/>
      <c r="W526" s="63"/>
      <c r="X526" s="63"/>
      <c r="Y526" s="62"/>
      <c r="Z526" s="62"/>
      <c r="AA526" s="103"/>
      <c r="AB526" s="103"/>
    </row>
    <row r="527" spans="1:28" s="70" customFormat="1" ht="14.25" x14ac:dyDescent="0.2">
      <c r="A527" s="60"/>
      <c r="B527" s="146" t="s">
        <v>147</v>
      </c>
      <c r="C527" s="152">
        <v>51</v>
      </c>
      <c r="D527" s="153" t="s">
        <v>45</v>
      </c>
      <c r="E527" s="390">
        <v>0.4</v>
      </c>
      <c r="F527" s="122">
        <f t="shared" si="64"/>
        <v>20.400000000000002</v>
      </c>
      <c r="G527" s="122">
        <f t="shared" si="65"/>
        <v>16</v>
      </c>
      <c r="H527" s="123">
        <f t="shared" si="66"/>
        <v>816.00000000000011</v>
      </c>
      <c r="I527" s="135">
        <v>33</v>
      </c>
      <c r="J527" s="123">
        <f t="shared" si="67"/>
        <v>1683</v>
      </c>
      <c r="K527" s="124">
        <f t="shared" si="68"/>
        <v>2499</v>
      </c>
      <c r="L527" s="123">
        <f t="shared" si="69"/>
        <v>49</v>
      </c>
      <c r="M527" s="125">
        <f t="shared" si="70"/>
        <v>2499</v>
      </c>
      <c r="N527" s="131">
        <v>0</v>
      </c>
      <c r="O527" s="118">
        <f t="shared" si="71"/>
        <v>0</v>
      </c>
      <c r="P527" s="455"/>
      <c r="Q527" s="455"/>
      <c r="R527" s="455"/>
      <c r="S527" s="455"/>
      <c r="T527" s="154"/>
      <c r="U527" s="155"/>
      <c r="V527" s="136"/>
      <c r="W527" s="63"/>
      <c r="X527" s="63"/>
      <c r="Y527" s="62"/>
      <c r="Z527" s="62"/>
      <c r="AA527" s="103"/>
      <c r="AB527" s="103"/>
    </row>
    <row r="528" spans="1:28" s="70" customFormat="1" ht="14.25" x14ac:dyDescent="0.2">
      <c r="A528" s="60"/>
      <c r="B528" s="146" t="s">
        <v>122</v>
      </c>
      <c r="C528" s="152">
        <v>51</v>
      </c>
      <c r="D528" s="153" t="s">
        <v>45</v>
      </c>
      <c r="E528" s="390">
        <v>0.2</v>
      </c>
      <c r="F528" s="122">
        <f t="shared" si="64"/>
        <v>10.200000000000001</v>
      </c>
      <c r="G528" s="122">
        <f t="shared" si="65"/>
        <v>8</v>
      </c>
      <c r="H528" s="123">
        <f t="shared" si="66"/>
        <v>408.00000000000006</v>
      </c>
      <c r="I528" s="135">
        <v>19</v>
      </c>
      <c r="J528" s="123">
        <f t="shared" si="67"/>
        <v>969</v>
      </c>
      <c r="K528" s="124">
        <f t="shared" si="68"/>
        <v>1377</v>
      </c>
      <c r="L528" s="123">
        <f t="shared" si="69"/>
        <v>27</v>
      </c>
      <c r="M528" s="125">
        <f t="shared" si="70"/>
        <v>1377</v>
      </c>
      <c r="N528" s="131">
        <v>0</v>
      </c>
      <c r="O528" s="118">
        <f t="shared" si="71"/>
        <v>0</v>
      </c>
      <c r="P528" s="455"/>
      <c r="Q528" s="455"/>
      <c r="R528" s="455"/>
      <c r="S528" s="455"/>
      <c r="T528" s="154"/>
      <c r="U528" s="155"/>
      <c r="V528" s="136"/>
      <c r="W528" s="63"/>
      <c r="X528" s="63"/>
      <c r="Y528" s="62"/>
      <c r="Z528" s="62"/>
      <c r="AA528" s="103"/>
      <c r="AB528" s="103"/>
    </row>
    <row r="529" spans="1:28" s="70" customFormat="1" ht="14.25" x14ac:dyDescent="0.2">
      <c r="A529" s="60"/>
      <c r="B529" s="146" t="s">
        <v>105</v>
      </c>
      <c r="C529" s="152">
        <v>48</v>
      </c>
      <c r="D529" s="153" t="s">
        <v>46</v>
      </c>
      <c r="E529" s="122">
        <v>0.1</v>
      </c>
      <c r="F529" s="122">
        <f t="shared" si="64"/>
        <v>4.8000000000000007</v>
      </c>
      <c r="G529" s="122">
        <f t="shared" si="65"/>
        <v>4</v>
      </c>
      <c r="H529" s="123">
        <f t="shared" si="66"/>
        <v>192.00000000000003</v>
      </c>
      <c r="I529" s="135">
        <v>2.5</v>
      </c>
      <c r="J529" s="123">
        <f t="shared" si="67"/>
        <v>120</v>
      </c>
      <c r="K529" s="124">
        <f t="shared" si="68"/>
        <v>312</v>
      </c>
      <c r="L529" s="123">
        <f t="shared" si="69"/>
        <v>6.5</v>
      </c>
      <c r="M529" s="125">
        <f t="shared" si="70"/>
        <v>312</v>
      </c>
      <c r="N529" s="131">
        <v>0</v>
      </c>
      <c r="O529" s="118">
        <f t="shared" si="71"/>
        <v>0</v>
      </c>
      <c r="P529" s="455"/>
      <c r="Q529" s="455"/>
      <c r="R529" s="455"/>
      <c r="S529" s="455"/>
      <c r="T529" s="154"/>
      <c r="U529" s="155"/>
      <c r="V529" s="136"/>
      <c r="W529" s="63"/>
      <c r="X529" s="63"/>
      <c r="Y529" s="62"/>
      <c r="Z529" s="62"/>
      <c r="AA529" s="103"/>
      <c r="AB529" s="103"/>
    </row>
    <row r="530" spans="1:28" s="70" customFormat="1" ht="14.25" x14ac:dyDescent="0.2">
      <c r="A530" s="60"/>
      <c r="B530" s="264" t="s">
        <v>129</v>
      </c>
      <c r="C530" s="152">
        <v>111</v>
      </c>
      <c r="D530" s="153" t="s">
        <v>45</v>
      </c>
      <c r="E530" s="122">
        <v>0.02</v>
      </c>
      <c r="F530" s="122">
        <f t="shared" si="64"/>
        <v>2.2200000000000002</v>
      </c>
      <c r="G530" s="122">
        <f t="shared" si="65"/>
        <v>0.8</v>
      </c>
      <c r="H530" s="123">
        <f t="shared" si="66"/>
        <v>88.800000000000011</v>
      </c>
      <c r="I530" s="135">
        <v>10.48</v>
      </c>
      <c r="J530" s="123">
        <f t="shared" si="67"/>
        <v>1163.28</v>
      </c>
      <c r="K530" s="124">
        <f t="shared" si="68"/>
        <v>1252.08</v>
      </c>
      <c r="L530" s="123">
        <f t="shared" si="69"/>
        <v>11.28</v>
      </c>
      <c r="M530" s="125">
        <f t="shared" si="70"/>
        <v>1252.08</v>
      </c>
      <c r="N530" s="131">
        <v>0</v>
      </c>
      <c r="O530" s="118">
        <f t="shared" si="71"/>
        <v>0</v>
      </c>
      <c r="P530" s="455"/>
      <c r="Q530" s="455"/>
      <c r="R530" s="455"/>
      <c r="S530" s="455"/>
      <c r="T530" s="154"/>
      <c r="U530" s="155"/>
      <c r="V530" s="136"/>
      <c r="W530" s="63"/>
      <c r="X530" s="63"/>
      <c r="Y530" s="62"/>
      <c r="Z530" s="62"/>
      <c r="AA530" s="103"/>
      <c r="AB530" s="103"/>
    </row>
    <row r="531" spans="1:28" s="70" customFormat="1" ht="14.25" x14ac:dyDescent="0.2">
      <c r="A531" s="60"/>
      <c r="B531" s="146" t="s">
        <v>131</v>
      </c>
      <c r="C531" s="152">
        <v>63</v>
      </c>
      <c r="D531" s="153" t="s">
        <v>45</v>
      </c>
      <c r="E531" s="122">
        <v>0</v>
      </c>
      <c r="F531" s="122">
        <f t="shared" si="64"/>
        <v>0</v>
      </c>
      <c r="G531" s="122">
        <f t="shared" si="65"/>
        <v>0</v>
      </c>
      <c r="H531" s="123">
        <f t="shared" si="66"/>
        <v>0</v>
      </c>
      <c r="I531" s="135">
        <v>6</v>
      </c>
      <c r="J531" s="123">
        <f t="shared" si="67"/>
        <v>378</v>
      </c>
      <c r="K531" s="124">
        <f t="shared" si="68"/>
        <v>378</v>
      </c>
      <c r="L531" s="123">
        <f t="shared" si="69"/>
        <v>6</v>
      </c>
      <c r="M531" s="125">
        <f t="shared" si="70"/>
        <v>378</v>
      </c>
      <c r="N531" s="131">
        <v>0</v>
      </c>
      <c r="O531" s="118">
        <f t="shared" si="71"/>
        <v>0</v>
      </c>
      <c r="P531" s="455"/>
      <c r="Q531" s="455"/>
      <c r="R531" s="455"/>
      <c r="S531" s="455"/>
      <c r="T531" s="154"/>
      <c r="U531" s="155"/>
      <c r="V531" s="136"/>
      <c r="W531" s="63"/>
      <c r="X531" s="63"/>
      <c r="Y531" s="62"/>
      <c r="Z531" s="62"/>
      <c r="AA531" s="103"/>
      <c r="AB531" s="103"/>
    </row>
    <row r="532" spans="1:28" s="70" customFormat="1" ht="14.25" x14ac:dyDescent="0.2">
      <c r="A532" s="60"/>
      <c r="B532" s="146" t="s">
        <v>132</v>
      </c>
      <c r="C532" s="152">
        <v>37</v>
      </c>
      <c r="D532" s="153" t="s">
        <v>45</v>
      </c>
      <c r="E532" s="122">
        <v>0</v>
      </c>
      <c r="F532" s="122">
        <f t="shared" si="64"/>
        <v>0</v>
      </c>
      <c r="G532" s="122">
        <f t="shared" si="65"/>
        <v>0</v>
      </c>
      <c r="H532" s="123">
        <f t="shared" si="66"/>
        <v>0</v>
      </c>
      <c r="I532" s="135">
        <v>9</v>
      </c>
      <c r="J532" s="123">
        <f t="shared" si="67"/>
        <v>333</v>
      </c>
      <c r="K532" s="124">
        <f t="shared" si="68"/>
        <v>333</v>
      </c>
      <c r="L532" s="123">
        <f t="shared" si="69"/>
        <v>9</v>
      </c>
      <c r="M532" s="125">
        <f t="shared" si="70"/>
        <v>333</v>
      </c>
      <c r="N532" s="131">
        <v>0</v>
      </c>
      <c r="O532" s="118">
        <f t="shared" si="71"/>
        <v>0</v>
      </c>
      <c r="P532" s="455"/>
      <c r="Q532" s="455"/>
      <c r="R532" s="455"/>
      <c r="S532" s="455"/>
      <c r="T532" s="154"/>
      <c r="U532" s="155"/>
      <c r="V532" s="136"/>
      <c r="W532" s="63"/>
      <c r="X532" s="63"/>
      <c r="Y532" s="62"/>
      <c r="Z532" s="62"/>
      <c r="AA532" s="103"/>
      <c r="AB532" s="103"/>
    </row>
    <row r="533" spans="1:28" s="70" customFormat="1" ht="14.25" x14ac:dyDescent="0.2">
      <c r="A533" s="60"/>
      <c r="B533" s="165"/>
      <c r="C533" s="152"/>
      <c r="D533" s="153"/>
      <c r="E533" s="122"/>
      <c r="F533" s="122"/>
      <c r="G533" s="122"/>
      <c r="H533" s="123"/>
      <c r="I533" s="135"/>
      <c r="J533" s="123"/>
      <c r="K533" s="124"/>
      <c r="L533" s="123"/>
      <c r="M533" s="125"/>
      <c r="N533" s="131"/>
      <c r="O533" s="118"/>
      <c r="P533" s="455"/>
      <c r="Q533" s="455"/>
      <c r="R533" s="455"/>
      <c r="S533" s="455"/>
      <c r="T533" s="154"/>
      <c r="U533" s="155"/>
      <c r="V533" s="136"/>
      <c r="W533" s="63"/>
      <c r="X533" s="63"/>
      <c r="Y533" s="62"/>
      <c r="Z533" s="62"/>
      <c r="AA533" s="103"/>
      <c r="AB533" s="103"/>
    </row>
    <row r="534" spans="1:28" s="70" customFormat="1" ht="14.25" x14ac:dyDescent="0.2">
      <c r="A534" s="60"/>
      <c r="B534" s="146" t="s">
        <v>124</v>
      </c>
      <c r="C534" s="152">
        <v>2</v>
      </c>
      <c r="D534" s="153" t="s">
        <v>45</v>
      </c>
      <c r="E534" s="122">
        <v>0.2</v>
      </c>
      <c r="F534" s="122">
        <f>C534*E534</f>
        <v>0.4</v>
      </c>
      <c r="G534" s="122">
        <f>$H$11*E534</f>
        <v>8</v>
      </c>
      <c r="H534" s="123">
        <f>F534*$H$11</f>
        <v>16</v>
      </c>
      <c r="I534" s="135">
        <v>16</v>
      </c>
      <c r="J534" s="123">
        <f>C534*I534</f>
        <v>32</v>
      </c>
      <c r="K534" s="124">
        <f>SUM(H534,J534)</f>
        <v>48</v>
      </c>
      <c r="L534" s="123">
        <f>K534/C534</f>
        <v>24</v>
      </c>
      <c r="M534" s="125">
        <f>C534*L534</f>
        <v>48</v>
      </c>
      <c r="N534" s="131">
        <v>0</v>
      </c>
      <c r="O534" s="118">
        <f>M534*N534</f>
        <v>0</v>
      </c>
      <c r="P534" s="455"/>
      <c r="Q534" s="455"/>
      <c r="R534" s="455"/>
      <c r="S534" s="455"/>
      <c r="T534" s="154"/>
      <c r="U534" s="155"/>
      <c r="V534" s="136"/>
      <c r="W534" s="63"/>
      <c r="X534" s="63"/>
      <c r="Y534" s="62"/>
      <c r="Z534" s="62"/>
      <c r="AA534" s="103"/>
      <c r="AB534" s="103"/>
    </row>
    <row r="535" spans="1:28" s="70" customFormat="1" ht="14.25" x14ac:dyDescent="0.2">
      <c r="A535" s="60"/>
      <c r="B535" s="146" t="s">
        <v>105</v>
      </c>
      <c r="C535" s="152">
        <v>10</v>
      </c>
      <c r="D535" s="153" t="s">
        <v>46</v>
      </c>
      <c r="E535" s="122">
        <v>0.1</v>
      </c>
      <c r="F535" s="122">
        <f>C535*E535</f>
        <v>1</v>
      </c>
      <c r="G535" s="122">
        <f>$H$11*E535</f>
        <v>4</v>
      </c>
      <c r="H535" s="123">
        <f>F535*$H$11</f>
        <v>40</v>
      </c>
      <c r="I535" s="135">
        <v>2.5</v>
      </c>
      <c r="J535" s="123">
        <f>C535*I535</f>
        <v>25</v>
      </c>
      <c r="K535" s="124">
        <f>SUM(H535,J535)</f>
        <v>65</v>
      </c>
      <c r="L535" s="123">
        <f>K535/C535</f>
        <v>6.5</v>
      </c>
      <c r="M535" s="125">
        <f>C535*L535</f>
        <v>65</v>
      </c>
      <c r="N535" s="131">
        <v>0</v>
      </c>
      <c r="O535" s="118">
        <f>M535*N535</f>
        <v>0</v>
      </c>
      <c r="P535" s="455"/>
      <c r="Q535" s="455"/>
      <c r="R535" s="455"/>
      <c r="S535" s="455"/>
      <c r="T535" s="154"/>
      <c r="U535" s="155"/>
      <c r="V535" s="136"/>
      <c r="W535" s="63"/>
      <c r="X535" s="63"/>
      <c r="Y535" s="62"/>
      <c r="Z535" s="62"/>
      <c r="AA535" s="103"/>
      <c r="AB535" s="103"/>
    </row>
    <row r="536" spans="1:28" s="70" customFormat="1" ht="14.25" x14ac:dyDescent="0.2">
      <c r="A536" s="60"/>
      <c r="B536" s="146" t="s">
        <v>128</v>
      </c>
      <c r="C536" s="152">
        <v>10</v>
      </c>
      <c r="D536" s="153" t="s">
        <v>46</v>
      </c>
      <c r="E536" s="122">
        <v>0.1</v>
      </c>
      <c r="F536" s="122">
        <f>C536*E536</f>
        <v>1</v>
      </c>
      <c r="G536" s="122">
        <f>$H$11*E536</f>
        <v>4</v>
      </c>
      <c r="H536" s="123">
        <f>F536*$H$11</f>
        <v>40</v>
      </c>
      <c r="I536" s="135">
        <v>0</v>
      </c>
      <c r="J536" s="123">
        <f>C536*I536</f>
        <v>0</v>
      </c>
      <c r="K536" s="124">
        <f>SUM(H536,J536)</f>
        <v>40</v>
      </c>
      <c r="L536" s="123">
        <f>K536/C536</f>
        <v>4</v>
      </c>
      <c r="M536" s="125">
        <f>C536*L536</f>
        <v>40</v>
      </c>
      <c r="N536" s="131">
        <v>0</v>
      </c>
      <c r="O536" s="118">
        <f>M536*N536</f>
        <v>0</v>
      </c>
      <c r="P536" s="455"/>
      <c r="Q536" s="455"/>
      <c r="R536" s="455"/>
      <c r="S536" s="455"/>
      <c r="T536" s="154"/>
      <c r="U536" s="155"/>
      <c r="V536" s="136"/>
      <c r="W536" s="63"/>
      <c r="X536" s="63"/>
      <c r="Y536" s="62"/>
      <c r="Z536" s="62"/>
      <c r="AA536" s="103"/>
      <c r="AB536" s="103"/>
    </row>
    <row r="537" spans="1:28" s="70" customFormat="1" ht="14.25" x14ac:dyDescent="0.2">
      <c r="A537" s="60"/>
      <c r="B537" s="146"/>
      <c r="C537" s="152"/>
      <c r="D537" s="153"/>
      <c r="E537" s="122"/>
      <c r="F537" s="122"/>
      <c r="G537" s="122"/>
      <c r="H537" s="123"/>
      <c r="I537" s="135"/>
      <c r="J537" s="123"/>
      <c r="K537" s="124"/>
      <c r="L537" s="123"/>
      <c r="M537" s="125"/>
      <c r="N537" s="131"/>
      <c r="O537" s="118"/>
      <c r="P537" s="455"/>
      <c r="Q537" s="455"/>
      <c r="R537" s="455"/>
      <c r="S537" s="455"/>
      <c r="T537" s="154"/>
      <c r="U537" s="155"/>
      <c r="V537" s="136"/>
      <c r="W537" s="63"/>
      <c r="X537" s="63"/>
      <c r="Y537" s="62"/>
      <c r="Z537" s="62"/>
      <c r="AA537" s="103"/>
      <c r="AB537" s="103"/>
    </row>
    <row r="538" spans="1:28" s="70" customFormat="1" ht="14.25" x14ac:dyDescent="0.2">
      <c r="A538" s="60"/>
      <c r="B538" s="146" t="s">
        <v>125</v>
      </c>
      <c r="C538" s="152">
        <v>4</v>
      </c>
      <c r="D538" s="153" t="s">
        <v>45</v>
      </c>
      <c r="E538" s="122">
        <v>0.2</v>
      </c>
      <c r="F538" s="122">
        <f>C538*E538</f>
        <v>0.8</v>
      </c>
      <c r="G538" s="122">
        <f>$H$11*E538</f>
        <v>8</v>
      </c>
      <c r="H538" s="123">
        <f>F538*$H$11</f>
        <v>32</v>
      </c>
      <c r="I538" s="135">
        <v>16</v>
      </c>
      <c r="J538" s="123">
        <f>C538*I538</f>
        <v>64</v>
      </c>
      <c r="K538" s="124">
        <f>SUM(H538,J538)</f>
        <v>96</v>
      </c>
      <c r="L538" s="123">
        <f>K538/C538</f>
        <v>24</v>
      </c>
      <c r="M538" s="125">
        <f>C538*L538</f>
        <v>96</v>
      </c>
      <c r="N538" s="131">
        <v>0</v>
      </c>
      <c r="O538" s="118">
        <f>M538*N538</f>
        <v>0</v>
      </c>
      <c r="P538" s="455"/>
      <c r="Q538" s="455"/>
      <c r="R538" s="455"/>
      <c r="S538" s="455"/>
      <c r="T538" s="154"/>
      <c r="U538" s="155"/>
      <c r="V538" s="136"/>
      <c r="W538" s="63"/>
      <c r="X538" s="63"/>
      <c r="Y538" s="62"/>
      <c r="Z538" s="62"/>
      <c r="AA538" s="103"/>
      <c r="AB538" s="103"/>
    </row>
    <row r="539" spans="1:28" s="70" customFormat="1" ht="14.25" x14ac:dyDescent="0.2">
      <c r="A539" s="60"/>
      <c r="B539" s="146" t="s">
        <v>105</v>
      </c>
      <c r="C539" s="152">
        <v>13</v>
      </c>
      <c r="D539" s="153" t="s">
        <v>46</v>
      </c>
      <c r="E539" s="122">
        <v>0.1</v>
      </c>
      <c r="F539" s="122">
        <f>C539*E539</f>
        <v>1.3</v>
      </c>
      <c r="G539" s="122">
        <f>$H$11*E539</f>
        <v>4</v>
      </c>
      <c r="H539" s="123">
        <f>F539*$H$11</f>
        <v>52</v>
      </c>
      <c r="I539" s="135">
        <v>2.5</v>
      </c>
      <c r="J539" s="123">
        <f>C539*I539</f>
        <v>32.5</v>
      </c>
      <c r="K539" s="124">
        <f>SUM(H539,J539)</f>
        <v>84.5</v>
      </c>
      <c r="L539" s="123">
        <f>K539/C539</f>
        <v>6.5</v>
      </c>
      <c r="M539" s="125">
        <f>C539*L539</f>
        <v>84.5</v>
      </c>
      <c r="N539" s="131">
        <v>0</v>
      </c>
      <c r="O539" s="118">
        <f>M539*N539</f>
        <v>0</v>
      </c>
      <c r="P539" s="455"/>
      <c r="Q539" s="455"/>
      <c r="R539" s="455"/>
      <c r="S539" s="455"/>
      <c r="T539" s="154"/>
      <c r="U539" s="155"/>
      <c r="V539" s="136"/>
      <c r="W539" s="63"/>
      <c r="X539" s="63"/>
      <c r="Y539" s="62"/>
      <c r="Z539" s="62"/>
      <c r="AA539" s="103"/>
      <c r="AB539" s="103"/>
    </row>
    <row r="540" spans="1:28" s="70" customFormat="1" ht="14.25" x14ac:dyDescent="0.2">
      <c r="A540" s="60"/>
      <c r="B540" s="146" t="s">
        <v>127</v>
      </c>
      <c r="C540" s="152">
        <v>13</v>
      </c>
      <c r="D540" s="153" t="s">
        <v>46</v>
      </c>
      <c r="E540" s="122">
        <v>0.1</v>
      </c>
      <c r="F540" s="122">
        <f>C540*E540</f>
        <v>1.3</v>
      </c>
      <c r="G540" s="122">
        <f>$H$11*E540</f>
        <v>4</v>
      </c>
      <c r="H540" s="123">
        <f>F540*$H$11</f>
        <v>52</v>
      </c>
      <c r="I540" s="135">
        <v>0</v>
      </c>
      <c r="J540" s="123">
        <f>C540*I540</f>
        <v>0</v>
      </c>
      <c r="K540" s="124">
        <f>SUM(H540,J540)</f>
        <v>52</v>
      </c>
      <c r="L540" s="123">
        <f>K540/C540</f>
        <v>4</v>
      </c>
      <c r="M540" s="125">
        <f>C540*L540</f>
        <v>52</v>
      </c>
      <c r="N540" s="131">
        <v>0</v>
      </c>
      <c r="O540" s="118">
        <f>M540*N540</f>
        <v>0</v>
      </c>
      <c r="P540" s="455"/>
      <c r="Q540" s="455"/>
      <c r="R540" s="455"/>
      <c r="S540" s="455"/>
      <c r="T540" s="154"/>
      <c r="U540" s="155"/>
      <c r="V540" s="136"/>
      <c r="W540" s="63"/>
      <c r="X540" s="63"/>
      <c r="Y540" s="62"/>
      <c r="Z540" s="62"/>
      <c r="AA540" s="103"/>
      <c r="AB540" s="103"/>
    </row>
    <row r="541" spans="1:28" s="70" customFormat="1" ht="14.25" x14ac:dyDescent="0.2">
      <c r="A541" s="60"/>
      <c r="B541" s="146"/>
      <c r="C541" s="152"/>
      <c r="D541" s="153"/>
      <c r="E541" s="122"/>
      <c r="F541" s="122"/>
      <c r="G541" s="122"/>
      <c r="H541" s="123"/>
      <c r="I541" s="135"/>
      <c r="J541" s="123"/>
      <c r="K541" s="124"/>
      <c r="L541" s="123"/>
      <c r="M541" s="125"/>
      <c r="N541" s="131"/>
      <c r="O541" s="118"/>
      <c r="P541" s="455"/>
      <c r="Q541" s="455"/>
      <c r="R541" s="455"/>
      <c r="S541" s="455"/>
      <c r="T541" s="154"/>
      <c r="U541" s="155"/>
      <c r="V541" s="136"/>
      <c r="W541" s="63"/>
      <c r="X541" s="63"/>
      <c r="Y541" s="62"/>
      <c r="Z541" s="62"/>
      <c r="AA541" s="103"/>
      <c r="AB541" s="103"/>
    </row>
    <row r="542" spans="1:28" s="70" customFormat="1" ht="14.25" x14ac:dyDescent="0.2">
      <c r="A542" s="60"/>
      <c r="B542" s="146" t="s">
        <v>126</v>
      </c>
      <c r="C542" s="152">
        <v>6</v>
      </c>
      <c r="D542" s="153" t="s">
        <v>45</v>
      </c>
      <c r="E542" s="390">
        <v>0.4</v>
      </c>
      <c r="F542" s="122">
        <f>C542*E542</f>
        <v>2.4000000000000004</v>
      </c>
      <c r="G542" s="122">
        <f>$H$11*E542</f>
        <v>16</v>
      </c>
      <c r="H542" s="123">
        <f>F542*$H$11</f>
        <v>96.000000000000014</v>
      </c>
      <c r="I542" s="135">
        <v>32</v>
      </c>
      <c r="J542" s="123">
        <f>C542*I542</f>
        <v>192</v>
      </c>
      <c r="K542" s="124">
        <f>SUM(H542,J542)</f>
        <v>288</v>
      </c>
      <c r="L542" s="123">
        <f>K542/C542</f>
        <v>48</v>
      </c>
      <c r="M542" s="125">
        <f>C542*L542</f>
        <v>288</v>
      </c>
      <c r="N542" s="131">
        <v>0</v>
      </c>
      <c r="O542" s="118">
        <f>M542*N542</f>
        <v>0</v>
      </c>
      <c r="P542" s="455"/>
      <c r="Q542" s="455"/>
      <c r="R542" s="455"/>
      <c r="S542" s="455"/>
      <c r="T542" s="154"/>
      <c r="U542" s="155"/>
      <c r="V542" s="136"/>
      <c r="W542" s="63"/>
      <c r="X542" s="63"/>
      <c r="Y542" s="62"/>
      <c r="Z542" s="62"/>
      <c r="AA542" s="103"/>
      <c r="AB542" s="103"/>
    </row>
    <row r="543" spans="1:28" s="70" customFormat="1" ht="14.25" x14ac:dyDescent="0.2">
      <c r="A543" s="60"/>
      <c r="B543" s="146" t="s">
        <v>105</v>
      </c>
      <c r="C543" s="152">
        <v>2</v>
      </c>
      <c r="D543" s="153" t="s">
        <v>46</v>
      </c>
      <c r="E543" s="122">
        <v>0.1</v>
      </c>
      <c r="F543" s="122">
        <f>C543*E543</f>
        <v>0.2</v>
      </c>
      <c r="G543" s="122">
        <f>$H$11*E543</f>
        <v>4</v>
      </c>
      <c r="H543" s="123">
        <f>F543*$H$11</f>
        <v>8</v>
      </c>
      <c r="I543" s="135">
        <v>2.5</v>
      </c>
      <c r="J543" s="123">
        <f>C543*I543</f>
        <v>5</v>
      </c>
      <c r="K543" s="124">
        <f>SUM(H543,J543)</f>
        <v>13</v>
      </c>
      <c r="L543" s="123">
        <f>K543/C543</f>
        <v>6.5</v>
      </c>
      <c r="M543" s="125">
        <f>C543*L543</f>
        <v>13</v>
      </c>
      <c r="N543" s="131">
        <v>0</v>
      </c>
      <c r="O543" s="118">
        <f>M543*N543</f>
        <v>0</v>
      </c>
      <c r="P543" s="455"/>
      <c r="Q543" s="455"/>
      <c r="R543" s="455"/>
      <c r="S543" s="455"/>
      <c r="T543" s="154"/>
      <c r="U543" s="155"/>
      <c r="V543" s="136"/>
      <c r="W543" s="63"/>
      <c r="X543" s="63"/>
      <c r="Y543" s="62"/>
      <c r="Z543" s="62"/>
      <c r="AA543" s="103"/>
      <c r="AB543" s="103"/>
    </row>
    <row r="544" spans="1:28" s="70" customFormat="1" ht="14.25" x14ac:dyDescent="0.2">
      <c r="A544" s="60"/>
      <c r="B544" s="146" t="s">
        <v>127</v>
      </c>
      <c r="C544" s="152">
        <v>17</v>
      </c>
      <c r="D544" s="153" t="s">
        <v>46</v>
      </c>
      <c r="E544" s="122">
        <v>0.2</v>
      </c>
      <c r="F544" s="122">
        <f>C544*E544</f>
        <v>3.4000000000000004</v>
      </c>
      <c r="G544" s="122">
        <f>$H$11*E544</f>
        <v>8</v>
      </c>
      <c r="H544" s="123">
        <f>F544*$H$11</f>
        <v>136</v>
      </c>
      <c r="I544" s="135">
        <v>0</v>
      </c>
      <c r="J544" s="123">
        <f>C544*I544</f>
        <v>0</v>
      </c>
      <c r="K544" s="124">
        <f>SUM(H544,J544)</f>
        <v>136</v>
      </c>
      <c r="L544" s="123">
        <f>K544/C544</f>
        <v>8</v>
      </c>
      <c r="M544" s="125">
        <f>C544*L544</f>
        <v>136</v>
      </c>
      <c r="N544" s="131">
        <v>0</v>
      </c>
      <c r="O544" s="118">
        <f>M544*N544</f>
        <v>0</v>
      </c>
      <c r="P544" s="455"/>
      <c r="Q544" s="455"/>
      <c r="R544" s="455"/>
      <c r="S544" s="455"/>
      <c r="T544" s="154"/>
      <c r="U544" s="155"/>
      <c r="V544" s="136"/>
      <c r="W544" s="63"/>
      <c r="X544" s="63"/>
      <c r="Y544" s="62"/>
      <c r="Z544" s="62"/>
      <c r="AA544" s="103"/>
      <c r="AB544" s="103"/>
    </row>
    <row r="545" spans="1:28" s="70" customFormat="1" ht="14.25" x14ac:dyDescent="0.2">
      <c r="A545" s="60"/>
      <c r="B545" s="146"/>
      <c r="C545" s="152"/>
      <c r="D545" s="153"/>
      <c r="E545" s="122"/>
      <c r="F545" s="122"/>
      <c r="G545" s="122"/>
      <c r="H545" s="123"/>
      <c r="I545" s="135"/>
      <c r="J545" s="123"/>
      <c r="K545" s="124"/>
      <c r="L545" s="123"/>
      <c r="M545" s="125"/>
      <c r="N545" s="131"/>
      <c r="O545" s="118"/>
      <c r="P545" s="455"/>
      <c r="Q545" s="455"/>
      <c r="R545" s="455"/>
      <c r="S545" s="455"/>
      <c r="T545" s="154"/>
      <c r="U545" s="155"/>
      <c r="V545" s="136"/>
      <c r="W545" s="63"/>
      <c r="X545" s="63"/>
      <c r="Y545" s="62"/>
      <c r="Z545" s="62"/>
      <c r="AA545" s="103"/>
      <c r="AB545" s="103"/>
    </row>
    <row r="546" spans="1:28" s="70" customFormat="1" ht="14.25" x14ac:dyDescent="0.2">
      <c r="A546" s="60"/>
      <c r="B546" s="146" t="s">
        <v>123</v>
      </c>
      <c r="C546" s="152">
        <v>7</v>
      </c>
      <c r="D546" s="153" t="s">
        <v>45</v>
      </c>
      <c r="E546" s="390">
        <v>0.2</v>
      </c>
      <c r="F546" s="122">
        <f>C546*E546</f>
        <v>1.4000000000000001</v>
      </c>
      <c r="G546" s="122">
        <f>$H$11*E546</f>
        <v>8</v>
      </c>
      <c r="H546" s="123">
        <f>F546*$H$11</f>
        <v>56.000000000000007</v>
      </c>
      <c r="I546" s="135">
        <v>19</v>
      </c>
      <c r="J546" s="123">
        <f>C546*I546</f>
        <v>133</v>
      </c>
      <c r="K546" s="124">
        <f>SUM(H546,J546)</f>
        <v>189</v>
      </c>
      <c r="L546" s="123">
        <f>K546/C546</f>
        <v>27</v>
      </c>
      <c r="M546" s="125">
        <f>C546*L546</f>
        <v>189</v>
      </c>
      <c r="N546" s="131">
        <v>0</v>
      </c>
      <c r="O546" s="118">
        <f>M546*N546</f>
        <v>0</v>
      </c>
      <c r="P546" s="455"/>
      <c r="Q546" s="455"/>
      <c r="R546" s="455"/>
      <c r="S546" s="455"/>
      <c r="T546" s="154"/>
      <c r="U546" s="155"/>
      <c r="V546" s="136"/>
      <c r="W546" s="63"/>
      <c r="X546" s="63"/>
      <c r="Y546" s="62"/>
      <c r="Z546" s="62"/>
      <c r="AA546" s="103"/>
      <c r="AB546" s="103"/>
    </row>
    <row r="547" spans="1:28" s="70" customFormat="1" ht="14.25" x14ac:dyDescent="0.2">
      <c r="A547" s="60"/>
      <c r="B547" s="146" t="s">
        <v>127</v>
      </c>
      <c r="C547" s="152">
        <v>17</v>
      </c>
      <c r="D547" s="153" t="s">
        <v>46</v>
      </c>
      <c r="E547" s="122">
        <v>0.1</v>
      </c>
      <c r="F547" s="122">
        <f>C547*E547</f>
        <v>1.7000000000000002</v>
      </c>
      <c r="G547" s="122">
        <f>$H$11*E547</f>
        <v>4</v>
      </c>
      <c r="H547" s="123">
        <f>F547*$H$11</f>
        <v>68</v>
      </c>
      <c r="I547" s="135">
        <v>0</v>
      </c>
      <c r="J547" s="123">
        <f>C547*I547</f>
        <v>0</v>
      </c>
      <c r="K547" s="124">
        <f>SUM(H547,J547)</f>
        <v>68</v>
      </c>
      <c r="L547" s="123">
        <f>K547/C547</f>
        <v>4</v>
      </c>
      <c r="M547" s="125">
        <f>C547*L547</f>
        <v>68</v>
      </c>
      <c r="N547" s="131">
        <v>0</v>
      </c>
      <c r="O547" s="118">
        <f>M547*N547</f>
        <v>0</v>
      </c>
      <c r="P547" s="455"/>
      <c r="Q547" s="455"/>
      <c r="R547" s="455"/>
      <c r="S547" s="455"/>
      <c r="T547" s="154"/>
      <c r="U547" s="155"/>
      <c r="V547" s="136"/>
      <c r="W547" s="63"/>
      <c r="X547" s="63"/>
      <c r="Y547" s="62"/>
      <c r="Z547" s="62"/>
      <c r="AA547" s="103"/>
      <c r="AB547" s="103"/>
    </row>
    <row r="548" spans="1:28" s="70" customFormat="1" ht="14.25" x14ac:dyDescent="0.2">
      <c r="A548" s="60"/>
      <c r="B548" s="146"/>
      <c r="C548" s="152"/>
      <c r="D548" s="153"/>
      <c r="E548" s="122"/>
      <c r="F548" s="122"/>
      <c r="G548" s="122"/>
      <c r="H548" s="123"/>
      <c r="I548" s="135"/>
      <c r="J548" s="123"/>
      <c r="K548" s="124"/>
      <c r="L548" s="123"/>
      <c r="M548" s="125"/>
      <c r="N548" s="131"/>
      <c r="O548" s="118"/>
      <c r="P548" s="455"/>
      <c r="Q548" s="455"/>
      <c r="R548" s="455"/>
      <c r="S548" s="455"/>
      <c r="T548" s="154"/>
      <c r="U548" s="155"/>
      <c r="V548" s="136"/>
      <c r="W548" s="63"/>
      <c r="X548" s="63"/>
      <c r="Y548" s="62"/>
      <c r="Z548" s="62"/>
      <c r="AA548" s="103"/>
      <c r="AB548" s="103"/>
    </row>
    <row r="549" spans="1:28" s="70" customFormat="1" ht="14.25" x14ac:dyDescent="0.2">
      <c r="A549" s="60"/>
      <c r="B549" s="146" t="s">
        <v>361</v>
      </c>
      <c r="C549" s="152">
        <v>44</v>
      </c>
      <c r="D549" s="153" t="s">
        <v>60</v>
      </c>
      <c r="E549" s="122">
        <v>0.12</v>
      </c>
      <c r="F549" s="122">
        <f>C549*E549</f>
        <v>5.2799999999999994</v>
      </c>
      <c r="G549" s="122">
        <f>$H$11*E549</f>
        <v>4.8</v>
      </c>
      <c r="H549" s="123">
        <f>F549*$H$11</f>
        <v>211.2</v>
      </c>
      <c r="I549" s="135">
        <v>10</v>
      </c>
      <c r="J549" s="123">
        <f>C549*I549</f>
        <v>440</v>
      </c>
      <c r="K549" s="124">
        <f>SUM(H549,J549)</f>
        <v>651.20000000000005</v>
      </c>
      <c r="L549" s="123">
        <f>K549/C549</f>
        <v>14.8</v>
      </c>
      <c r="M549" s="125">
        <f>C549*L549</f>
        <v>651.20000000000005</v>
      </c>
      <c r="N549" s="131">
        <v>0</v>
      </c>
      <c r="O549" s="118">
        <f>M549*N549</f>
        <v>0</v>
      </c>
      <c r="P549" s="455"/>
      <c r="Q549" s="455"/>
      <c r="R549" s="455"/>
      <c r="S549" s="455"/>
      <c r="T549" s="154"/>
      <c r="U549" s="155"/>
      <c r="V549" s="136"/>
      <c r="W549" s="63"/>
      <c r="X549" s="63"/>
      <c r="Y549" s="62"/>
      <c r="Z549" s="62"/>
      <c r="AA549" s="103"/>
      <c r="AB549" s="103"/>
    </row>
    <row r="550" spans="1:28" s="70" customFormat="1" ht="14.25" x14ac:dyDescent="0.2">
      <c r="A550" s="60"/>
      <c r="B550" s="114"/>
      <c r="C550" s="152"/>
      <c r="D550" s="153"/>
      <c r="E550" s="122"/>
      <c r="F550" s="122"/>
      <c r="G550" s="122"/>
      <c r="H550" s="123"/>
      <c r="I550" s="135"/>
      <c r="J550" s="123"/>
      <c r="K550" s="124"/>
      <c r="L550" s="123"/>
      <c r="M550" s="125"/>
      <c r="N550" s="131"/>
      <c r="O550" s="118"/>
      <c r="P550" s="455"/>
      <c r="Q550" s="455"/>
      <c r="R550" s="455"/>
      <c r="S550" s="455"/>
      <c r="T550" s="154"/>
      <c r="U550" s="155"/>
      <c r="V550" s="136"/>
      <c r="W550" s="63"/>
      <c r="X550" s="63"/>
      <c r="Y550" s="62"/>
      <c r="Z550" s="62"/>
      <c r="AA550" s="103"/>
      <c r="AB550" s="103"/>
    </row>
    <row r="551" spans="1:28" s="70" customFormat="1" ht="14.25" x14ac:dyDescent="0.2">
      <c r="A551" s="60"/>
      <c r="B551" s="165" t="s">
        <v>65</v>
      </c>
      <c r="C551" s="152"/>
      <c r="D551" s="153"/>
      <c r="E551" s="122"/>
      <c r="F551" s="122"/>
      <c r="G551" s="122"/>
      <c r="H551" s="123"/>
      <c r="I551" s="135"/>
      <c r="J551" s="123"/>
      <c r="K551" s="124"/>
      <c r="L551" s="123"/>
      <c r="M551" s="125"/>
      <c r="N551" s="131"/>
      <c r="O551" s="118"/>
      <c r="P551" s="455"/>
      <c r="Q551" s="455"/>
      <c r="R551" s="455"/>
      <c r="S551" s="455"/>
      <c r="T551" s="154"/>
      <c r="U551" s="155"/>
      <c r="V551" s="136"/>
      <c r="W551" s="63"/>
      <c r="X551" s="63"/>
      <c r="Y551" s="62"/>
      <c r="Z551" s="62"/>
      <c r="AA551" s="103"/>
      <c r="AB551" s="103"/>
    </row>
    <row r="552" spans="1:28" s="70" customFormat="1" ht="14.25" x14ac:dyDescent="0.2">
      <c r="A552" s="60"/>
      <c r="B552" s="151" t="s">
        <v>138</v>
      </c>
      <c r="C552" s="152">
        <v>56</v>
      </c>
      <c r="D552" s="153" t="s">
        <v>45</v>
      </c>
      <c r="E552" s="392">
        <v>0.4</v>
      </c>
      <c r="F552" s="122">
        <f>C552*E552</f>
        <v>22.400000000000002</v>
      </c>
      <c r="G552" s="122">
        <f>$H$11*E552</f>
        <v>16</v>
      </c>
      <c r="H552" s="123">
        <f>F552*$H$11</f>
        <v>896.00000000000011</v>
      </c>
      <c r="I552" s="135">
        <v>32</v>
      </c>
      <c r="J552" s="123">
        <f>C552*I552</f>
        <v>1792</v>
      </c>
      <c r="K552" s="124">
        <f>SUM(H552,J552)</f>
        <v>2688</v>
      </c>
      <c r="L552" s="123">
        <f>K552/C552</f>
        <v>48</v>
      </c>
      <c r="M552" s="125">
        <f>C552*L552</f>
        <v>2688</v>
      </c>
      <c r="N552" s="131">
        <v>0</v>
      </c>
      <c r="O552" s="118">
        <f>M552*N552</f>
        <v>0</v>
      </c>
      <c r="P552" s="455"/>
      <c r="Q552" s="455"/>
      <c r="R552" s="455"/>
      <c r="S552" s="455"/>
      <c r="T552" s="154"/>
      <c r="U552" s="155"/>
      <c r="V552" s="136"/>
      <c r="W552" s="63"/>
      <c r="X552" s="63"/>
      <c r="Y552" s="62"/>
      <c r="Z552" s="62"/>
      <c r="AA552" s="103"/>
      <c r="AB552" s="103"/>
    </row>
    <row r="553" spans="1:28" s="70" customFormat="1" ht="14.25" x14ac:dyDescent="0.2">
      <c r="A553" s="60"/>
      <c r="B553" s="151" t="s">
        <v>139</v>
      </c>
      <c r="C553" s="152">
        <v>38</v>
      </c>
      <c r="D553" s="153" t="s">
        <v>46</v>
      </c>
      <c r="E553" s="122">
        <v>0.2</v>
      </c>
      <c r="F553" s="122">
        <f>C553*E553</f>
        <v>7.6000000000000005</v>
      </c>
      <c r="G553" s="122">
        <f>$H$11*E553</f>
        <v>8</v>
      </c>
      <c r="H553" s="123">
        <f>F553*$H$11</f>
        <v>304</v>
      </c>
      <c r="I553" s="135">
        <v>0</v>
      </c>
      <c r="J553" s="123">
        <f>C553*I553</f>
        <v>0</v>
      </c>
      <c r="K553" s="124">
        <f>SUM(H553,J553)</f>
        <v>304</v>
      </c>
      <c r="L553" s="123">
        <f>K553/C553</f>
        <v>8</v>
      </c>
      <c r="M553" s="125">
        <f>C553*L553</f>
        <v>304</v>
      </c>
      <c r="N553" s="131">
        <v>0</v>
      </c>
      <c r="O553" s="118">
        <f>M553*N553</f>
        <v>0</v>
      </c>
      <c r="P553" s="455"/>
      <c r="Q553" s="455"/>
      <c r="R553" s="455"/>
      <c r="S553" s="455"/>
      <c r="T553" s="154"/>
      <c r="U553" s="155"/>
      <c r="V553" s="136"/>
      <c r="W553" s="63"/>
      <c r="X553" s="63"/>
      <c r="Y553" s="62"/>
      <c r="Z553" s="62"/>
      <c r="AA553" s="103"/>
      <c r="AB553" s="103"/>
    </row>
    <row r="554" spans="1:28" s="70" customFormat="1" ht="14.25" x14ac:dyDescent="0.2">
      <c r="A554" s="60"/>
      <c r="B554" s="151" t="s">
        <v>105</v>
      </c>
      <c r="C554" s="152">
        <v>76</v>
      </c>
      <c r="D554" s="153" t="s">
        <v>46</v>
      </c>
      <c r="E554" s="122">
        <v>0.1</v>
      </c>
      <c r="F554" s="122">
        <f>C554*E554</f>
        <v>7.6000000000000005</v>
      </c>
      <c r="G554" s="122">
        <f>$H$11*E554</f>
        <v>4</v>
      </c>
      <c r="H554" s="123">
        <f>F554*$H$11</f>
        <v>304</v>
      </c>
      <c r="I554" s="135">
        <v>2.5</v>
      </c>
      <c r="J554" s="123">
        <f>C554*I554</f>
        <v>190</v>
      </c>
      <c r="K554" s="124">
        <f>SUM(H554,J554)</f>
        <v>494</v>
      </c>
      <c r="L554" s="123">
        <f>K554/C554</f>
        <v>6.5</v>
      </c>
      <c r="M554" s="125">
        <f>C554*L554</f>
        <v>494</v>
      </c>
      <c r="N554" s="131">
        <v>0</v>
      </c>
      <c r="O554" s="118">
        <f>M554*N554</f>
        <v>0</v>
      </c>
      <c r="P554" s="455"/>
      <c r="Q554" s="455"/>
      <c r="R554" s="455"/>
      <c r="S554" s="455"/>
      <c r="T554" s="154"/>
      <c r="U554" s="155"/>
      <c r="V554" s="136"/>
      <c r="W554" s="63"/>
      <c r="X554" s="63"/>
      <c r="Y554" s="62"/>
      <c r="Z554" s="62"/>
      <c r="AA554" s="103"/>
      <c r="AB554" s="103"/>
    </row>
    <row r="555" spans="1:28" s="70" customFormat="1" ht="14.25" x14ac:dyDescent="0.2">
      <c r="A555" s="60"/>
      <c r="B555" s="151"/>
      <c r="C555" s="152"/>
      <c r="D555" s="153"/>
      <c r="E555" s="122"/>
      <c r="F555" s="122"/>
      <c r="G555" s="122"/>
      <c r="H555" s="123"/>
      <c r="I555" s="135"/>
      <c r="J555" s="123"/>
      <c r="K555" s="124"/>
      <c r="L555" s="123"/>
      <c r="M555" s="125"/>
      <c r="N555" s="131"/>
      <c r="O555" s="118"/>
      <c r="P555" s="455"/>
      <c r="Q555" s="455"/>
      <c r="R555" s="455"/>
      <c r="S555" s="455"/>
      <c r="T555" s="154"/>
      <c r="U555" s="155"/>
      <c r="V555" s="136"/>
      <c r="W555" s="63"/>
      <c r="X555" s="63"/>
      <c r="Y555" s="62"/>
      <c r="Z555" s="62"/>
      <c r="AA555" s="103"/>
      <c r="AB555" s="103"/>
    </row>
    <row r="556" spans="1:28" s="70" customFormat="1" ht="14.25" x14ac:dyDescent="0.2">
      <c r="A556" s="60"/>
      <c r="B556" s="151" t="s">
        <v>140</v>
      </c>
      <c r="C556" s="152">
        <v>5</v>
      </c>
      <c r="D556" s="153" t="s">
        <v>45</v>
      </c>
      <c r="E556" s="392">
        <v>0.4</v>
      </c>
      <c r="F556" s="122">
        <f>C556*E556</f>
        <v>2</v>
      </c>
      <c r="G556" s="122">
        <f>$H$11*E556</f>
        <v>16</v>
      </c>
      <c r="H556" s="123">
        <f>F556*$H$11</f>
        <v>80</v>
      </c>
      <c r="I556" s="135">
        <v>32</v>
      </c>
      <c r="J556" s="123">
        <f>C556*I556</f>
        <v>160</v>
      </c>
      <c r="K556" s="124">
        <f>SUM(H556,J556)</f>
        <v>240</v>
      </c>
      <c r="L556" s="123">
        <f>K556/C556</f>
        <v>48</v>
      </c>
      <c r="M556" s="125">
        <f>C556*L556</f>
        <v>240</v>
      </c>
      <c r="N556" s="131">
        <v>0</v>
      </c>
      <c r="O556" s="118">
        <f>M556*N556</f>
        <v>0</v>
      </c>
      <c r="P556" s="455"/>
      <c r="Q556" s="455"/>
      <c r="R556" s="455"/>
      <c r="S556" s="455"/>
      <c r="T556" s="154"/>
      <c r="U556" s="155"/>
      <c r="V556" s="136"/>
      <c r="W556" s="63"/>
      <c r="X556" s="63"/>
      <c r="Y556" s="62"/>
      <c r="Z556" s="62"/>
      <c r="AA556" s="103"/>
      <c r="AB556" s="103"/>
    </row>
    <row r="557" spans="1:28" s="70" customFormat="1" ht="14.25" x14ac:dyDescent="0.2">
      <c r="A557" s="60"/>
      <c r="B557" s="151" t="s">
        <v>139</v>
      </c>
      <c r="C557" s="152">
        <v>10</v>
      </c>
      <c r="D557" s="153" t="s">
        <v>46</v>
      </c>
      <c r="E557" s="122">
        <v>0.2</v>
      </c>
      <c r="F557" s="122">
        <f>C557*E557</f>
        <v>2</v>
      </c>
      <c r="G557" s="122">
        <f>$H$11*E557</f>
        <v>8</v>
      </c>
      <c r="H557" s="123">
        <f>F557*$H$11</f>
        <v>80</v>
      </c>
      <c r="I557" s="135">
        <v>0</v>
      </c>
      <c r="J557" s="123">
        <f>C557*I557</f>
        <v>0</v>
      </c>
      <c r="K557" s="124">
        <f>SUM(H557,J557)</f>
        <v>80</v>
      </c>
      <c r="L557" s="123">
        <f>K557/C557</f>
        <v>8</v>
      </c>
      <c r="M557" s="125">
        <f>C557*L557</f>
        <v>80</v>
      </c>
      <c r="N557" s="131">
        <v>0</v>
      </c>
      <c r="O557" s="118">
        <f>M557*N557</f>
        <v>0</v>
      </c>
      <c r="P557" s="455"/>
      <c r="Q557" s="455"/>
      <c r="R557" s="455"/>
      <c r="S557" s="455"/>
      <c r="T557" s="154"/>
      <c r="U557" s="155"/>
      <c r="V557" s="136"/>
      <c r="W557" s="63"/>
      <c r="X557" s="63"/>
      <c r="Y557" s="62"/>
      <c r="Z557" s="62"/>
      <c r="AA557" s="103"/>
      <c r="AB557" s="103"/>
    </row>
    <row r="558" spans="1:28" s="70" customFormat="1" ht="14.25" x14ac:dyDescent="0.2">
      <c r="A558" s="60"/>
      <c r="B558" s="151" t="s">
        <v>105</v>
      </c>
      <c r="C558" s="152">
        <v>10</v>
      </c>
      <c r="D558" s="153" t="s">
        <v>46</v>
      </c>
      <c r="E558" s="122">
        <v>0.1</v>
      </c>
      <c r="F558" s="122">
        <f>C558*E558</f>
        <v>1</v>
      </c>
      <c r="G558" s="122">
        <f>$H$11*E558</f>
        <v>4</v>
      </c>
      <c r="H558" s="123">
        <f>F558*$H$11</f>
        <v>40</v>
      </c>
      <c r="I558" s="135">
        <v>2.5</v>
      </c>
      <c r="J558" s="123">
        <f>C558*I558</f>
        <v>25</v>
      </c>
      <c r="K558" s="124">
        <f>SUM(H558,J558)</f>
        <v>65</v>
      </c>
      <c r="L558" s="123">
        <f>K558/C558</f>
        <v>6.5</v>
      </c>
      <c r="M558" s="125">
        <f>C558*L558</f>
        <v>65</v>
      </c>
      <c r="N558" s="131">
        <v>0</v>
      </c>
      <c r="O558" s="118">
        <f>M558*N558</f>
        <v>0</v>
      </c>
      <c r="P558" s="455"/>
      <c r="Q558" s="455"/>
      <c r="R558" s="455"/>
      <c r="S558" s="455"/>
      <c r="T558" s="154"/>
      <c r="U558" s="155"/>
      <c r="V558" s="136"/>
      <c r="W558" s="63"/>
      <c r="X558" s="63"/>
      <c r="Y558" s="62"/>
      <c r="Z558" s="62"/>
      <c r="AA558" s="103"/>
      <c r="AB558" s="103"/>
    </row>
    <row r="559" spans="1:28" s="70" customFormat="1" ht="14.25" x14ac:dyDescent="0.2">
      <c r="A559" s="60"/>
      <c r="B559" s="151"/>
      <c r="C559" s="152"/>
      <c r="D559" s="153"/>
      <c r="E559" s="122"/>
      <c r="F559" s="122"/>
      <c r="G559" s="122"/>
      <c r="H559" s="123"/>
      <c r="I559" s="135"/>
      <c r="J559" s="123"/>
      <c r="K559" s="124"/>
      <c r="L559" s="123"/>
      <c r="M559" s="125"/>
      <c r="N559" s="131"/>
      <c r="O559" s="118"/>
      <c r="P559" s="455"/>
      <c r="Q559" s="455"/>
      <c r="R559" s="455"/>
      <c r="S559" s="455"/>
      <c r="T559" s="154"/>
      <c r="U559" s="155"/>
      <c r="V559" s="136"/>
      <c r="W559" s="63"/>
      <c r="X559" s="63"/>
      <c r="Y559" s="62"/>
      <c r="Z559" s="62"/>
      <c r="AA559" s="103"/>
      <c r="AB559" s="103"/>
    </row>
    <row r="560" spans="1:28" s="70" customFormat="1" ht="14.25" x14ac:dyDescent="0.2">
      <c r="A560" s="60"/>
      <c r="B560" s="151" t="s">
        <v>141</v>
      </c>
      <c r="C560" s="152">
        <v>17</v>
      </c>
      <c r="D560" s="153" t="s">
        <v>45</v>
      </c>
      <c r="E560" s="392">
        <v>0.4</v>
      </c>
      <c r="F560" s="122">
        <f>C560*E560</f>
        <v>6.8000000000000007</v>
      </c>
      <c r="G560" s="122">
        <f>$H$11*E560</f>
        <v>16</v>
      </c>
      <c r="H560" s="123">
        <f>F560*$H$11</f>
        <v>272</v>
      </c>
      <c r="I560" s="135">
        <v>32</v>
      </c>
      <c r="J560" s="123">
        <f>C560*I560</f>
        <v>544</v>
      </c>
      <c r="K560" s="124">
        <f>SUM(H560,J560)</f>
        <v>816</v>
      </c>
      <c r="L560" s="123">
        <f>K560/C560</f>
        <v>48</v>
      </c>
      <c r="M560" s="125">
        <f>C560*L560</f>
        <v>816</v>
      </c>
      <c r="N560" s="131">
        <v>0</v>
      </c>
      <c r="O560" s="118">
        <f>M560*N560</f>
        <v>0</v>
      </c>
      <c r="P560" s="455"/>
      <c r="Q560" s="455"/>
      <c r="R560" s="455"/>
      <c r="S560" s="455"/>
      <c r="T560" s="154"/>
      <c r="U560" s="155"/>
      <c r="V560" s="136"/>
      <c r="W560" s="63"/>
      <c r="X560" s="63"/>
      <c r="Y560" s="62"/>
      <c r="Z560" s="62"/>
      <c r="AA560" s="103"/>
      <c r="AB560" s="103"/>
    </row>
    <row r="561" spans="1:28" s="70" customFormat="1" ht="14.25" x14ac:dyDescent="0.2">
      <c r="A561" s="60"/>
      <c r="B561" s="151" t="s">
        <v>139</v>
      </c>
      <c r="C561" s="152">
        <v>46</v>
      </c>
      <c r="D561" s="153" t="s">
        <v>46</v>
      </c>
      <c r="E561" s="122">
        <v>0.2</v>
      </c>
      <c r="F561" s="122">
        <f>C561*E561</f>
        <v>9.2000000000000011</v>
      </c>
      <c r="G561" s="122">
        <f>$H$11*E561</f>
        <v>8</v>
      </c>
      <c r="H561" s="123">
        <f>F561*$H$11</f>
        <v>368.00000000000006</v>
      </c>
      <c r="I561" s="135">
        <v>0</v>
      </c>
      <c r="J561" s="123">
        <f>C561*I561</f>
        <v>0</v>
      </c>
      <c r="K561" s="124">
        <f>SUM(H561,J561)</f>
        <v>368.00000000000006</v>
      </c>
      <c r="L561" s="123">
        <f>K561/C561</f>
        <v>8.0000000000000018</v>
      </c>
      <c r="M561" s="125">
        <f>C561*L561</f>
        <v>368.00000000000006</v>
      </c>
      <c r="N561" s="131">
        <v>0</v>
      </c>
      <c r="O561" s="118">
        <f>M561*N561</f>
        <v>0</v>
      </c>
      <c r="P561" s="455"/>
      <c r="Q561" s="455"/>
      <c r="R561" s="455"/>
      <c r="S561" s="455"/>
      <c r="T561" s="154"/>
      <c r="U561" s="155"/>
      <c r="V561" s="136"/>
      <c r="W561" s="63"/>
      <c r="X561" s="63"/>
      <c r="Y561" s="62"/>
      <c r="Z561" s="62"/>
      <c r="AA561" s="103"/>
      <c r="AB561" s="103"/>
    </row>
    <row r="562" spans="1:28" s="70" customFormat="1" ht="14.25" x14ac:dyDescent="0.2">
      <c r="A562" s="60"/>
      <c r="B562" s="151" t="s">
        <v>105</v>
      </c>
      <c r="C562" s="152">
        <v>46</v>
      </c>
      <c r="D562" s="153" t="s">
        <v>46</v>
      </c>
      <c r="E562" s="122">
        <v>0.1</v>
      </c>
      <c r="F562" s="122">
        <f>C562*E562</f>
        <v>4.6000000000000005</v>
      </c>
      <c r="G562" s="122">
        <f>$H$11*E562</f>
        <v>4</v>
      </c>
      <c r="H562" s="123">
        <f>F562*$H$11</f>
        <v>184.00000000000003</v>
      </c>
      <c r="I562" s="135">
        <v>2.5</v>
      </c>
      <c r="J562" s="123">
        <f>C562*I562</f>
        <v>115</v>
      </c>
      <c r="K562" s="124">
        <f>SUM(H562,J562)</f>
        <v>299</v>
      </c>
      <c r="L562" s="123">
        <f>K562/C562</f>
        <v>6.5</v>
      </c>
      <c r="M562" s="125">
        <f>C562*L562</f>
        <v>299</v>
      </c>
      <c r="N562" s="131">
        <v>0</v>
      </c>
      <c r="O562" s="118">
        <f>M562*N562</f>
        <v>0</v>
      </c>
      <c r="P562" s="455"/>
      <c r="Q562" s="455"/>
      <c r="R562" s="455"/>
      <c r="S562" s="455"/>
      <c r="T562" s="154"/>
      <c r="U562" s="155"/>
      <c r="V562" s="136"/>
      <c r="W562" s="63"/>
      <c r="X562" s="63"/>
      <c r="Y562" s="62"/>
      <c r="Z562" s="62"/>
      <c r="AA562" s="103"/>
      <c r="AB562" s="103"/>
    </row>
    <row r="563" spans="1:28" s="70" customFormat="1" ht="14.25" x14ac:dyDescent="0.2">
      <c r="A563" s="60"/>
      <c r="B563" s="151"/>
      <c r="C563" s="152"/>
      <c r="D563" s="153"/>
      <c r="E563" s="122"/>
      <c r="F563" s="122"/>
      <c r="G563" s="122"/>
      <c r="H563" s="123"/>
      <c r="I563" s="135"/>
      <c r="J563" s="123"/>
      <c r="K563" s="124"/>
      <c r="L563" s="123"/>
      <c r="M563" s="125"/>
      <c r="N563" s="131"/>
      <c r="O563" s="118"/>
      <c r="P563" s="455"/>
      <c r="Q563" s="455"/>
      <c r="R563" s="455"/>
      <c r="S563" s="455"/>
      <c r="T563" s="154"/>
      <c r="U563" s="155"/>
      <c r="V563" s="136"/>
      <c r="W563" s="63"/>
      <c r="X563" s="63"/>
      <c r="Y563" s="62"/>
      <c r="Z563" s="62"/>
      <c r="AA563" s="103"/>
      <c r="AB563" s="103"/>
    </row>
    <row r="564" spans="1:28" s="70" customFormat="1" ht="14.25" x14ac:dyDescent="0.2">
      <c r="A564" s="60"/>
      <c r="B564" s="151" t="s">
        <v>142</v>
      </c>
      <c r="C564" s="152">
        <v>7</v>
      </c>
      <c r="D564" s="153" t="s">
        <v>45</v>
      </c>
      <c r="E564" s="392">
        <v>0.4</v>
      </c>
      <c r="F564" s="122">
        <f>C564*E564</f>
        <v>2.8000000000000003</v>
      </c>
      <c r="G564" s="122">
        <f>$H$11*E564</f>
        <v>16</v>
      </c>
      <c r="H564" s="123">
        <f>F564*$H$11</f>
        <v>112.00000000000001</v>
      </c>
      <c r="I564" s="135">
        <v>32</v>
      </c>
      <c r="J564" s="123">
        <f>C564*I564</f>
        <v>224</v>
      </c>
      <c r="K564" s="124">
        <f>SUM(H564,J564)</f>
        <v>336</v>
      </c>
      <c r="L564" s="123">
        <f>K564/C564</f>
        <v>48</v>
      </c>
      <c r="M564" s="125">
        <f>C564*L564</f>
        <v>336</v>
      </c>
      <c r="N564" s="131">
        <v>0</v>
      </c>
      <c r="O564" s="118">
        <f>M564*N564</f>
        <v>0</v>
      </c>
      <c r="P564" s="455"/>
      <c r="Q564" s="455"/>
      <c r="R564" s="455"/>
      <c r="S564" s="455"/>
      <c r="T564" s="265">
        <f>SUM(C564,C560,C556,C552,C546,C542,C538,C534,C528,C527,C526,C523,C520,C519,C518,C517,C515,C513)</f>
        <v>1130</v>
      </c>
      <c r="U564" s="155"/>
      <c r="V564" s="136"/>
      <c r="W564" s="63"/>
      <c r="X564" s="63"/>
      <c r="Y564" s="62"/>
      <c r="Z564" s="62"/>
      <c r="AA564" s="103"/>
      <c r="AB564" s="103"/>
    </row>
    <row r="565" spans="1:28" s="70" customFormat="1" ht="14.25" x14ac:dyDescent="0.2">
      <c r="A565" s="60"/>
      <c r="B565" s="151" t="s">
        <v>139</v>
      </c>
      <c r="C565" s="152">
        <v>10</v>
      </c>
      <c r="D565" s="153" t="s">
        <v>46</v>
      </c>
      <c r="E565" s="122">
        <v>0.2</v>
      </c>
      <c r="F565" s="122">
        <f>C565*E565</f>
        <v>2</v>
      </c>
      <c r="G565" s="122">
        <f>$H$11*E565</f>
        <v>8</v>
      </c>
      <c r="H565" s="123">
        <f>F565*$H$11</f>
        <v>80</v>
      </c>
      <c r="I565" s="135">
        <v>0</v>
      </c>
      <c r="J565" s="123">
        <f>C565*I565</f>
        <v>0</v>
      </c>
      <c r="K565" s="124">
        <f>SUM(H565,J565)</f>
        <v>80</v>
      </c>
      <c r="L565" s="123">
        <f>K565/C565</f>
        <v>8</v>
      </c>
      <c r="M565" s="125">
        <f>C565*L565</f>
        <v>80</v>
      </c>
      <c r="N565" s="131">
        <v>0</v>
      </c>
      <c r="O565" s="118">
        <f>M565*N565</f>
        <v>0</v>
      </c>
      <c r="P565" s="455"/>
      <c r="Q565" s="455"/>
      <c r="R565" s="455"/>
      <c r="S565" s="455"/>
      <c r="T565" s="154"/>
      <c r="U565" s="155"/>
      <c r="V565" s="136"/>
      <c r="W565" s="63"/>
      <c r="X565" s="63"/>
      <c r="Y565" s="62"/>
      <c r="Z565" s="62"/>
      <c r="AA565" s="103"/>
      <c r="AB565" s="103"/>
    </row>
    <row r="566" spans="1:28" s="70" customFormat="1" ht="14.25" x14ac:dyDescent="0.2">
      <c r="A566" s="60"/>
      <c r="B566" s="151"/>
      <c r="C566" s="152"/>
      <c r="D566" s="153"/>
      <c r="E566" s="122"/>
      <c r="F566" s="122"/>
      <c r="G566" s="122"/>
      <c r="H566" s="123"/>
      <c r="I566" s="135"/>
      <c r="J566" s="123"/>
      <c r="K566" s="124"/>
      <c r="L566" s="123"/>
      <c r="M566" s="125">
        <f>-T511</f>
        <v>-1272</v>
      </c>
      <c r="N566" s="131"/>
      <c r="O566" s="118"/>
      <c r="P566" s="455"/>
      <c r="Q566" s="455"/>
      <c r="R566" s="455"/>
      <c r="S566" s="455"/>
      <c r="T566" s="154"/>
      <c r="U566" s="155"/>
      <c r="V566" s="136"/>
      <c r="W566" s="63"/>
      <c r="X566" s="63"/>
      <c r="Y566" s="62"/>
      <c r="Z566" s="62"/>
      <c r="AA566" s="103"/>
      <c r="AB566" s="103"/>
    </row>
    <row r="567" spans="1:28" x14ac:dyDescent="0.2">
      <c r="B567" s="151"/>
      <c r="C567" s="152"/>
      <c r="D567" s="153"/>
      <c r="E567" s="173"/>
      <c r="F567" s="173"/>
      <c r="G567" s="173"/>
      <c r="H567" s="173"/>
      <c r="I567" s="173"/>
      <c r="J567" s="173"/>
      <c r="K567" s="173"/>
      <c r="L567" s="173"/>
      <c r="M567" s="173"/>
      <c r="N567" s="174"/>
      <c r="O567" s="173"/>
      <c r="P567" s="452">
        <f>SUM(M513:M566)</f>
        <v>38028.379999999997</v>
      </c>
      <c r="Q567" s="450">
        <f>P567*SUM($L$585:$L$589)</f>
        <v>3612.6960999999997</v>
      </c>
      <c r="R567" s="266"/>
      <c r="S567" s="266"/>
    </row>
    <row r="568" spans="1:28" x14ac:dyDescent="0.2">
      <c r="B568" s="151"/>
      <c r="C568" s="152"/>
      <c r="D568" s="153"/>
      <c r="E568" s="173"/>
      <c r="F568" s="173"/>
      <c r="G568" s="173"/>
      <c r="H568" s="173"/>
      <c r="I568" s="173"/>
      <c r="J568" s="173"/>
      <c r="K568" s="173"/>
      <c r="L568" s="173"/>
      <c r="M568" s="173"/>
      <c r="N568" s="174"/>
      <c r="O568" s="173"/>
      <c r="P568" s="451">
        <f>P567/$M$582</f>
        <v>9.7672034414074294E-2</v>
      </c>
      <c r="Q568" s="452">
        <f>P568*$M$593</f>
        <v>824.65499794155755</v>
      </c>
      <c r="R568" s="452">
        <f>SUM(P567,Q567,Q568)</f>
        <v>42465.731097941556</v>
      </c>
      <c r="S568" s="452">
        <f>R568*1.08</f>
        <v>45862.989585776886</v>
      </c>
    </row>
    <row r="569" spans="1:28" s="70" customFormat="1" ht="14.25" x14ac:dyDescent="0.2">
      <c r="A569" s="60"/>
      <c r="B569" s="151"/>
      <c r="C569" s="152"/>
      <c r="D569" s="153"/>
      <c r="E569" s="122"/>
      <c r="F569" s="122"/>
      <c r="G569" s="122"/>
      <c r="H569" s="123"/>
      <c r="I569" s="135"/>
      <c r="J569" s="123"/>
      <c r="K569" s="124"/>
      <c r="L569" s="123"/>
      <c r="M569" s="125"/>
      <c r="N569" s="131"/>
      <c r="O569" s="118"/>
      <c r="P569" s="455"/>
      <c r="Q569" s="455"/>
      <c r="R569" s="455"/>
      <c r="S569" s="455"/>
      <c r="T569" s="154"/>
      <c r="U569" s="155"/>
      <c r="V569" s="136"/>
      <c r="W569" s="63"/>
      <c r="X569" s="63"/>
      <c r="Y569" s="62"/>
      <c r="Z569" s="62"/>
      <c r="AA569" s="103"/>
      <c r="AB569" s="103"/>
    </row>
    <row r="570" spans="1:28" s="70" customFormat="1" ht="15" x14ac:dyDescent="0.2">
      <c r="A570" s="60"/>
      <c r="B570" s="169" t="s">
        <v>97</v>
      </c>
      <c r="C570" s="152"/>
      <c r="D570" s="153"/>
      <c r="E570" s="122"/>
      <c r="F570" s="122"/>
      <c r="G570" s="122"/>
      <c r="H570" s="123"/>
      <c r="I570" s="135"/>
      <c r="J570" s="123"/>
      <c r="K570" s="124"/>
      <c r="L570" s="123"/>
      <c r="M570" s="125"/>
      <c r="N570" s="131"/>
      <c r="O570" s="118"/>
      <c r="P570" s="455"/>
      <c r="Q570" s="455"/>
      <c r="R570" s="455"/>
      <c r="S570" s="455"/>
      <c r="T570" s="154"/>
      <c r="U570" s="155"/>
      <c r="V570" s="136"/>
      <c r="W570" s="63"/>
      <c r="X570" s="63"/>
      <c r="Y570" s="62"/>
      <c r="Z570" s="62"/>
      <c r="AA570" s="103"/>
      <c r="AB570" s="103"/>
    </row>
    <row r="571" spans="1:28" s="70" customFormat="1" ht="14.25" x14ac:dyDescent="0.2">
      <c r="A571" s="60"/>
      <c r="B571" s="165" t="s">
        <v>72</v>
      </c>
      <c r="C571" s="152"/>
      <c r="D571" s="153"/>
      <c r="E571" s="122"/>
      <c r="F571" s="122"/>
      <c r="G571" s="122"/>
      <c r="H571" s="123"/>
      <c r="I571" s="135"/>
      <c r="J571" s="123"/>
      <c r="K571" s="124"/>
      <c r="L571" s="123"/>
      <c r="M571" s="125"/>
      <c r="N571" s="131"/>
      <c r="O571" s="118"/>
      <c r="P571" s="455"/>
      <c r="Q571" s="455"/>
      <c r="R571" s="455"/>
      <c r="S571" s="455"/>
      <c r="T571" s="154"/>
      <c r="U571" s="155"/>
      <c r="V571" s="136"/>
      <c r="W571" s="63"/>
      <c r="X571" s="63"/>
      <c r="Y571" s="62"/>
      <c r="Z571" s="62"/>
      <c r="AA571" s="103"/>
      <c r="AB571" s="103"/>
    </row>
    <row r="572" spans="1:28" s="70" customFormat="1" ht="14.25" x14ac:dyDescent="0.2">
      <c r="A572" s="60"/>
      <c r="B572" s="146" t="s">
        <v>270</v>
      </c>
      <c r="C572" s="152">
        <v>138</v>
      </c>
      <c r="D572" s="153" t="s">
        <v>45</v>
      </c>
      <c r="E572" s="390">
        <v>0.2</v>
      </c>
      <c r="F572" s="122">
        <f>C572*E572</f>
        <v>27.6</v>
      </c>
      <c r="G572" s="122">
        <f>$H$11*E572</f>
        <v>8</v>
      </c>
      <c r="H572" s="123">
        <f>F572*$H$11</f>
        <v>1104</v>
      </c>
      <c r="I572" s="135">
        <v>25</v>
      </c>
      <c r="J572" s="123">
        <f>C572*I572</f>
        <v>3450</v>
      </c>
      <c r="K572" s="124">
        <f>SUM(H572,J572)</f>
        <v>4554</v>
      </c>
      <c r="L572" s="123">
        <f>K572/C572</f>
        <v>33</v>
      </c>
      <c r="M572" s="125">
        <f>C572*L572</f>
        <v>4554</v>
      </c>
      <c r="N572" s="131">
        <v>0</v>
      </c>
      <c r="O572" s="118">
        <f>M572*N572</f>
        <v>0</v>
      </c>
      <c r="P572" s="455"/>
      <c r="Q572" s="455"/>
      <c r="R572" s="455"/>
      <c r="S572" s="455"/>
      <c r="T572" s="154"/>
      <c r="U572" s="155"/>
      <c r="V572" s="136"/>
      <c r="W572" s="63"/>
      <c r="X572" s="63"/>
      <c r="Y572" s="62"/>
      <c r="Z572" s="62"/>
      <c r="AA572" s="103"/>
      <c r="AB572" s="103"/>
    </row>
    <row r="573" spans="1:28" s="70" customFormat="1" ht="14.25" x14ac:dyDescent="0.2">
      <c r="A573" s="60"/>
      <c r="B573" s="151" t="s">
        <v>105</v>
      </c>
      <c r="C573" s="152">
        <v>42</v>
      </c>
      <c r="D573" s="153" t="s">
        <v>46</v>
      </c>
      <c r="E573" s="122">
        <v>0.1</v>
      </c>
      <c r="F573" s="122">
        <f>C573*E573</f>
        <v>4.2</v>
      </c>
      <c r="G573" s="122">
        <f>$H$11*E573</f>
        <v>4</v>
      </c>
      <c r="H573" s="123">
        <f>F573*$H$11</f>
        <v>168</v>
      </c>
      <c r="I573" s="135">
        <v>2.5</v>
      </c>
      <c r="J573" s="123">
        <f>C573*I573</f>
        <v>105</v>
      </c>
      <c r="K573" s="124">
        <f>SUM(H573,J573)</f>
        <v>273</v>
      </c>
      <c r="L573" s="123">
        <f>K573/C573</f>
        <v>6.5</v>
      </c>
      <c r="M573" s="125">
        <f>C573*L573</f>
        <v>273</v>
      </c>
      <c r="N573" s="131">
        <v>0</v>
      </c>
      <c r="O573" s="118">
        <f>M573*N573</f>
        <v>0</v>
      </c>
      <c r="P573" s="455"/>
      <c r="Q573" s="455"/>
      <c r="R573" s="455"/>
      <c r="S573" s="455"/>
      <c r="T573" s="154"/>
      <c r="U573" s="155"/>
      <c r="V573" s="136"/>
      <c r="W573" s="63"/>
      <c r="X573" s="63"/>
      <c r="Y573" s="62"/>
      <c r="Z573" s="62"/>
      <c r="AA573" s="103"/>
      <c r="AB573" s="103"/>
    </row>
    <row r="574" spans="1:28" s="70" customFormat="1" ht="14.25" x14ac:dyDescent="0.2">
      <c r="A574" s="60"/>
      <c r="B574" s="146" t="s">
        <v>148</v>
      </c>
      <c r="C574" s="152">
        <v>121</v>
      </c>
      <c r="D574" s="153" t="s">
        <v>45</v>
      </c>
      <c r="E574" s="122">
        <v>0.2</v>
      </c>
      <c r="F574" s="122">
        <f>C574*E574</f>
        <v>24.200000000000003</v>
      </c>
      <c r="G574" s="122">
        <f>$H$11*E574</f>
        <v>8</v>
      </c>
      <c r="H574" s="123">
        <f>F574*$H$11</f>
        <v>968.00000000000011</v>
      </c>
      <c r="I574" s="135">
        <v>25</v>
      </c>
      <c r="J574" s="123">
        <f>C574*I574</f>
        <v>3025</v>
      </c>
      <c r="K574" s="124">
        <f>SUM(H574,J574)</f>
        <v>3993</v>
      </c>
      <c r="L574" s="123">
        <f>K574/C574</f>
        <v>33</v>
      </c>
      <c r="M574" s="125">
        <f>C574*L574</f>
        <v>3993</v>
      </c>
      <c r="N574" s="131">
        <v>0</v>
      </c>
      <c r="O574" s="118">
        <f>M574*N574</f>
        <v>0</v>
      </c>
      <c r="P574" s="455"/>
      <c r="Q574" s="455"/>
      <c r="R574" s="455"/>
      <c r="S574" s="455"/>
      <c r="T574" s="265">
        <f>SUM(C572,C574)</f>
        <v>259</v>
      </c>
      <c r="U574" s="155"/>
      <c r="V574" s="136"/>
      <c r="W574" s="63"/>
      <c r="X574" s="63"/>
      <c r="Y574" s="62"/>
      <c r="Z574" s="62"/>
      <c r="AA574" s="103"/>
      <c r="AB574" s="103"/>
    </row>
    <row r="575" spans="1:28" s="70" customFormat="1" ht="14.25" x14ac:dyDescent="0.2">
      <c r="A575" s="60"/>
      <c r="B575" s="146"/>
      <c r="C575" s="152"/>
      <c r="D575" s="153"/>
      <c r="E575" s="122"/>
      <c r="F575" s="122"/>
      <c r="G575" s="122"/>
      <c r="H575" s="123"/>
      <c r="I575" s="135"/>
      <c r="J575" s="123"/>
      <c r="K575" s="124"/>
      <c r="L575" s="123"/>
      <c r="M575" s="125"/>
      <c r="N575" s="131"/>
      <c r="O575" s="118"/>
      <c r="P575" s="452">
        <f>SUM(M572:M574)</f>
        <v>8820</v>
      </c>
      <c r="Q575" s="450">
        <f>P575*SUM($L$585:$L$589)</f>
        <v>837.9</v>
      </c>
      <c r="R575" s="266"/>
      <c r="S575" s="266"/>
      <c r="T575" s="266"/>
      <c r="U575" s="155"/>
      <c r="V575" s="136"/>
      <c r="W575" s="63"/>
      <c r="X575" s="63"/>
      <c r="Y575" s="62"/>
      <c r="Z575" s="62"/>
      <c r="AA575" s="103"/>
      <c r="AB575" s="103"/>
    </row>
    <row r="576" spans="1:28" s="70" customFormat="1" ht="15" x14ac:dyDescent="0.2">
      <c r="A576" s="60"/>
      <c r="B576" s="169" t="s">
        <v>396</v>
      </c>
      <c r="C576" s="152"/>
      <c r="D576" s="153"/>
      <c r="E576" s="122"/>
      <c r="F576" s="122"/>
      <c r="G576" s="122"/>
      <c r="H576" s="123"/>
      <c r="I576" s="135"/>
      <c r="J576" s="123"/>
      <c r="K576" s="124"/>
      <c r="L576" s="123"/>
      <c r="M576" s="125"/>
      <c r="N576" s="131"/>
      <c r="O576" s="118"/>
      <c r="P576" s="451">
        <f>P575/$M$582</f>
        <v>2.2653274831379494E-2</v>
      </c>
      <c r="Q576" s="452">
        <f>P576*$M$593</f>
        <v>191.26392136200747</v>
      </c>
      <c r="R576" s="452">
        <f>SUM(P575,Q575,Q576)</f>
        <v>9849.1639213620074</v>
      </c>
      <c r="S576" s="452">
        <f>R576*1.08</f>
        <v>10637.097035070969</v>
      </c>
      <c r="T576" s="452"/>
      <c r="U576" s="155"/>
      <c r="V576" s="136"/>
      <c r="W576" s="63"/>
      <c r="X576" s="63"/>
      <c r="Y576" s="62"/>
      <c r="Z576" s="62"/>
      <c r="AA576" s="103"/>
      <c r="AB576" s="103"/>
    </row>
    <row r="577" spans="1:28" s="70" customFormat="1" ht="14.25" x14ac:dyDescent="0.2">
      <c r="A577" s="60"/>
      <c r="B577" s="264" t="s">
        <v>394</v>
      </c>
      <c r="C577" s="170" t="s">
        <v>475</v>
      </c>
      <c r="D577" s="72"/>
      <c r="E577" s="122"/>
      <c r="F577" s="122"/>
      <c r="G577" s="122"/>
      <c r="H577" s="123"/>
      <c r="I577" s="135"/>
      <c r="J577" s="123"/>
      <c r="K577" s="124"/>
      <c r="L577" s="123"/>
      <c r="M577" s="125"/>
      <c r="N577" s="131"/>
      <c r="O577" s="118"/>
      <c r="P577" s="455"/>
      <c r="Q577" s="455"/>
      <c r="R577" s="455"/>
      <c r="S577" s="455"/>
      <c r="T577" s="265"/>
      <c r="U577" s="155"/>
      <c r="V577" s="136"/>
      <c r="W577" s="63"/>
      <c r="X577" s="63"/>
      <c r="Y577" s="62"/>
      <c r="Z577" s="62"/>
      <c r="AA577" s="103"/>
      <c r="AB577" s="103"/>
    </row>
    <row r="578" spans="1:28" s="70" customFormat="1" ht="14.25" x14ac:dyDescent="0.2">
      <c r="A578" s="60"/>
      <c r="B578" s="264"/>
      <c r="C578" s="61"/>
      <c r="D578" s="72"/>
      <c r="E578" s="122"/>
      <c r="F578" s="122"/>
      <c r="G578" s="122"/>
      <c r="H578" s="123"/>
      <c r="I578" s="135"/>
      <c r="J578" s="123"/>
      <c r="K578" s="124"/>
      <c r="L578" s="123"/>
      <c r="M578" s="125"/>
      <c r="N578" s="131"/>
      <c r="O578" s="118"/>
      <c r="P578" s="455"/>
      <c r="Q578" s="455"/>
      <c r="R578" s="455"/>
      <c r="S578" s="455"/>
      <c r="T578" s="265"/>
      <c r="U578" s="155"/>
      <c r="V578" s="136"/>
      <c r="W578" s="63"/>
      <c r="X578" s="63"/>
      <c r="Y578" s="62"/>
      <c r="Z578" s="62"/>
      <c r="AA578" s="103"/>
      <c r="AB578" s="103"/>
    </row>
    <row r="579" spans="1:28" s="70" customFormat="1" ht="14.25" x14ac:dyDescent="0.2">
      <c r="A579" s="395"/>
      <c r="B579" s="396" t="s">
        <v>447</v>
      </c>
      <c r="C579" s="397">
        <f>-SUM(T511,T448,T385,T322,T254,T205,T163,T145,T138,T123,T111,T98,T85,T72,T53,T28,T15)</f>
        <v>-12594</v>
      </c>
      <c r="D579" s="398"/>
      <c r="E579" s="399"/>
      <c r="F579" s="399"/>
      <c r="G579" s="399"/>
      <c r="H579" s="400"/>
      <c r="I579" s="401"/>
      <c r="J579" s="400"/>
      <c r="K579" s="402"/>
      <c r="L579" s="400"/>
      <c r="M579" s="403"/>
      <c r="N579" s="404">
        <v>0</v>
      </c>
      <c r="O579" s="405">
        <f>M579*N579</f>
        <v>0</v>
      </c>
      <c r="P579" s="456"/>
      <c r="Q579" s="456"/>
      <c r="R579" s="456"/>
      <c r="S579" s="456"/>
      <c r="T579" s="62"/>
      <c r="U579" s="63"/>
      <c r="V579" s="63"/>
      <c r="W579" s="63"/>
      <c r="X579" s="63"/>
      <c r="Y579" s="62"/>
      <c r="Z579" s="62"/>
      <c r="AA579" s="103"/>
      <c r="AB579" s="103"/>
    </row>
    <row r="580" spans="1:28" ht="14.25" x14ac:dyDescent="0.2">
      <c r="A580" s="60"/>
      <c r="B580" s="120"/>
      <c r="C580" s="126"/>
      <c r="D580" s="130"/>
      <c r="E580" s="121"/>
      <c r="F580" s="122"/>
      <c r="G580" s="122"/>
      <c r="H580" s="123"/>
      <c r="I580" s="123"/>
      <c r="J580" s="123"/>
      <c r="K580" s="124"/>
      <c r="L580" s="123"/>
      <c r="M580" s="125"/>
      <c r="N580" s="119"/>
      <c r="O580" s="118"/>
      <c r="P580" s="456"/>
      <c r="Q580" s="456"/>
      <c r="R580" s="456"/>
      <c r="S580" s="456"/>
      <c r="T580" s="62"/>
      <c r="U580" s="63"/>
      <c r="V580" s="63"/>
      <c r="W580" s="63"/>
      <c r="X580" s="63"/>
      <c r="Y580" s="62"/>
      <c r="Z580" s="62"/>
      <c r="AA580" s="17"/>
      <c r="AB580" s="17"/>
    </row>
    <row r="581" spans="1:28" ht="24" customHeight="1" x14ac:dyDescent="0.2">
      <c r="A581" s="29"/>
      <c r="B581" s="30"/>
      <c r="C581" s="31"/>
      <c r="D581" s="32"/>
      <c r="E581" s="32"/>
      <c r="F581" s="32">
        <f>SUM(F13:F580)</f>
        <v>3752.4900000000039</v>
      </c>
      <c r="G581" s="32"/>
      <c r="H581" s="83">
        <f>SUM(H13:H580)</f>
        <v>150099.6</v>
      </c>
      <c r="I581" s="32"/>
      <c r="J581" s="75">
        <f>SUM(J13:J580)</f>
        <v>251842.07999999987</v>
      </c>
      <c r="K581" s="32"/>
      <c r="L581" s="32"/>
      <c r="M581" s="66"/>
      <c r="N581" s="86"/>
      <c r="O581" s="96"/>
      <c r="P581" s="62"/>
      <c r="Q581" s="62"/>
      <c r="R581" s="452">
        <f>SUM(R14:R580)</f>
        <v>434778.8121000001</v>
      </c>
      <c r="S581" s="452">
        <f>SUM(S14:S580)</f>
        <v>469561.11706800002</v>
      </c>
      <c r="T581" s="452"/>
      <c r="U581" s="63"/>
      <c r="V581" s="63"/>
      <c r="W581" s="63"/>
      <c r="X581" s="63"/>
      <c r="Y581" s="62"/>
      <c r="Z581" s="62"/>
      <c r="AA581" s="17"/>
      <c r="AB581" s="17"/>
    </row>
    <row r="582" spans="1:28" ht="15" customHeight="1" x14ac:dyDescent="0.2">
      <c r="A582" s="13"/>
      <c r="B582" s="27" t="s">
        <v>16</v>
      </c>
      <c r="C582" s="23"/>
      <c r="D582" s="24"/>
      <c r="E582" s="24"/>
      <c r="F582" s="24"/>
      <c r="G582" s="24"/>
      <c r="H582" s="24"/>
      <c r="I582" s="24"/>
      <c r="J582" s="24"/>
      <c r="K582" s="24"/>
      <c r="L582" s="24"/>
      <c r="M582" s="25">
        <f>SUM(M13:M580)</f>
        <v>389347.68000000011</v>
      </c>
      <c r="N582" s="92"/>
      <c r="O582" s="95">
        <f>SUM(O13:O580)</f>
        <v>0</v>
      </c>
      <c r="P582" s="456"/>
      <c r="Q582" s="456"/>
      <c r="R582" s="456"/>
      <c r="S582" s="456"/>
      <c r="T582" s="62"/>
      <c r="U582" s="63"/>
      <c r="V582" s="63"/>
      <c r="W582" s="63"/>
      <c r="X582" s="63"/>
      <c r="Y582" s="62"/>
      <c r="Z582" s="62"/>
      <c r="AA582" s="17"/>
      <c r="AB582" s="17"/>
    </row>
    <row r="583" spans="1:28" x14ac:dyDescent="0.2">
      <c r="A583" s="11"/>
      <c r="B583" s="34" t="s">
        <v>12</v>
      </c>
      <c r="C583" s="23"/>
      <c r="D583" s="35"/>
      <c r="E583" s="35"/>
      <c r="F583" s="35"/>
      <c r="G583" s="35"/>
      <c r="H583" s="35"/>
      <c r="I583" s="35"/>
      <c r="J583" s="35"/>
      <c r="K583" s="35"/>
      <c r="L583" s="35"/>
      <c r="M583" s="25"/>
      <c r="N583" s="92"/>
      <c r="O583" s="95"/>
      <c r="P583" s="456"/>
      <c r="Q583" s="456"/>
      <c r="R583" s="456"/>
      <c r="S583" s="456"/>
      <c r="T583" s="62"/>
      <c r="U583" s="63"/>
      <c r="V583" s="63"/>
      <c r="W583" s="63"/>
      <c r="X583" s="63"/>
      <c r="Y583" s="62"/>
      <c r="Z583" s="62"/>
      <c r="AA583" s="17"/>
      <c r="AB583" s="17"/>
    </row>
    <row r="584" spans="1:28" ht="12.75" customHeight="1" x14ac:dyDescent="0.2">
      <c r="A584" s="11"/>
      <c r="B584" s="36"/>
      <c r="C584" s="23"/>
      <c r="D584" s="35"/>
      <c r="E584" s="35"/>
      <c r="F584" s="35"/>
      <c r="G584" s="35"/>
      <c r="H584" s="35"/>
      <c r="I584" s="35"/>
      <c r="J584" s="35"/>
      <c r="K584" s="35"/>
      <c r="L584" s="35"/>
      <c r="M584" s="25"/>
      <c r="N584" s="92"/>
      <c r="O584" s="95"/>
      <c r="P584" s="456"/>
      <c r="Q584" s="456"/>
      <c r="R584" s="456"/>
      <c r="S584" s="456"/>
      <c r="T584" s="57"/>
      <c r="U584" s="17"/>
      <c r="V584" s="58"/>
      <c r="W584" s="134"/>
      <c r="X584" s="59"/>
      <c r="Y584" s="26"/>
      <c r="Z584" s="17"/>
      <c r="AA584" s="17"/>
      <c r="AB584" s="17"/>
    </row>
    <row r="585" spans="1:28" ht="12.75" customHeight="1" x14ac:dyDescent="0.2">
      <c r="A585" s="13"/>
      <c r="B585" s="11" t="s">
        <v>8</v>
      </c>
      <c r="C585" s="23"/>
      <c r="D585" s="35" t="s">
        <v>5</v>
      </c>
      <c r="E585" s="35"/>
      <c r="F585" s="35"/>
      <c r="G585" s="35"/>
      <c r="H585" s="35"/>
      <c r="I585" s="35"/>
      <c r="J585" s="35"/>
      <c r="K585" s="35"/>
      <c r="L585" s="76">
        <v>0.06</v>
      </c>
      <c r="M585" s="81">
        <f>M582*L585</f>
        <v>23360.860800000006</v>
      </c>
      <c r="N585" s="156"/>
      <c r="O585" s="95">
        <f>($O$582/$M$582)*M585</f>
        <v>0</v>
      </c>
      <c r="P585" s="456"/>
      <c r="Q585" s="456"/>
      <c r="R585" s="456"/>
      <c r="S585" s="456"/>
      <c r="U585" s="16"/>
      <c r="V585" s="16"/>
      <c r="W585" s="56"/>
      <c r="Z585" s="17"/>
    </row>
    <row r="586" spans="1:28" ht="12.75" customHeight="1" x14ac:dyDescent="0.2">
      <c r="A586" s="37"/>
      <c r="B586" s="11"/>
      <c r="C586" s="23"/>
      <c r="D586" s="35"/>
      <c r="E586" s="35"/>
      <c r="F586" s="35"/>
      <c r="G586" s="35"/>
      <c r="H586" s="35"/>
      <c r="I586" s="35"/>
      <c r="J586" s="35"/>
      <c r="K586" s="35"/>
      <c r="L586" s="35"/>
      <c r="M586" s="25"/>
      <c r="N586" s="92"/>
      <c r="O586" s="95"/>
      <c r="P586" s="456"/>
      <c r="Q586" s="456"/>
      <c r="R586" s="456"/>
      <c r="S586" s="456"/>
      <c r="U586" s="16"/>
      <c r="V586" s="16"/>
      <c r="W586" s="56"/>
      <c r="Z586" s="17"/>
    </row>
    <row r="587" spans="1:28" s="41" customFormat="1" x14ac:dyDescent="0.2">
      <c r="A587" s="13"/>
      <c r="B587" s="38" t="s">
        <v>9</v>
      </c>
      <c r="C587" s="39"/>
      <c r="D587" s="40" t="s">
        <v>5</v>
      </c>
      <c r="E587" s="40"/>
      <c r="F587" s="40"/>
      <c r="G587" s="40"/>
      <c r="H587" s="40"/>
      <c r="I587" s="40"/>
      <c r="J587" s="40"/>
      <c r="K587" s="40"/>
      <c r="L587" s="76">
        <v>0.03</v>
      </c>
      <c r="M587" s="33">
        <f>M582*L587</f>
        <v>11680.430400000003</v>
      </c>
      <c r="N587" s="92"/>
      <c r="O587" s="95">
        <f t="shared" ref="O587:O593" si="72">($O$582/$M$582)*M587</f>
        <v>0</v>
      </c>
      <c r="P587" s="456"/>
      <c r="Q587" s="456"/>
      <c r="R587" s="456"/>
      <c r="S587" s="456"/>
      <c r="Y587" s="56"/>
    </row>
    <row r="588" spans="1:28" s="41" customFormat="1" x14ac:dyDescent="0.2">
      <c r="A588" s="13"/>
      <c r="B588" s="38"/>
      <c r="C588" s="39"/>
      <c r="D588" s="40"/>
      <c r="E588" s="40"/>
      <c r="F588" s="40"/>
      <c r="G588" s="40"/>
      <c r="H588" s="40"/>
      <c r="I588" s="40"/>
      <c r="J588" s="40"/>
      <c r="K588" s="40"/>
      <c r="L588" s="40"/>
      <c r="M588" s="33"/>
      <c r="N588" s="92"/>
      <c r="O588" s="95"/>
      <c r="P588" s="456"/>
      <c r="Q588" s="456"/>
      <c r="R588" s="456"/>
      <c r="S588" s="456"/>
      <c r="Y588" s="56"/>
    </row>
    <row r="589" spans="1:28" s="41" customFormat="1" x14ac:dyDescent="0.2">
      <c r="A589" s="13"/>
      <c r="B589" s="38" t="s">
        <v>10</v>
      </c>
      <c r="C589" s="39"/>
      <c r="D589" s="40" t="s">
        <v>5</v>
      </c>
      <c r="E589" s="40"/>
      <c r="F589" s="40"/>
      <c r="G589" s="40"/>
      <c r="H589" s="40"/>
      <c r="I589" s="40"/>
      <c r="J589" s="40"/>
      <c r="K589" s="40"/>
      <c r="L589" s="76">
        <v>5.0000000000000001E-3</v>
      </c>
      <c r="M589" s="33">
        <f>M582*L589</f>
        <v>1946.7384000000006</v>
      </c>
      <c r="N589" s="92"/>
      <c r="O589" s="95">
        <f t="shared" si="72"/>
        <v>0</v>
      </c>
      <c r="P589" s="456"/>
      <c r="Q589" s="456"/>
      <c r="R589" s="456"/>
      <c r="S589" s="456"/>
      <c r="Y589" s="56"/>
    </row>
    <row r="590" spans="1:28" s="41" customFormat="1" x14ac:dyDescent="0.2">
      <c r="A590" s="13"/>
      <c r="B590" s="77"/>
      <c r="C590" s="78"/>
      <c r="D590" s="79"/>
      <c r="E590" s="79"/>
      <c r="F590" s="79"/>
      <c r="G590" s="79"/>
      <c r="H590" s="79"/>
      <c r="I590" s="79"/>
      <c r="J590" s="79"/>
      <c r="K590" s="79"/>
      <c r="L590" s="79"/>
      <c r="M590" s="82"/>
      <c r="N590" s="92"/>
      <c r="O590" s="95"/>
      <c r="P590" s="456"/>
      <c r="Q590" s="456"/>
      <c r="R590" s="456"/>
      <c r="S590" s="456"/>
      <c r="Y590" s="56"/>
    </row>
    <row r="591" spans="1:28" s="41" customFormat="1" x14ac:dyDescent="0.2">
      <c r="A591" s="28"/>
      <c r="B591" s="129" t="s">
        <v>250</v>
      </c>
      <c r="C591" s="78"/>
      <c r="D591" s="79" t="s">
        <v>5</v>
      </c>
      <c r="E591" s="79"/>
      <c r="F591" s="79"/>
      <c r="G591" s="79"/>
      <c r="H591" s="79"/>
      <c r="I591" s="79"/>
      <c r="J591" s="79"/>
      <c r="K591" s="79"/>
      <c r="L591" s="80"/>
      <c r="M591" s="82"/>
      <c r="N591" s="92"/>
      <c r="O591" s="95"/>
      <c r="P591" s="456"/>
      <c r="Q591" s="456"/>
      <c r="R591" s="456"/>
      <c r="S591" s="456"/>
      <c r="Y591" s="56"/>
    </row>
    <row r="592" spans="1:28" s="41" customFormat="1" x14ac:dyDescent="0.2">
      <c r="A592" s="28"/>
      <c r="B592" s="77"/>
      <c r="C592" s="78"/>
      <c r="D592" s="79"/>
      <c r="E592" s="79"/>
      <c r="F592" s="79"/>
      <c r="G592" s="79"/>
      <c r="H592" s="79"/>
      <c r="I592" s="79"/>
      <c r="J592" s="79"/>
      <c r="K592" s="79"/>
      <c r="L592" s="79"/>
      <c r="M592" s="82"/>
      <c r="N592" s="92"/>
      <c r="O592" s="95"/>
      <c r="P592" s="456"/>
      <c r="Q592" s="456"/>
      <c r="R592" s="456"/>
      <c r="S592" s="456"/>
      <c r="Y592" s="56"/>
    </row>
    <row r="593" spans="1:26" s="41" customFormat="1" x14ac:dyDescent="0.2">
      <c r="A593" s="28"/>
      <c r="B593" s="147" t="s">
        <v>251</v>
      </c>
      <c r="C593" s="78"/>
      <c r="D593" s="79" t="s">
        <v>5</v>
      </c>
      <c r="E593" s="79"/>
      <c r="F593" s="79"/>
      <c r="G593" s="79"/>
      <c r="H593" s="79"/>
      <c r="I593" s="79"/>
      <c r="J593" s="79"/>
      <c r="K593" s="79"/>
      <c r="L593" s="80">
        <f>M593/M582</f>
        <v>2.1685251855102887E-2</v>
      </c>
      <c r="M593" s="148">
        <f>I604</f>
        <v>8443.1025000000081</v>
      </c>
      <c r="N593" s="92"/>
      <c r="O593" s="95">
        <f t="shared" si="72"/>
        <v>0</v>
      </c>
      <c r="P593" s="456"/>
      <c r="Q593" s="456"/>
      <c r="R593" s="456"/>
      <c r="S593" s="456"/>
      <c r="Y593" s="56"/>
    </row>
    <row r="594" spans="1:26" s="41" customFormat="1" x14ac:dyDescent="0.2">
      <c r="A594" s="13"/>
      <c r="B594" s="77"/>
      <c r="C594" s="78"/>
      <c r="D594" s="79"/>
      <c r="E594" s="79"/>
      <c r="F594" s="79"/>
      <c r="G594" s="79"/>
      <c r="H594" s="79"/>
      <c r="I594" s="79"/>
      <c r="J594" s="79"/>
      <c r="K594" s="79"/>
      <c r="L594" s="79"/>
      <c r="M594" s="33"/>
      <c r="N594" s="92"/>
      <c r="O594" s="97"/>
      <c r="P594" s="457"/>
      <c r="Q594" s="457"/>
      <c r="R594" s="457"/>
      <c r="S594" s="457"/>
      <c r="Y594" s="56"/>
    </row>
    <row r="595" spans="1:26" x14ac:dyDescent="0.2">
      <c r="A595" s="42"/>
      <c r="B595" s="43" t="s">
        <v>17</v>
      </c>
      <c r="C595" s="44"/>
      <c r="D595" s="45"/>
      <c r="E595" s="45"/>
      <c r="F595" s="45"/>
      <c r="G595" s="45"/>
      <c r="H595" s="45"/>
      <c r="I595" s="45"/>
      <c r="J595" s="45"/>
      <c r="K595" s="45"/>
      <c r="L595" s="45"/>
      <c r="M595" s="67">
        <f>SUM(M582:M594)</f>
        <v>434778.8121000001</v>
      </c>
      <c r="N595" s="93"/>
      <c r="O595" s="98">
        <f>SUM(O582:O594)</f>
        <v>0</v>
      </c>
      <c r="P595" s="458"/>
      <c r="Q595" s="458"/>
      <c r="R595" s="458"/>
      <c r="S595" s="458"/>
      <c r="T595" s="41"/>
      <c r="U595" s="41"/>
      <c r="V595" s="41"/>
      <c r="W595" s="41"/>
      <c r="X595" s="41"/>
      <c r="Z595" s="17"/>
    </row>
    <row r="596" spans="1:26" x14ac:dyDescent="0.2">
      <c r="A596" s="13"/>
      <c r="B596" s="18"/>
      <c r="C596" s="23"/>
      <c r="D596" s="35"/>
      <c r="E596" s="35"/>
      <c r="F596" s="35"/>
      <c r="G596" s="35"/>
      <c r="H596" s="35"/>
      <c r="I596" s="35"/>
      <c r="J596" s="35"/>
      <c r="K596" s="35"/>
      <c r="L596" s="35"/>
      <c r="M596" s="25"/>
      <c r="N596" s="87"/>
      <c r="O596" s="99"/>
      <c r="P596" s="457"/>
      <c r="Q596" s="457"/>
      <c r="R596" s="457"/>
      <c r="S596" s="457"/>
      <c r="T596" s="41"/>
      <c r="U596" s="41"/>
      <c r="V596" s="41"/>
      <c r="W596" s="41"/>
      <c r="X596" s="41"/>
      <c r="Z596" s="17"/>
    </row>
    <row r="597" spans="1:26" x14ac:dyDescent="0.2">
      <c r="A597" s="13"/>
      <c r="B597" s="18" t="s">
        <v>11</v>
      </c>
      <c r="C597" s="23"/>
      <c r="D597" s="35"/>
      <c r="E597" s="35"/>
      <c r="F597" s="35"/>
      <c r="G597" s="35"/>
      <c r="H597" s="35"/>
      <c r="I597" s="35"/>
      <c r="J597" s="35"/>
      <c r="K597" s="35"/>
      <c r="L597" s="76">
        <v>0.08</v>
      </c>
      <c r="M597" s="25">
        <f>M595*L597</f>
        <v>34782.304968000011</v>
      </c>
      <c r="N597" s="87"/>
      <c r="O597" s="99">
        <f>O595/M595*M597</f>
        <v>0</v>
      </c>
      <c r="P597" s="457"/>
      <c r="Q597" s="457"/>
      <c r="R597" s="457"/>
      <c r="S597" s="457"/>
      <c r="T597" s="41"/>
      <c r="U597" s="41"/>
      <c r="V597" s="41"/>
      <c r="W597" s="41"/>
      <c r="X597" s="41"/>
      <c r="Z597" s="17"/>
    </row>
    <row r="598" spans="1:26" x14ac:dyDescent="0.2">
      <c r="A598" s="46"/>
      <c r="B598" s="47"/>
      <c r="C598" s="48"/>
      <c r="D598" s="48"/>
      <c r="E598" s="48"/>
      <c r="F598" s="48"/>
      <c r="G598" s="48"/>
      <c r="H598" s="48"/>
      <c r="I598" s="48"/>
      <c r="J598" s="48"/>
      <c r="K598" s="48"/>
      <c r="L598" s="48"/>
      <c r="M598" s="68"/>
      <c r="N598" s="87"/>
      <c r="O598" s="99"/>
      <c r="P598" s="457"/>
      <c r="Q598" s="457"/>
      <c r="R598" s="457"/>
      <c r="S598" s="457"/>
      <c r="T598" s="41"/>
      <c r="U598" s="41"/>
      <c r="V598" s="41"/>
      <c r="W598" s="41"/>
      <c r="X598" s="41"/>
      <c r="Z598" s="17"/>
    </row>
    <row r="599" spans="1:26" ht="13.5" customHeight="1" x14ac:dyDescent="0.2">
      <c r="A599" s="49"/>
      <c r="B599" s="55" t="s">
        <v>52</v>
      </c>
      <c r="C599" s="50"/>
      <c r="D599" s="51"/>
      <c r="E599" s="51"/>
      <c r="F599" s="51"/>
      <c r="G599" s="51"/>
      <c r="H599" s="51"/>
      <c r="I599" s="51"/>
      <c r="J599" s="51"/>
      <c r="K599" s="51"/>
      <c r="L599" s="51"/>
      <c r="M599" s="69">
        <f>ROUNDUP(SUM(M595:M598),0)</f>
        <v>469562</v>
      </c>
      <c r="N599" s="133">
        <f>O599/M599</f>
        <v>0</v>
      </c>
      <c r="O599" s="102">
        <f>SUM(O595:O598)</f>
        <v>0</v>
      </c>
      <c r="P599" s="459"/>
      <c r="Q599" s="459">
        <v>469562</v>
      </c>
      <c r="R599" s="459"/>
      <c r="S599" s="459"/>
      <c r="T599" s="41"/>
      <c r="U599" s="41"/>
      <c r="V599" s="41"/>
      <c r="W599" s="41"/>
      <c r="X599" s="41"/>
      <c r="Z599" s="17"/>
    </row>
    <row r="600" spans="1:26" x14ac:dyDescent="0.2">
      <c r="M600" s="52"/>
      <c r="N600" s="88"/>
      <c r="O600" s="100"/>
      <c r="P600" s="100"/>
      <c r="Q600" s="100"/>
      <c r="R600" s="100"/>
      <c r="S600" s="100"/>
      <c r="T600" s="41"/>
      <c r="U600" s="41"/>
      <c r="V600" s="41"/>
      <c r="W600" s="41"/>
      <c r="X600" s="41"/>
      <c r="Z600" s="17"/>
    </row>
    <row r="601" spans="1:26" x14ac:dyDescent="0.2">
      <c r="G601" s="297" t="s">
        <v>339</v>
      </c>
      <c r="H601" s="298"/>
      <c r="I601" s="298"/>
      <c r="J601" s="299"/>
      <c r="M601" s="52"/>
      <c r="N601" s="88"/>
      <c r="O601" s="100"/>
      <c r="P601" s="100"/>
      <c r="Q601" s="100"/>
      <c r="R601" s="100"/>
      <c r="S601" s="100"/>
      <c r="T601" s="41"/>
      <c r="U601" s="41"/>
      <c r="V601" s="41"/>
      <c r="W601" s="41"/>
      <c r="X601" s="41"/>
      <c r="Z601" s="17"/>
    </row>
    <row r="602" spans="1:26" x14ac:dyDescent="0.2">
      <c r="G602" s="300"/>
      <c r="H602" s="301" t="s">
        <v>338</v>
      </c>
      <c r="I602" s="302"/>
      <c r="J602" s="303"/>
      <c r="M602" s="52"/>
      <c r="N602" s="88"/>
      <c r="O602" s="100"/>
      <c r="P602" s="100"/>
      <c r="Q602" s="100"/>
      <c r="R602" s="100"/>
      <c r="S602" s="100"/>
      <c r="T602" s="41"/>
      <c r="U602" s="41"/>
      <c r="V602" s="41"/>
      <c r="W602" s="41"/>
      <c r="X602" s="41"/>
      <c r="Z602" s="17"/>
    </row>
    <row r="603" spans="1:26" x14ac:dyDescent="0.2">
      <c r="G603" s="300">
        <f>F581/8</f>
        <v>469.06125000000048</v>
      </c>
      <c r="H603" s="308">
        <v>1</v>
      </c>
      <c r="I603" s="302"/>
      <c r="J603" s="303"/>
      <c r="M603" s="52"/>
      <c r="N603" s="88"/>
      <c r="O603" s="100"/>
      <c r="P603" s="100"/>
      <c r="Q603" s="100"/>
      <c r="R603" s="100"/>
      <c r="S603" s="100"/>
      <c r="T603" s="41"/>
      <c r="U603" s="41"/>
      <c r="V603" s="41"/>
      <c r="W603" s="41"/>
      <c r="X603" s="41"/>
      <c r="Z603" s="17"/>
    </row>
    <row r="604" spans="1:26" x14ac:dyDescent="0.2">
      <c r="G604" s="300">
        <f>G603/H603</f>
        <v>469.06125000000048</v>
      </c>
      <c r="H604" s="304">
        <v>18</v>
      </c>
      <c r="I604" s="304">
        <f>G604*H604</f>
        <v>8443.1025000000081</v>
      </c>
      <c r="J604" s="303"/>
      <c r="M604" s="52"/>
      <c r="N604" s="88"/>
      <c r="O604" s="100"/>
      <c r="P604" s="100"/>
      <c r="Q604" s="100"/>
      <c r="R604" s="100"/>
      <c r="S604" s="100"/>
      <c r="T604" s="41"/>
      <c r="U604" s="41"/>
      <c r="V604" s="41"/>
      <c r="W604" s="41"/>
      <c r="X604" s="41"/>
      <c r="Z604" s="17"/>
    </row>
    <row r="605" spans="1:26" x14ac:dyDescent="0.2">
      <c r="G605" s="300"/>
      <c r="H605" s="302"/>
      <c r="I605" s="302"/>
      <c r="J605" s="303"/>
      <c r="M605" s="52"/>
      <c r="N605" s="88"/>
      <c r="O605" s="100"/>
      <c r="P605" s="100"/>
      <c r="Q605" s="100"/>
      <c r="R605" s="100"/>
      <c r="S605" s="100"/>
      <c r="T605" s="41"/>
      <c r="U605" s="41"/>
      <c r="V605" s="41"/>
      <c r="W605" s="41"/>
      <c r="X605" s="41"/>
      <c r="Z605" s="17"/>
    </row>
    <row r="606" spans="1:26" x14ac:dyDescent="0.2">
      <c r="G606" s="305"/>
      <c r="H606" s="306"/>
      <c r="I606" s="306"/>
      <c r="J606" s="307"/>
      <c r="M606" s="52"/>
      <c r="N606" s="88"/>
      <c r="O606" s="100"/>
      <c r="P606" s="100"/>
      <c r="Q606" s="100"/>
      <c r="R606" s="100"/>
      <c r="S606" s="100"/>
      <c r="T606" s="41"/>
      <c r="U606" s="41"/>
      <c r="V606" s="41"/>
      <c r="W606" s="41"/>
      <c r="X606" s="41"/>
      <c r="Z606" s="17"/>
    </row>
    <row r="607" spans="1:26" x14ac:dyDescent="0.2">
      <c r="H607" s="16"/>
      <c r="I607" s="58"/>
      <c r="M607" s="52"/>
      <c r="N607" s="88"/>
      <c r="O607" s="101"/>
      <c r="P607" s="101"/>
      <c r="Q607" s="101"/>
      <c r="R607" s="101"/>
      <c r="S607" s="101"/>
      <c r="T607" s="41"/>
      <c r="U607" s="41"/>
      <c r="V607" s="41"/>
      <c r="W607" s="41"/>
      <c r="X607" s="41"/>
      <c r="Z607" s="17"/>
    </row>
    <row r="608" spans="1:26" x14ac:dyDescent="0.2">
      <c r="H608" s="58"/>
      <c r="I608" s="58"/>
      <c r="M608" s="52"/>
      <c r="N608" s="88"/>
      <c r="O608" s="101"/>
      <c r="P608" s="101"/>
      <c r="Q608" s="101"/>
      <c r="R608" s="101"/>
      <c r="S608" s="101"/>
      <c r="T608" s="41"/>
      <c r="U608" s="41"/>
      <c r="V608" s="41"/>
      <c r="W608" s="41"/>
      <c r="X608" s="41"/>
      <c r="Z608" s="17"/>
    </row>
    <row r="609" spans="2:26" x14ac:dyDescent="0.2">
      <c r="H609" s="58"/>
      <c r="M609" s="52"/>
      <c r="N609" s="88"/>
      <c r="O609" s="101"/>
      <c r="P609" s="101"/>
      <c r="Q609" s="101"/>
      <c r="R609" s="101"/>
      <c r="S609" s="101"/>
      <c r="T609" s="41"/>
      <c r="U609" s="41"/>
      <c r="V609" s="41"/>
      <c r="W609" s="41"/>
      <c r="X609" s="41"/>
      <c r="Z609" s="17"/>
    </row>
    <row r="610" spans="2:26" ht="15" x14ac:dyDescent="0.25">
      <c r="B610" s="106" t="s">
        <v>29</v>
      </c>
      <c r="C610" s="107"/>
      <c r="D610" s="107"/>
      <c r="E610" s="107"/>
      <c r="F610" s="107"/>
      <c r="I610" s="106" t="s">
        <v>29</v>
      </c>
      <c r="J610" s="107"/>
      <c r="K610" s="107"/>
      <c r="L610" s="107"/>
      <c r="M610" s="107"/>
      <c r="O610" s="101"/>
      <c r="P610" s="101"/>
      <c r="Q610" s="101"/>
      <c r="R610" s="101"/>
      <c r="S610" s="101"/>
      <c r="T610" s="41"/>
      <c r="U610" s="41"/>
      <c r="V610" s="41"/>
      <c r="W610" s="41"/>
      <c r="X610" s="41"/>
    </row>
    <row r="611" spans="2:26" x14ac:dyDescent="0.2">
      <c r="B611" s="108" t="s">
        <v>42</v>
      </c>
      <c r="C611" s="109"/>
      <c r="D611" s="104"/>
      <c r="E611" s="104"/>
      <c r="F611" s="104"/>
      <c r="I611" s="108" t="s">
        <v>30</v>
      </c>
      <c r="J611" s="109"/>
      <c r="K611" s="104"/>
      <c r="L611" s="104"/>
      <c r="M611" s="104"/>
      <c r="O611" s="101"/>
      <c r="P611" s="101"/>
      <c r="Q611" s="101"/>
      <c r="R611" s="101"/>
      <c r="S611" s="101"/>
      <c r="T611" s="41"/>
      <c r="U611" s="41"/>
      <c r="V611" s="41"/>
      <c r="W611" s="41"/>
      <c r="X611" s="41"/>
    </row>
    <row r="612" spans="2:26" ht="15" x14ac:dyDescent="0.25">
      <c r="B612" s="108" t="s">
        <v>31</v>
      </c>
      <c r="C612" s="109" t="s">
        <v>32</v>
      </c>
      <c r="D612" s="104" t="s">
        <v>33</v>
      </c>
      <c r="E612" s="104" t="s">
        <v>34</v>
      </c>
      <c r="F612" s="107"/>
      <c r="I612" s="108" t="s">
        <v>31</v>
      </c>
      <c r="J612" s="109" t="s">
        <v>32</v>
      </c>
      <c r="K612" s="104" t="s">
        <v>33</v>
      </c>
      <c r="L612" s="104" t="s">
        <v>34</v>
      </c>
      <c r="M612" s="107"/>
      <c r="O612" s="101"/>
      <c r="P612" s="101"/>
      <c r="Q612" s="101"/>
      <c r="R612" s="101"/>
      <c r="S612" s="101"/>
      <c r="T612" s="41"/>
      <c r="U612" s="41"/>
      <c r="V612" s="41"/>
      <c r="W612" s="41"/>
    </row>
    <row r="613" spans="2:26" x14ac:dyDescent="0.2">
      <c r="B613" s="110">
        <v>1</v>
      </c>
      <c r="C613" s="109">
        <v>55</v>
      </c>
      <c r="D613" s="104">
        <f>B613*C613</f>
        <v>55</v>
      </c>
      <c r="E613" s="104">
        <f>D613*F613</f>
        <v>110</v>
      </c>
      <c r="F613" s="111">
        <v>2</v>
      </c>
      <c r="I613" s="110">
        <v>4</v>
      </c>
      <c r="J613" s="109">
        <v>55</v>
      </c>
      <c r="K613" s="104">
        <f>I613*J613</f>
        <v>220</v>
      </c>
      <c r="L613" s="104">
        <f>K613*M613</f>
        <v>440</v>
      </c>
      <c r="M613" s="111">
        <v>2</v>
      </c>
      <c r="O613" s="101"/>
      <c r="P613" s="101"/>
      <c r="Q613" s="101"/>
      <c r="R613" s="101"/>
      <c r="S613" s="101"/>
      <c r="T613" s="41"/>
      <c r="U613" s="41"/>
      <c r="V613" s="41"/>
      <c r="W613" s="41"/>
    </row>
    <row r="614" spans="2:26" x14ac:dyDescent="0.2">
      <c r="B614" s="108" t="s">
        <v>35</v>
      </c>
      <c r="C614" s="109"/>
      <c r="D614" s="104"/>
      <c r="E614" s="104" t="s">
        <v>36</v>
      </c>
      <c r="F614" s="104"/>
      <c r="I614" s="108" t="s">
        <v>35</v>
      </c>
      <c r="J614" s="109"/>
      <c r="K614" s="104"/>
      <c r="L614" s="104" t="s">
        <v>36</v>
      </c>
      <c r="M614" s="104"/>
      <c r="O614" s="101"/>
      <c r="P614" s="101"/>
      <c r="Q614" s="101"/>
      <c r="R614" s="101"/>
      <c r="S614" s="101"/>
      <c r="T614" s="41"/>
      <c r="U614" s="41"/>
      <c r="V614" s="41"/>
      <c r="W614" s="41"/>
    </row>
    <row r="615" spans="2:26" ht="15" x14ac:dyDescent="0.25">
      <c r="B615" s="108">
        <v>0.7</v>
      </c>
      <c r="C615" s="112"/>
      <c r="D615" s="107"/>
      <c r="E615" s="104">
        <f>B615*C615</f>
        <v>0</v>
      </c>
      <c r="F615" s="104"/>
      <c r="I615" s="108">
        <v>0.7</v>
      </c>
      <c r="J615" s="112">
        <v>310</v>
      </c>
      <c r="K615" s="107"/>
      <c r="L615" s="104">
        <f>I615*J615</f>
        <v>217</v>
      </c>
      <c r="M615" s="104"/>
      <c r="O615" s="101"/>
      <c r="P615" s="101"/>
      <c r="Q615" s="101"/>
      <c r="R615" s="101"/>
      <c r="S615" s="101"/>
      <c r="T615" s="41"/>
      <c r="U615" s="41"/>
      <c r="V615" s="41"/>
      <c r="W615" s="41"/>
    </row>
    <row r="616" spans="2:26" x14ac:dyDescent="0.2">
      <c r="B616" s="108" t="s">
        <v>37</v>
      </c>
      <c r="C616" s="109"/>
      <c r="D616" s="104"/>
      <c r="E616" s="104">
        <f>SUM(E613:E615)</f>
        <v>110</v>
      </c>
      <c r="F616" s="104"/>
      <c r="I616" s="108" t="s">
        <v>37</v>
      </c>
      <c r="J616" s="109"/>
      <c r="K616" s="104"/>
      <c r="L616" s="104">
        <f>SUM(L613:L615)</f>
        <v>657</v>
      </c>
      <c r="M616" s="104"/>
      <c r="O616" s="101"/>
      <c r="P616" s="101"/>
      <c r="Q616" s="101"/>
      <c r="R616" s="101"/>
      <c r="S616" s="101"/>
      <c r="T616" s="41"/>
      <c r="U616" s="41"/>
      <c r="V616" s="41"/>
      <c r="W616" s="41"/>
    </row>
    <row r="617" spans="2:26" x14ac:dyDescent="0.2">
      <c r="B617" s="110">
        <v>2</v>
      </c>
      <c r="C617" s="109"/>
      <c r="D617" s="104"/>
      <c r="E617" s="104">
        <f>B617*E616</f>
        <v>220</v>
      </c>
      <c r="F617" s="104"/>
      <c r="I617" s="110">
        <v>1</v>
      </c>
      <c r="J617" s="109"/>
      <c r="K617" s="104"/>
      <c r="L617" s="104">
        <f>I617*L616</f>
        <v>657</v>
      </c>
      <c r="M617" s="104"/>
      <c r="O617" s="101"/>
      <c r="P617" s="101"/>
      <c r="Q617" s="101"/>
      <c r="R617" s="101"/>
      <c r="S617" s="101"/>
      <c r="T617" s="41"/>
      <c r="U617" s="41"/>
      <c r="V617" s="41"/>
      <c r="W617" s="41"/>
    </row>
    <row r="618" spans="2:26" x14ac:dyDescent="0.2">
      <c r="B618" s="108" t="s">
        <v>38</v>
      </c>
      <c r="C618" s="109" t="s">
        <v>39</v>
      </c>
      <c r="D618" s="104"/>
      <c r="E618" s="104" t="s">
        <v>40</v>
      </c>
      <c r="F618" s="104"/>
      <c r="I618" s="108" t="s">
        <v>38</v>
      </c>
      <c r="J618" s="109" t="s">
        <v>39</v>
      </c>
      <c r="K618" s="104"/>
      <c r="L618" s="104" t="s">
        <v>40</v>
      </c>
      <c r="M618" s="104"/>
      <c r="T618" s="53"/>
    </row>
    <row r="619" spans="2:26" x14ac:dyDescent="0.2">
      <c r="B619" s="110"/>
      <c r="C619" s="112"/>
      <c r="D619" s="104">
        <f>B619*C619</f>
        <v>0</v>
      </c>
      <c r="E619" s="104">
        <f>D619*F613</f>
        <v>0</v>
      </c>
      <c r="F619" s="104"/>
      <c r="I619" s="110">
        <v>125</v>
      </c>
      <c r="J619" s="112">
        <v>4</v>
      </c>
      <c r="K619" s="104">
        <f>I619*J619</f>
        <v>500</v>
      </c>
      <c r="L619" s="104">
        <f>K619*M613</f>
        <v>1000</v>
      </c>
      <c r="M619" s="104"/>
    </row>
    <row r="620" spans="2:26" x14ac:dyDescent="0.2">
      <c r="B620" s="108"/>
      <c r="C620" s="109"/>
      <c r="D620" s="104"/>
      <c r="E620" s="105">
        <f>SUM(E617:E619)</f>
        <v>220</v>
      </c>
      <c r="F620" s="104"/>
      <c r="I620" s="108"/>
      <c r="J620" s="109"/>
      <c r="K620" s="104"/>
      <c r="L620" s="105">
        <f>SUM(L617:L619)</f>
        <v>1657</v>
      </c>
      <c r="M620" s="104"/>
    </row>
  </sheetData>
  <pageMargins left="0.7" right="0.7" top="0.75" bottom="0.75" header="0.3" footer="0.3"/>
  <pageSetup paperSize="9" fitToHeight="0"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9F343-78E5-4BF4-B460-7EB498DE7ED2}">
  <sheetPr>
    <pageSetUpPr fitToPage="1"/>
  </sheetPr>
  <dimension ref="A1:W237"/>
  <sheetViews>
    <sheetView topLeftCell="A171" zoomScale="85" zoomScaleNormal="85" workbookViewId="0">
      <selection activeCell="S198" sqref="S198"/>
    </sheetView>
  </sheetViews>
  <sheetFormatPr defaultRowHeight="12.75" x14ac:dyDescent="0.2"/>
  <cols>
    <col min="1" max="1" width="4.85546875" style="12" customWidth="1"/>
    <col min="2" max="2" width="42.42578125" style="12" customWidth="1"/>
    <col min="3" max="3" width="22" style="12" customWidth="1"/>
    <col min="4" max="4" width="12.140625" style="12" customWidth="1"/>
    <col min="5" max="5" width="8" style="12" customWidth="1"/>
    <col min="6" max="7" width="11.5703125" style="12" customWidth="1"/>
    <col min="8" max="8" width="15" style="12" customWidth="1"/>
    <col min="9" max="9" width="10.42578125" style="12" customWidth="1"/>
    <col min="10" max="12" width="11.5703125" style="12" customWidth="1"/>
    <col min="13" max="13" width="14.7109375" style="12" customWidth="1"/>
    <col min="14" max="14" width="11" style="84" customWidth="1"/>
    <col min="15" max="15" width="13.140625" style="12" customWidth="1"/>
    <col min="16" max="16" width="12.28515625" style="12" customWidth="1"/>
    <col min="17" max="17" width="13" style="12" customWidth="1"/>
    <col min="18" max="20" width="12.28515625" style="12" customWidth="1"/>
    <col min="21" max="16384" width="9.140625" style="12"/>
  </cols>
  <sheetData>
    <row r="1" spans="1:22" ht="15.75" x14ac:dyDescent="0.2">
      <c r="A1" s="11"/>
      <c r="B1" s="2" t="e">
        <f>Summary!#REF!</f>
        <v>#REF!</v>
      </c>
      <c r="C1" s="11"/>
      <c r="D1" s="11"/>
      <c r="E1" s="11"/>
      <c r="F1" s="11"/>
      <c r="G1" s="11"/>
      <c r="H1" s="11"/>
      <c r="I1" s="11"/>
      <c r="J1" s="11"/>
      <c r="K1" s="11"/>
      <c r="L1" s="11"/>
      <c r="M1" s="11"/>
    </row>
    <row r="2" spans="1:22" ht="15.75" x14ac:dyDescent="0.2">
      <c r="A2" s="11"/>
      <c r="B2" s="10" t="e">
        <f>Summary!#REF!</f>
        <v>#REF!</v>
      </c>
      <c r="C2" s="11"/>
      <c r="D2" s="11"/>
      <c r="E2" s="11"/>
      <c r="F2" s="11"/>
      <c r="G2" s="11"/>
      <c r="H2" s="11"/>
      <c r="I2" s="11"/>
      <c r="J2" s="11"/>
      <c r="K2" s="11"/>
      <c r="L2" s="11"/>
      <c r="M2" s="11"/>
    </row>
    <row r="3" spans="1:22" ht="15.75" x14ac:dyDescent="0.2">
      <c r="A3" s="11"/>
      <c r="B3" s="10" t="e">
        <f>Summary!#REF!</f>
        <v>#REF!</v>
      </c>
      <c r="C3" s="11"/>
      <c r="D3" s="11"/>
      <c r="E3" s="11"/>
      <c r="F3" s="11"/>
      <c r="G3" s="11"/>
      <c r="H3" s="11"/>
      <c r="I3" s="11"/>
      <c r="J3" s="11"/>
      <c r="K3" s="11"/>
      <c r="L3" s="11"/>
      <c r="M3" s="11"/>
    </row>
    <row r="4" spans="1:22" ht="15.75" x14ac:dyDescent="0.2">
      <c r="A4" s="11"/>
      <c r="B4" s="5"/>
      <c r="C4" s="11"/>
      <c r="D4" s="11"/>
      <c r="E4" s="11"/>
      <c r="F4" s="11"/>
      <c r="G4" s="11"/>
      <c r="H4" s="11"/>
      <c r="I4" s="11"/>
      <c r="J4" s="11"/>
      <c r="K4" s="11"/>
      <c r="L4" s="11"/>
      <c r="M4" s="11"/>
    </row>
    <row r="5" spans="1:22" ht="15.75" x14ac:dyDescent="0.2">
      <c r="A5" s="11"/>
      <c r="B5" s="5"/>
      <c r="C5" s="11"/>
      <c r="D5" s="11"/>
      <c r="E5" s="11"/>
      <c r="F5" s="11"/>
      <c r="G5" s="11"/>
      <c r="H5" s="11"/>
      <c r="I5" s="11"/>
      <c r="J5" s="11"/>
      <c r="K5" s="11"/>
      <c r="L5" s="11"/>
      <c r="M5" s="11"/>
    </row>
    <row r="6" spans="1:22" ht="15.75" x14ac:dyDescent="0.2">
      <c r="A6" s="11"/>
      <c r="B6" s="5">
        <v>45853</v>
      </c>
      <c r="C6" s="11"/>
      <c r="D6" s="11"/>
      <c r="E6" s="11"/>
      <c r="F6" s="11"/>
      <c r="G6" s="11"/>
      <c r="H6" s="11"/>
      <c r="I6" s="11"/>
      <c r="J6" s="11"/>
      <c r="K6" s="11"/>
      <c r="L6" s="11"/>
      <c r="M6" s="11"/>
    </row>
    <row r="7" spans="1:22" ht="15.75" x14ac:dyDescent="0.2">
      <c r="A7" s="11"/>
      <c r="B7" s="5"/>
      <c r="C7" s="11"/>
      <c r="D7" s="11"/>
      <c r="E7" s="11"/>
      <c r="F7" s="11"/>
      <c r="G7" s="11"/>
      <c r="H7" s="11"/>
      <c r="I7" s="11"/>
      <c r="J7" s="11"/>
      <c r="K7" s="11"/>
      <c r="L7" s="11"/>
      <c r="M7" s="11"/>
    </row>
    <row r="8" spans="1:22" ht="15.75" x14ac:dyDescent="0.2">
      <c r="A8" s="11"/>
      <c r="B8" s="128"/>
      <c r="C8" s="11"/>
      <c r="D8" s="11"/>
      <c r="E8" s="11"/>
      <c r="F8" s="11"/>
      <c r="G8" s="11"/>
      <c r="H8" s="11"/>
      <c r="I8" s="11"/>
      <c r="J8" s="11"/>
      <c r="K8" s="11"/>
      <c r="L8" s="11"/>
      <c r="M8" s="11"/>
    </row>
    <row r="9" spans="1:22" ht="23.25" customHeight="1" x14ac:dyDescent="0.2">
      <c r="A9" s="13"/>
      <c r="B9" s="54" t="s">
        <v>51</v>
      </c>
      <c r="C9" s="14"/>
      <c r="D9" s="13"/>
      <c r="E9" s="13"/>
      <c r="F9" s="13"/>
      <c r="G9" s="13"/>
      <c r="H9" s="13"/>
      <c r="I9" s="13"/>
      <c r="J9" s="13"/>
      <c r="K9" s="13"/>
      <c r="L9" s="13"/>
      <c r="M9" s="15"/>
      <c r="N9" s="85"/>
      <c r="O9" s="52"/>
      <c r="P9" s="17"/>
      <c r="Q9" s="17"/>
      <c r="R9" s="17"/>
      <c r="S9" s="17"/>
      <c r="T9" s="17"/>
    </row>
    <row r="10" spans="1:22" ht="23.25" customHeight="1" x14ac:dyDescent="0.2">
      <c r="A10" s="13"/>
      <c r="B10" s="54"/>
      <c r="C10" s="14"/>
      <c r="D10" s="13"/>
      <c r="E10" s="13"/>
      <c r="F10" s="13"/>
      <c r="G10" s="13"/>
      <c r="H10" s="13"/>
      <c r="I10" s="13"/>
      <c r="J10" s="13"/>
      <c r="K10" s="13"/>
      <c r="L10" s="13"/>
      <c r="M10" s="15"/>
      <c r="N10" s="85"/>
      <c r="O10" s="52"/>
      <c r="P10" s="17"/>
      <c r="Q10" s="17"/>
      <c r="R10" s="17"/>
      <c r="S10" s="17"/>
      <c r="T10" s="17"/>
    </row>
    <row r="11" spans="1:22" x14ac:dyDescent="0.2">
      <c r="A11" s="18"/>
      <c r="B11" s="19"/>
      <c r="C11" s="13"/>
      <c r="D11" s="13"/>
      <c r="F11" s="16"/>
      <c r="G11" s="16"/>
      <c r="H11" s="406">
        <v>36</v>
      </c>
      <c r="I11" s="56"/>
      <c r="M11" s="15"/>
      <c r="N11" s="85"/>
      <c r="O11" s="52"/>
      <c r="P11" s="17"/>
      <c r="Q11" s="17"/>
      <c r="R11" s="17"/>
      <c r="S11" s="17"/>
      <c r="T11" s="17"/>
    </row>
    <row r="12" spans="1:22" ht="99" customHeight="1" x14ac:dyDescent="0.2">
      <c r="A12" s="20" t="s">
        <v>0</v>
      </c>
      <c r="B12" s="21" t="s">
        <v>1</v>
      </c>
      <c r="C12" s="89" t="s">
        <v>2</v>
      </c>
      <c r="D12" s="89" t="s">
        <v>3</v>
      </c>
      <c r="E12" s="73" t="s">
        <v>18</v>
      </c>
      <c r="F12" s="74" t="s">
        <v>25</v>
      </c>
      <c r="G12" s="74" t="s">
        <v>27</v>
      </c>
      <c r="H12" s="74" t="s">
        <v>20</v>
      </c>
      <c r="I12" s="74" t="s">
        <v>26</v>
      </c>
      <c r="J12" s="74" t="s">
        <v>19</v>
      </c>
      <c r="K12" s="73" t="s">
        <v>21</v>
      </c>
      <c r="L12" s="73" t="s">
        <v>22</v>
      </c>
      <c r="M12" s="90" t="s">
        <v>4</v>
      </c>
      <c r="N12" s="91" t="s">
        <v>24</v>
      </c>
      <c r="O12" s="94" t="s">
        <v>23</v>
      </c>
      <c r="P12" s="62"/>
      <c r="Q12" s="62"/>
      <c r="R12" s="62"/>
      <c r="S12" s="62"/>
      <c r="T12" s="62"/>
      <c r="U12" s="62"/>
      <c r="V12" s="22"/>
    </row>
    <row r="13" spans="1:22" s="70" customFormat="1" ht="14.25" x14ac:dyDescent="0.2">
      <c r="A13" s="60"/>
      <c r="B13" s="114"/>
      <c r="C13" s="61"/>
      <c r="D13" s="72"/>
      <c r="E13" s="115"/>
      <c r="F13" s="116"/>
      <c r="G13" s="116"/>
      <c r="H13" s="116"/>
      <c r="I13" s="117"/>
      <c r="J13" s="115"/>
      <c r="K13" s="115"/>
      <c r="L13" s="115"/>
      <c r="M13" s="137"/>
      <c r="N13" s="138"/>
      <c r="O13" s="139"/>
      <c r="P13" s="62"/>
      <c r="Q13" s="62"/>
      <c r="R13" s="62"/>
      <c r="S13" s="62"/>
      <c r="T13" s="62"/>
    </row>
    <row r="14" spans="1:22" s="70" customFormat="1" ht="17.25" customHeight="1" x14ac:dyDescent="0.2">
      <c r="A14" s="60"/>
      <c r="B14" s="150"/>
      <c r="C14" s="61"/>
      <c r="D14" s="72"/>
      <c r="E14" s="140"/>
      <c r="F14" s="141"/>
      <c r="G14" s="141"/>
      <c r="H14" s="141"/>
      <c r="I14" s="142"/>
      <c r="J14" s="140"/>
      <c r="K14" s="140"/>
      <c r="L14" s="140"/>
      <c r="M14" s="143"/>
      <c r="N14" s="144"/>
      <c r="O14" s="145"/>
      <c r="P14" s="62"/>
      <c r="Q14" s="62"/>
      <c r="R14" s="62"/>
      <c r="S14" s="62"/>
      <c r="T14" s="62"/>
    </row>
    <row r="15" spans="1:22" s="70" customFormat="1" ht="17.25" customHeight="1" x14ac:dyDescent="0.2">
      <c r="A15" s="60"/>
      <c r="B15" s="169" t="s">
        <v>66</v>
      </c>
      <c r="C15" s="61"/>
      <c r="D15" s="72"/>
      <c r="E15" s="140"/>
      <c r="F15" s="141"/>
      <c r="G15" s="141"/>
      <c r="H15" s="141"/>
      <c r="I15" s="142"/>
      <c r="J15" s="140"/>
      <c r="K15" s="140"/>
      <c r="L15" s="140"/>
      <c r="M15" s="143"/>
      <c r="N15" s="144"/>
      <c r="O15" s="145"/>
      <c r="P15" s="62"/>
      <c r="Q15" s="62"/>
      <c r="R15" s="62"/>
      <c r="S15" s="62"/>
      <c r="T15" s="62"/>
    </row>
    <row r="16" spans="1:22" s="70" customFormat="1" ht="14.25" x14ac:dyDescent="0.2">
      <c r="A16" s="60"/>
      <c r="B16" s="165" t="s">
        <v>73</v>
      </c>
      <c r="C16" s="61"/>
      <c r="D16" s="72"/>
      <c r="E16" s="140"/>
      <c r="F16" s="141"/>
      <c r="G16" s="141"/>
      <c r="H16" s="141"/>
      <c r="I16" s="142"/>
      <c r="J16" s="140"/>
      <c r="K16" s="140"/>
      <c r="L16" s="140"/>
      <c r="M16" s="143"/>
      <c r="N16" s="144"/>
      <c r="O16" s="145"/>
      <c r="P16" s="62"/>
      <c r="Q16" s="62"/>
      <c r="R16" s="62"/>
      <c r="S16" s="62"/>
      <c r="T16" s="62"/>
    </row>
    <row r="17" spans="1:22" s="70" customFormat="1" ht="14.25" x14ac:dyDescent="0.2">
      <c r="A17" s="60"/>
      <c r="B17" s="146" t="s">
        <v>253</v>
      </c>
      <c r="C17" s="61">
        <v>107</v>
      </c>
      <c r="D17" s="72" t="s">
        <v>45</v>
      </c>
      <c r="E17" s="122">
        <v>0.2</v>
      </c>
      <c r="F17" s="122">
        <f>C17*E17</f>
        <v>21.400000000000002</v>
      </c>
      <c r="G17" s="122">
        <f>$H$11*E17</f>
        <v>7.2</v>
      </c>
      <c r="H17" s="123">
        <f>F17*$H$11</f>
        <v>770.40000000000009</v>
      </c>
      <c r="I17" s="393">
        <v>0.85</v>
      </c>
      <c r="J17" s="123">
        <f>C17*I17</f>
        <v>90.95</v>
      </c>
      <c r="K17" s="124">
        <f>SUM(H17,J17)</f>
        <v>861.35000000000014</v>
      </c>
      <c r="L17" s="123">
        <f>K17/C17</f>
        <v>8.0500000000000007</v>
      </c>
      <c r="M17" s="125">
        <f>C17*L17</f>
        <v>861.35</v>
      </c>
      <c r="N17" s="131">
        <v>0</v>
      </c>
      <c r="O17" s="118">
        <f>M17*N17</f>
        <v>0</v>
      </c>
      <c r="P17" s="62"/>
      <c r="Q17" s="62"/>
      <c r="R17" s="62"/>
      <c r="S17" s="62"/>
      <c r="T17" s="62"/>
    </row>
    <row r="18" spans="1:22" s="70" customFormat="1" ht="14.25" x14ac:dyDescent="0.2">
      <c r="A18" s="60"/>
      <c r="B18" s="1" t="s">
        <v>254</v>
      </c>
      <c r="C18" s="61">
        <v>166</v>
      </c>
      <c r="D18" s="72" t="s">
        <v>46</v>
      </c>
      <c r="E18" s="122">
        <v>0.2</v>
      </c>
      <c r="F18" s="122">
        <f>C18*E18</f>
        <v>33.200000000000003</v>
      </c>
      <c r="G18" s="122">
        <f>$H$11*E18</f>
        <v>7.2</v>
      </c>
      <c r="H18" s="123">
        <f>F18*$H$11</f>
        <v>1195.2</v>
      </c>
      <c r="I18" s="393">
        <v>1.1000000000000001</v>
      </c>
      <c r="J18" s="123">
        <f>C18*I18</f>
        <v>182.60000000000002</v>
      </c>
      <c r="K18" s="124">
        <f>SUM(H18,J18)</f>
        <v>1377.8000000000002</v>
      </c>
      <c r="L18" s="123">
        <f>K18/C18</f>
        <v>8.3000000000000007</v>
      </c>
      <c r="M18" s="125">
        <f>C18*L18</f>
        <v>1377.8000000000002</v>
      </c>
      <c r="N18" s="131">
        <v>0</v>
      </c>
      <c r="O18" s="118">
        <f>M18*N18</f>
        <v>0</v>
      </c>
      <c r="P18" s="62"/>
      <c r="Q18" s="62"/>
      <c r="R18" s="62"/>
      <c r="S18" s="62"/>
      <c r="T18" s="62"/>
    </row>
    <row r="19" spans="1:22" s="70" customFormat="1" ht="14.25" x14ac:dyDescent="0.2">
      <c r="A19" s="60"/>
      <c r="B19" s="151"/>
      <c r="C19" s="113"/>
      <c r="D19" s="72"/>
      <c r="E19" s="122"/>
      <c r="F19" s="122"/>
      <c r="G19" s="122"/>
      <c r="H19" s="123"/>
      <c r="I19" s="135"/>
      <c r="J19" s="123"/>
      <c r="K19" s="124"/>
      <c r="L19" s="123"/>
      <c r="M19" s="125"/>
      <c r="N19" s="131"/>
      <c r="O19" s="118"/>
      <c r="P19" s="452">
        <f>SUM(M16:M18)</f>
        <v>2239.15</v>
      </c>
      <c r="Q19" s="450">
        <f>P19*SUM($L$202:$L$206)</f>
        <v>212.71925000000002</v>
      </c>
      <c r="R19" s="266"/>
      <c r="S19" s="266"/>
      <c r="T19" s="62"/>
      <c r="U19" s="103"/>
      <c r="V19" s="103"/>
    </row>
    <row r="20" spans="1:22" s="70" customFormat="1" ht="14.25" x14ac:dyDescent="0.2">
      <c r="A20" s="60"/>
      <c r="B20" s="165" t="s">
        <v>255</v>
      </c>
      <c r="C20" s="157" t="s">
        <v>89</v>
      </c>
      <c r="D20" s="153"/>
      <c r="E20" s="122"/>
      <c r="F20" s="122"/>
      <c r="G20" s="122"/>
      <c r="H20" s="123"/>
      <c r="I20" s="135"/>
      <c r="J20" s="123"/>
      <c r="K20" s="124"/>
      <c r="L20" s="123"/>
      <c r="M20" s="125"/>
      <c r="N20" s="131"/>
      <c r="O20" s="118"/>
      <c r="P20" s="451">
        <f>P19/$M$199</f>
        <v>1.3578424764465892E-2</v>
      </c>
      <c r="Q20" s="452">
        <f>P20*$M$210</f>
        <v>106.42324636977332</v>
      </c>
      <c r="R20" s="452">
        <f>SUM(P19,Q19,Q20)</f>
        <v>2558.2924963697733</v>
      </c>
      <c r="S20" s="452">
        <f>R20*1.08</f>
        <v>2762.9558960793552</v>
      </c>
      <c r="T20" s="62"/>
      <c r="U20" s="103"/>
      <c r="V20" s="103"/>
    </row>
    <row r="21" spans="1:22" s="70" customFormat="1" ht="14.25" x14ac:dyDescent="0.2">
      <c r="A21" s="60"/>
      <c r="B21" s="151"/>
      <c r="C21" s="152"/>
      <c r="D21" s="153"/>
      <c r="E21" s="122"/>
      <c r="F21" s="122"/>
      <c r="G21" s="122"/>
      <c r="H21" s="123"/>
      <c r="I21" s="135"/>
      <c r="J21" s="123"/>
      <c r="K21" s="124"/>
      <c r="L21" s="123"/>
      <c r="M21" s="125"/>
      <c r="N21" s="131"/>
      <c r="O21" s="118"/>
      <c r="P21" s="62"/>
      <c r="Q21" s="62"/>
      <c r="R21" s="62"/>
      <c r="S21" s="62"/>
      <c r="T21" s="62"/>
      <c r="U21" s="103"/>
      <c r="V21" s="103"/>
    </row>
    <row r="22" spans="1:22" s="70" customFormat="1" ht="14.25" x14ac:dyDescent="0.2">
      <c r="A22" s="60"/>
      <c r="B22" s="151"/>
      <c r="C22" s="152"/>
      <c r="D22" s="153"/>
      <c r="E22" s="122"/>
      <c r="F22" s="122"/>
      <c r="G22" s="122"/>
      <c r="H22" s="123"/>
      <c r="I22" s="135"/>
      <c r="J22" s="123"/>
      <c r="K22" s="124"/>
      <c r="L22" s="123"/>
      <c r="M22" s="125"/>
      <c r="N22" s="131"/>
      <c r="O22" s="118"/>
      <c r="P22" s="62"/>
      <c r="Q22" s="62"/>
      <c r="R22" s="62"/>
      <c r="S22" s="62"/>
      <c r="T22" s="62"/>
      <c r="U22" s="103"/>
      <c r="V22" s="103"/>
    </row>
    <row r="23" spans="1:22" s="70" customFormat="1" ht="14.25" x14ac:dyDescent="0.2">
      <c r="A23" s="60"/>
      <c r="B23" s="151"/>
      <c r="C23" s="152"/>
      <c r="D23" s="153"/>
      <c r="E23" s="122"/>
      <c r="F23" s="122"/>
      <c r="G23" s="122"/>
      <c r="H23" s="123"/>
      <c r="I23" s="135"/>
      <c r="J23" s="123"/>
      <c r="K23" s="124"/>
      <c r="L23" s="123"/>
      <c r="M23" s="125"/>
      <c r="N23" s="131"/>
      <c r="O23" s="118"/>
      <c r="P23" s="62"/>
      <c r="Q23" s="62"/>
      <c r="R23" s="62"/>
      <c r="S23" s="62"/>
      <c r="T23" s="62"/>
      <c r="U23" s="103"/>
      <c r="V23" s="103"/>
    </row>
    <row r="24" spans="1:22" s="70" customFormat="1" ht="15" x14ac:dyDescent="0.2">
      <c r="A24" s="60"/>
      <c r="B24" s="267" t="s">
        <v>64</v>
      </c>
      <c r="C24" s="152" t="s">
        <v>252</v>
      </c>
      <c r="D24" s="153"/>
      <c r="E24" s="122"/>
      <c r="F24" s="122"/>
      <c r="G24" s="122"/>
      <c r="H24" s="123"/>
      <c r="I24" s="135"/>
      <c r="J24" s="123"/>
      <c r="K24" s="124"/>
      <c r="L24" s="123"/>
      <c r="M24" s="125"/>
      <c r="N24" s="131"/>
      <c r="O24" s="118"/>
      <c r="P24" s="62"/>
      <c r="Q24" s="62"/>
      <c r="R24" s="62"/>
      <c r="S24" s="62"/>
      <c r="T24" s="62"/>
      <c r="U24" s="103"/>
      <c r="V24" s="103"/>
    </row>
    <row r="25" spans="1:22" s="70" customFormat="1" ht="14.25" x14ac:dyDescent="0.2">
      <c r="A25" s="60"/>
      <c r="B25" s="268" t="s">
        <v>73</v>
      </c>
      <c r="C25" s="61"/>
      <c r="D25" s="72"/>
      <c r="E25" s="140"/>
      <c r="F25" s="141"/>
      <c r="G25" s="141"/>
      <c r="H25" s="141"/>
      <c r="I25" s="142"/>
      <c r="J25" s="140"/>
      <c r="K25" s="140"/>
      <c r="L25" s="140"/>
      <c r="M25" s="143"/>
      <c r="N25" s="144"/>
      <c r="O25" s="145"/>
      <c r="P25" s="62"/>
      <c r="Q25" s="62"/>
      <c r="R25" s="62"/>
      <c r="S25" s="62"/>
      <c r="T25" s="62"/>
      <c r="U25" s="103"/>
      <c r="V25" s="103"/>
    </row>
    <row r="26" spans="1:22" s="70" customFormat="1" ht="14.25" x14ac:dyDescent="0.2">
      <c r="A26" s="60"/>
      <c r="B26" s="264" t="s">
        <v>253</v>
      </c>
      <c r="C26" s="61">
        <v>318</v>
      </c>
      <c r="D26" s="72" t="s">
        <v>45</v>
      </c>
      <c r="E26" s="122">
        <v>0.2</v>
      </c>
      <c r="F26" s="122">
        <f>C26*E26</f>
        <v>63.6</v>
      </c>
      <c r="G26" s="122">
        <f>$H$11*E26</f>
        <v>7.2</v>
      </c>
      <c r="H26" s="123">
        <f>F26*$H$11</f>
        <v>2289.6</v>
      </c>
      <c r="I26" s="393">
        <v>0.85</v>
      </c>
      <c r="J26" s="123">
        <f>C26*I26</f>
        <v>270.3</v>
      </c>
      <c r="K26" s="124">
        <f>SUM(H26,J26)</f>
        <v>2559.9</v>
      </c>
      <c r="L26" s="123">
        <f>K26/C26</f>
        <v>8.0500000000000007</v>
      </c>
      <c r="M26" s="125">
        <f>C26*L26</f>
        <v>2559.9</v>
      </c>
      <c r="N26" s="131">
        <v>0</v>
      </c>
      <c r="O26" s="118">
        <f>M26*N26</f>
        <v>0</v>
      </c>
      <c r="P26" s="62"/>
      <c r="Q26" s="62"/>
      <c r="R26" s="62"/>
      <c r="S26" s="62"/>
      <c r="T26" s="62"/>
      <c r="U26" s="103"/>
      <c r="V26" s="103"/>
    </row>
    <row r="27" spans="1:22" s="70" customFormat="1" ht="14.25" x14ac:dyDescent="0.2">
      <c r="A27" s="60"/>
      <c r="B27" s="151" t="s">
        <v>254</v>
      </c>
      <c r="C27" s="61">
        <v>302</v>
      </c>
      <c r="D27" s="72" t="s">
        <v>46</v>
      </c>
      <c r="E27" s="122">
        <v>0.2</v>
      </c>
      <c r="F27" s="122">
        <f>C27*E27</f>
        <v>60.400000000000006</v>
      </c>
      <c r="G27" s="122">
        <f>$H$11*E27</f>
        <v>7.2</v>
      </c>
      <c r="H27" s="123">
        <f>F27*$H$11</f>
        <v>2174.4</v>
      </c>
      <c r="I27" s="393">
        <v>1.1000000000000001</v>
      </c>
      <c r="J27" s="123">
        <f>C27*I27</f>
        <v>332.20000000000005</v>
      </c>
      <c r="K27" s="124">
        <f>SUM(H27,J27)</f>
        <v>2506.6000000000004</v>
      </c>
      <c r="L27" s="123">
        <f>K27/C27</f>
        <v>8.3000000000000007</v>
      </c>
      <c r="M27" s="125">
        <f>C27*L27</f>
        <v>2506.6000000000004</v>
      </c>
      <c r="N27" s="131">
        <v>0</v>
      </c>
      <c r="O27" s="118">
        <f>M27*N27</f>
        <v>0</v>
      </c>
      <c r="P27" s="62"/>
      <c r="Q27" s="62"/>
      <c r="R27" s="62"/>
      <c r="S27" s="62"/>
      <c r="T27" s="62"/>
      <c r="U27" s="103"/>
      <c r="V27" s="103"/>
    </row>
    <row r="28" spans="1:22" s="70" customFormat="1" ht="14.25" x14ac:dyDescent="0.2">
      <c r="A28" s="60"/>
      <c r="B28" s="151" t="s">
        <v>268</v>
      </c>
      <c r="C28" s="61">
        <v>23</v>
      </c>
      <c r="D28" s="72" t="s">
        <v>46</v>
      </c>
      <c r="E28" s="122">
        <v>0.3</v>
      </c>
      <c r="F28" s="122">
        <f>C28*E28</f>
        <v>6.8999999999999995</v>
      </c>
      <c r="G28" s="122">
        <f>$H$11*E28</f>
        <v>10.799999999999999</v>
      </c>
      <c r="H28" s="123">
        <f>F28*$H$11</f>
        <v>248.39999999999998</v>
      </c>
      <c r="I28" s="135">
        <v>7</v>
      </c>
      <c r="J28" s="123">
        <f>C28*I28</f>
        <v>161</v>
      </c>
      <c r="K28" s="124">
        <f>SUM(H28,J28)</f>
        <v>409.4</v>
      </c>
      <c r="L28" s="123">
        <f>K28/C28</f>
        <v>17.8</v>
      </c>
      <c r="M28" s="125">
        <f>C28*L28</f>
        <v>409.40000000000003</v>
      </c>
      <c r="N28" s="131">
        <v>0</v>
      </c>
      <c r="O28" s="118">
        <f>M28*N28</f>
        <v>0</v>
      </c>
      <c r="P28" s="62"/>
      <c r="Q28" s="62"/>
      <c r="R28" s="62"/>
      <c r="S28" s="62"/>
      <c r="T28" s="62"/>
      <c r="U28" s="103"/>
      <c r="V28" s="103"/>
    </row>
    <row r="29" spans="1:22" s="70" customFormat="1" ht="14.25" x14ac:dyDescent="0.2">
      <c r="A29" s="60"/>
      <c r="B29" s="151"/>
      <c r="C29" s="113"/>
      <c r="D29" s="72"/>
      <c r="E29" s="122"/>
      <c r="F29" s="122"/>
      <c r="G29" s="122"/>
      <c r="H29" s="123"/>
      <c r="I29" s="135"/>
      <c r="J29" s="123"/>
      <c r="K29" s="124"/>
      <c r="L29" s="123"/>
      <c r="M29" s="125"/>
      <c r="N29" s="131"/>
      <c r="O29" s="118"/>
      <c r="P29" s="452">
        <f>SUM(M26:M28)</f>
        <v>5475.9</v>
      </c>
      <c r="Q29" s="450">
        <f>P29*SUM($L$202:$L$206)</f>
        <v>520.21050000000002</v>
      </c>
      <c r="R29" s="266"/>
      <c r="S29" s="266"/>
      <c r="T29" s="62"/>
      <c r="U29" s="103"/>
      <c r="V29" s="103"/>
    </row>
    <row r="30" spans="1:22" s="70" customFormat="1" ht="14.25" x14ac:dyDescent="0.2">
      <c r="A30" s="60"/>
      <c r="B30" s="268" t="s">
        <v>255</v>
      </c>
      <c r="C30" s="152"/>
      <c r="D30" s="153"/>
      <c r="E30" s="122"/>
      <c r="F30" s="122"/>
      <c r="G30" s="122"/>
      <c r="H30" s="123"/>
      <c r="I30" s="135"/>
      <c r="J30" s="123"/>
      <c r="K30" s="124"/>
      <c r="L30" s="123"/>
      <c r="M30" s="125"/>
      <c r="N30" s="131"/>
      <c r="O30" s="118"/>
      <c r="P30" s="451">
        <f>P29/$M$199</f>
        <v>3.320639357244435E-2</v>
      </c>
      <c r="Q30" s="452">
        <f>P30*$M$210</f>
        <v>260.26083772692391</v>
      </c>
      <c r="R30" s="452">
        <f>SUM(P29,Q29,Q30)</f>
        <v>6256.3713377269232</v>
      </c>
      <c r="S30" s="452">
        <f>R30*1.08</f>
        <v>6756.8810447450778</v>
      </c>
      <c r="T30" s="62"/>
      <c r="U30" s="103"/>
      <c r="V30" s="103"/>
    </row>
    <row r="31" spans="1:22" s="70" customFormat="1" ht="14.25" x14ac:dyDescent="0.2">
      <c r="A31" s="60"/>
      <c r="B31" s="151" t="s">
        <v>253</v>
      </c>
      <c r="C31" s="152">
        <v>26</v>
      </c>
      <c r="D31" s="153" t="s">
        <v>45</v>
      </c>
      <c r="E31" s="122">
        <v>0.2</v>
      </c>
      <c r="F31" s="122">
        <f>C31*E31</f>
        <v>5.2</v>
      </c>
      <c r="G31" s="122">
        <f>$H$11*E31</f>
        <v>7.2</v>
      </c>
      <c r="H31" s="123">
        <f>F31*$H$11</f>
        <v>187.20000000000002</v>
      </c>
      <c r="I31" s="393">
        <v>0.85</v>
      </c>
      <c r="J31" s="123">
        <f>C31*I31</f>
        <v>22.099999999999998</v>
      </c>
      <c r="K31" s="124">
        <f>SUM(H31,J31)</f>
        <v>209.3</v>
      </c>
      <c r="L31" s="123">
        <f>K31/C31</f>
        <v>8.0500000000000007</v>
      </c>
      <c r="M31" s="125">
        <f>C31*L31</f>
        <v>209.3</v>
      </c>
      <c r="N31" s="131">
        <v>0</v>
      </c>
      <c r="O31" s="118">
        <f>M31*N31</f>
        <v>0</v>
      </c>
      <c r="P31" s="62"/>
      <c r="Q31" s="62"/>
      <c r="R31" s="62"/>
      <c r="S31" s="62"/>
      <c r="T31" s="62"/>
      <c r="U31" s="103"/>
      <c r="V31" s="103"/>
    </row>
    <row r="32" spans="1:22" s="70" customFormat="1" ht="14.25" x14ac:dyDescent="0.2">
      <c r="A32" s="60"/>
      <c r="B32" s="151" t="s">
        <v>256</v>
      </c>
      <c r="C32" s="152">
        <v>39</v>
      </c>
      <c r="D32" s="153" t="s">
        <v>46</v>
      </c>
      <c r="E32" s="390">
        <v>0.19</v>
      </c>
      <c r="F32" s="122">
        <f>C32*E32</f>
        <v>7.41</v>
      </c>
      <c r="G32" s="122">
        <f>$H$11*E32</f>
        <v>6.84</v>
      </c>
      <c r="H32" s="123">
        <f>F32*$H$11</f>
        <v>266.76</v>
      </c>
      <c r="I32" s="393">
        <v>2.02</v>
      </c>
      <c r="J32" s="123">
        <f>C32*I32</f>
        <v>78.78</v>
      </c>
      <c r="K32" s="124">
        <f>SUM(H32,J32)</f>
        <v>345.53999999999996</v>
      </c>
      <c r="L32" s="123">
        <f>K32/C32</f>
        <v>8.86</v>
      </c>
      <c r="M32" s="125">
        <f>C32*L32</f>
        <v>345.53999999999996</v>
      </c>
      <c r="N32" s="131">
        <v>0</v>
      </c>
      <c r="O32" s="118">
        <f>M32*N32</f>
        <v>0</v>
      </c>
      <c r="P32" s="62"/>
      <c r="Q32" s="62"/>
      <c r="R32" s="62"/>
      <c r="S32" s="62"/>
      <c r="T32" s="62"/>
      <c r="U32" s="103"/>
      <c r="V32" s="103"/>
    </row>
    <row r="33" spans="1:22" s="70" customFormat="1" ht="14.25" x14ac:dyDescent="0.2">
      <c r="A33" s="60"/>
      <c r="B33" s="168"/>
      <c r="C33" s="152"/>
      <c r="D33" s="153"/>
      <c r="E33" s="122"/>
      <c r="F33" s="122"/>
      <c r="G33" s="122"/>
      <c r="H33" s="123"/>
      <c r="I33" s="135"/>
      <c r="J33" s="123"/>
      <c r="K33" s="124"/>
      <c r="L33" s="123"/>
      <c r="M33" s="125"/>
      <c r="N33" s="131"/>
      <c r="O33" s="118"/>
      <c r="P33" s="452">
        <f>SUM(M30:M32)</f>
        <v>554.83999999999992</v>
      </c>
      <c r="Q33" s="450">
        <f>P33*SUM($L$202:$L$206)</f>
        <v>52.709799999999994</v>
      </c>
      <c r="R33" s="266"/>
      <c r="S33" s="266"/>
      <c r="T33" s="62"/>
      <c r="U33" s="103"/>
      <c r="V33" s="103"/>
    </row>
    <row r="34" spans="1:22" s="70" customFormat="1" ht="14.25" x14ac:dyDescent="0.2">
      <c r="A34" s="60"/>
      <c r="B34" s="151"/>
      <c r="C34" s="152"/>
      <c r="D34" s="153"/>
      <c r="E34" s="122"/>
      <c r="F34" s="122"/>
      <c r="G34" s="122"/>
      <c r="H34" s="123"/>
      <c r="I34" s="135"/>
      <c r="J34" s="123"/>
      <c r="K34" s="124"/>
      <c r="L34" s="123"/>
      <c r="M34" s="125"/>
      <c r="N34" s="131"/>
      <c r="O34" s="118"/>
      <c r="P34" s="451">
        <f>P33/$M$199</f>
        <v>3.3646040668629854E-3</v>
      </c>
      <c r="Q34" s="452">
        <f>P34*$M$210</f>
        <v>26.370664768240186</v>
      </c>
      <c r="R34" s="452">
        <f>SUM(P33,Q33,Q34)</f>
        <v>633.92046476824009</v>
      </c>
      <c r="S34" s="452">
        <f>R34*1.08</f>
        <v>684.63410194969936</v>
      </c>
      <c r="T34" s="62"/>
      <c r="U34" s="103"/>
      <c r="V34" s="103"/>
    </row>
    <row r="35" spans="1:22" s="70" customFormat="1" ht="14.25" x14ac:dyDescent="0.2">
      <c r="A35" s="60"/>
      <c r="B35" s="151"/>
      <c r="C35" s="152"/>
      <c r="D35" s="153"/>
      <c r="E35" s="122"/>
      <c r="F35" s="122"/>
      <c r="G35" s="122"/>
      <c r="H35" s="123"/>
      <c r="I35" s="135"/>
      <c r="J35" s="123"/>
      <c r="K35" s="124"/>
      <c r="L35" s="123"/>
      <c r="M35" s="125"/>
      <c r="N35" s="131"/>
      <c r="O35" s="118"/>
      <c r="P35" s="62"/>
      <c r="Q35" s="62"/>
      <c r="R35" s="62"/>
      <c r="S35" s="62"/>
      <c r="T35" s="62"/>
      <c r="U35" s="103"/>
      <c r="V35" s="103"/>
    </row>
    <row r="36" spans="1:22" s="70" customFormat="1" ht="15" x14ac:dyDescent="0.2">
      <c r="A36" s="60"/>
      <c r="B36" s="267" t="s">
        <v>67</v>
      </c>
      <c r="C36" s="152"/>
      <c r="D36" s="153"/>
      <c r="E36" s="122"/>
      <c r="F36" s="122"/>
      <c r="G36" s="122"/>
      <c r="H36" s="123"/>
      <c r="I36" s="135"/>
      <c r="J36" s="123"/>
      <c r="K36" s="124"/>
      <c r="L36" s="123"/>
      <c r="M36" s="125"/>
      <c r="N36" s="131"/>
      <c r="O36" s="118"/>
      <c r="P36" s="62"/>
      <c r="Q36" s="62"/>
      <c r="R36" s="62"/>
      <c r="S36" s="62"/>
      <c r="T36" s="62"/>
      <c r="U36" s="103"/>
      <c r="V36" s="103"/>
    </row>
    <row r="37" spans="1:22" s="70" customFormat="1" ht="14.25" x14ac:dyDescent="0.2">
      <c r="A37" s="60"/>
      <c r="B37" s="268" t="s">
        <v>73</v>
      </c>
      <c r="C37" s="61"/>
      <c r="D37" s="72"/>
      <c r="E37" s="140"/>
      <c r="F37" s="141"/>
      <c r="G37" s="141"/>
      <c r="H37" s="141"/>
      <c r="I37" s="142"/>
      <c r="J37" s="140"/>
      <c r="K37" s="140"/>
      <c r="L37" s="140"/>
      <c r="M37" s="143"/>
      <c r="N37" s="144"/>
      <c r="O37" s="145"/>
      <c r="P37" s="62"/>
      <c r="Q37" s="62"/>
      <c r="R37" s="62"/>
      <c r="S37" s="62"/>
      <c r="T37" s="62"/>
      <c r="U37" s="103"/>
      <c r="V37" s="103"/>
    </row>
    <row r="38" spans="1:22" s="70" customFormat="1" ht="14.25" x14ac:dyDescent="0.2">
      <c r="A38" s="60"/>
      <c r="B38" s="264" t="s">
        <v>253</v>
      </c>
      <c r="C38" s="61">
        <v>342</v>
      </c>
      <c r="D38" s="72" t="s">
        <v>45</v>
      </c>
      <c r="E38" s="122">
        <v>0.2</v>
      </c>
      <c r="F38" s="122">
        <f>C38*E38</f>
        <v>68.400000000000006</v>
      </c>
      <c r="G38" s="122">
        <f>$H$11*E38</f>
        <v>7.2</v>
      </c>
      <c r="H38" s="123">
        <f>F38*$H$11</f>
        <v>2462.4</v>
      </c>
      <c r="I38" s="393">
        <v>0.85</v>
      </c>
      <c r="J38" s="123">
        <f>C38*I38</f>
        <v>290.7</v>
      </c>
      <c r="K38" s="124">
        <f>SUM(H38,J38)</f>
        <v>2753.1</v>
      </c>
      <c r="L38" s="123">
        <f>K38/C38</f>
        <v>8.0499999999999989</v>
      </c>
      <c r="M38" s="125">
        <f>C38*L38</f>
        <v>2753.0999999999995</v>
      </c>
      <c r="N38" s="131">
        <v>0</v>
      </c>
      <c r="O38" s="118">
        <f>M38*N38</f>
        <v>0</v>
      </c>
      <c r="P38" s="62"/>
      <c r="Q38" s="62"/>
      <c r="R38" s="62"/>
      <c r="S38" s="62"/>
      <c r="T38" s="62"/>
      <c r="U38" s="103"/>
      <c r="V38" s="103"/>
    </row>
    <row r="39" spans="1:22" s="70" customFormat="1" ht="14.25" x14ac:dyDescent="0.2">
      <c r="A39" s="60"/>
      <c r="B39" s="151" t="s">
        <v>254</v>
      </c>
      <c r="C39" s="61">
        <v>260</v>
      </c>
      <c r="D39" s="72" t="s">
        <v>46</v>
      </c>
      <c r="E39" s="122">
        <v>0.2</v>
      </c>
      <c r="F39" s="122">
        <f>C39*E39</f>
        <v>52</v>
      </c>
      <c r="G39" s="122">
        <f>$H$11*E39</f>
        <v>7.2</v>
      </c>
      <c r="H39" s="123">
        <f>F39*$H$11</f>
        <v>1872</v>
      </c>
      <c r="I39" s="393">
        <v>1.1000000000000001</v>
      </c>
      <c r="J39" s="123">
        <f>C39*I39</f>
        <v>286</v>
      </c>
      <c r="K39" s="124">
        <f>SUM(H39,J39)</f>
        <v>2158</v>
      </c>
      <c r="L39" s="123">
        <f>K39/C39</f>
        <v>8.3000000000000007</v>
      </c>
      <c r="M39" s="125">
        <f>C39*L39</f>
        <v>2158</v>
      </c>
      <c r="N39" s="131">
        <v>0</v>
      </c>
      <c r="O39" s="118">
        <f>M39*N39</f>
        <v>0</v>
      </c>
      <c r="P39" s="62"/>
      <c r="Q39" s="62"/>
      <c r="R39" s="62"/>
      <c r="S39" s="62"/>
      <c r="T39" s="62"/>
      <c r="U39" s="103"/>
      <c r="V39" s="103"/>
    </row>
    <row r="40" spans="1:22" s="70" customFormat="1" ht="14.25" x14ac:dyDescent="0.2">
      <c r="A40" s="60"/>
      <c r="B40" s="151" t="s">
        <v>268</v>
      </c>
      <c r="C40" s="61">
        <v>51</v>
      </c>
      <c r="D40" s="72" t="s">
        <v>46</v>
      </c>
      <c r="E40" s="122">
        <v>0.3</v>
      </c>
      <c r="F40" s="122">
        <f>C40*E40</f>
        <v>15.299999999999999</v>
      </c>
      <c r="G40" s="122">
        <f>$H$11*E40</f>
        <v>10.799999999999999</v>
      </c>
      <c r="H40" s="123">
        <f>F40*$H$11</f>
        <v>550.79999999999995</v>
      </c>
      <c r="I40" s="135">
        <v>7</v>
      </c>
      <c r="J40" s="123">
        <f>C40*I40</f>
        <v>357</v>
      </c>
      <c r="K40" s="124">
        <f>SUM(H40,J40)</f>
        <v>907.8</v>
      </c>
      <c r="L40" s="123">
        <f>K40/C40</f>
        <v>17.8</v>
      </c>
      <c r="M40" s="125">
        <f>C40*L40</f>
        <v>907.80000000000007</v>
      </c>
      <c r="N40" s="131">
        <v>0</v>
      </c>
      <c r="O40" s="118">
        <f>M40*N40</f>
        <v>0</v>
      </c>
      <c r="P40" s="62"/>
      <c r="Q40" s="62"/>
      <c r="R40" s="62"/>
      <c r="S40" s="62"/>
      <c r="T40" s="62"/>
      <c r="U40" s="103"/>
      <c r="V40" s="103"/>
    </row>
    <row r="41" spans="1:22" s="70" customFormat="1" ht="14.25" x14ac:dyDescent="0.2">
      <c r="A41" s="60"/>
      <c r="B41" s="151"/>
      <c r="C41" s="113"/>
      <c r="D41" s="72"/>
      <c r="E41" s="122"/>
      <c r="F41" s="122"/>
      <c r="G41" s="122"/>
      <c r="H41" s="123"/>
      <c r="I41" s="135"/>
      <c r="J41" s="123"/>
      <c r="K41" s="124"/>
      <c r="L41" s="123"/>
      <c r="M41" s="125"/>
      <c r="N41" s="131"/>
      <c r="O41" s="118"/>
      <c r="P41" s="452">
        <f>SUM(M38:M40)</f>
        <v>5818.9</v>
      </c>
      <c r="Q41" s="450">
        <f>P41*SUM($L$202:$L$206)</f>
        <v>552.79549999999995</v>
      </c>
      <c r="R41" s="266"/>
      <c r="S41" s="266"/>
      <c r="T41" s="62"/>
      <c r="U41" s="103"/>
      <c r="V41" s="103"/>
    </row>
    <row r="42" spans="1:22" s="70" customFormat="1" ht="14.25" x14ac:dyDescent="0.2">
      <c r="A42" s="60"/>
      <c r="B42" s="268" t="s">
        <v>255</v>
      </c>
      <c r="C42" s="152"/>
      <c r="D42" s="153"/>
      <c r="E42" s="122"/>
      <c r="F42" s="122"/>
      <c r="G42" s="122"/>
      <c r="H42" s="123"/>
      <c r="I42" s="135"/>
      <c r="J42" s="123"/>
      <c r="K42" s="124"/>
      <c r="L42" s="123"/>
      <c r="M42" s="125"/>
      <c r="N42" s="131"/>
      <c r="O42" s="118"/>
      <c r="P42" s="451">
        <f>P41/$M$199</f>
        <v>3.5286379144742676E-2</v>
      </c>
      <c r="Q42" s="452">
        <f>P42*$M$210</f>
        <v>276.56308344732327</v>
      </c>
      <c r="R42" s="452">
        <f>SUM(P41,Q41,Q42)</f>
        <v>6648.258583447323</v>
      </c>
      <c r="S42" s="452">
        <f>R42*1.08</f>
        <v>7180.1192701231093</v>
      </c>
      <c r="T42" s="62"/>
      <c r="U42" s="103"/>
      <c r="V42" s="103"/>
    </row>
    <row r="43" spans="1:22" s="70" customFormat="1" ht="14.25" x14ac:dyDescent="0.2">
      <c r="A43" s="60"/>
      <c r="B43" s="151" t="s">
        <v>253</v>
      </c>
      <c r="C43" s="152">
        <v>14</v>
      </c>
      <c r="D43" s="153" t="s">
        <v>45</v>
      </c>
      <c r="E43" s="122">
        <v>0.2</v>
      </c>
      <c r="F43" s="122">
        <f>C43*E43</f>
        <v>2.8000000000000003</v>
      </c>
      <c r="G43" s="122">
        <f>$H$11*E43</f>
        <v>7.2</v>
      </c>
      <c r="H43" s="123">
        <f>F43*$H$11</f>
        <v>100.80000000000001</v>
      </c>
      <c r="I43" s="393">
        <v>0.85</v>
      </c>
      <c r="J43" s="123">
        <f>C43*I43</f>
        <v>11.9</v>
      </c>
      <c r="K43" s="124">
        <f>SUM(H43,J43)</f>
        <v>112.70000000000002</v>
      </c>
      <c r="L43" s="123">
        <f>K43/C43</f>
        <v>8.0500000000000007</v>
      </c>
      <c r="M43" s="125">
        <f>C43*L43</f>
        <v>112.70000000000002</v>
      </c>
      <c r="N43" s="131">
        <v>0</v>
      </c>
      <c r="O43" s="118">
        <f>M43*N43</f>
        <v>0</v>
      </c>
      <c r="P43" s="62"/>
      <c r="Q43" s="62"/>
      <c r="R43" s="62"/>
      <c r="S43" s="62"/>
      <c r="T43" s="62"/>
      <c r="U43" s="103"/>
      <c r="V43" s="103"/>
    </row>
    <row r="44" spans="1:22" s="70" customFormat="1" ht="14.25" x14ac:dyDescent="0.2">
      <c r="A44" s="60"/>
      <c r="B44" s="151" t="s">
        <v>256</v>
      </c>
      <c r="C44" s="152">
        <v>11</v>
      </c>
      <c r="D44" s="153" t="s">
        <v>46</v>
      </c>
      <c r="E44" s="390">
        <v>0.19</v>
      </c>
      <c r="F44" s="122">
        <f>C44*E44</f>
        <v>2.09</v>
      </c>
      <c r="G44" s="122">
        <f>$H$11*E44</f>
        <v>6.84</v>
      </c>
      <c r="H44" s="123">
        <f>F44*$H$11</f>
        <v>75.239999999999995</v>
      </c>
      <c r="I44" s="393">
        <v>2.02</v>
      </c>
      <c r="J44" s="123">
        <f>C44*I44</f>
        <v>22.22</v>
      </c>
      <c r="K44" s="124">
        <f>SUM(H44,J44)</f>
        <v>97.46</v>
      </c>
      <c r="L44" s="123">
        <f>K44/C44</f>
        <v>8.86</v>
      </c>
      <c r="M44" s="125">
        <f>C44*L44</f>
        <v>97.46</v>
      </c>
      <c r="N44" s="131">
        <v>0</v>
      </c>
      <c r="O44" s="118">
        <f>M44*N44</f>
        <v>0</v>
      </c>
      <c r="P44" s="62"/>
      <c r="Q44" s="62"/>
      <c r="R44" s="62"/>
      <c r="S44" s="62"/>
      <c r="T44" s="62"/>
      <c r="U44" s="103"/>
      <c r="V44" s="103"/>
    </row>
    <row r="45" spans="1:22" s="70" customFormat="1" ht="14.25" x14ac:dyDescent="0.2">
      <c r="A45" s="60"/>
      <c r="B45" s="168"/>
      <c r="C45" s="152"/>
      <c r="D45" s="153"/>
      <c r="E45" s="122"/>
      <c r="F45" s="122"/>
      <c r="G45" s="122"/>
      <c r="H45" s="123"/>
      <c r="I45" s="135"/>
      <c r="J45" s="123"/>
      <c r="K45" s="124"/>
      <c r="L45" s="123"/>
      <c r="M45" s="125"/>
      <c r="N45" s="131"/>
      <c r="O45" s="118"/>
      <c r="P45" s="452">
        <f>SUM(M42:M44)</f>
        <v>210.16000000000003</v>
      </c>
      <c r="Q45" s="450">
        <f>P45*SUM($L$202:$L$206)</f>
        <v>19.965200000000003</v>
      </c>
      <c r="R45" s="266"/>
      <c r="S45" s="266"/>
      <c r="T45" s="62"/>
      <c r="U45" s="103"/>
      <c r="V45" s="103"/>
    </row>
    <row r="46" spans="1:22" s="70" customFormat="1" ht="14.25" x14ac:dyDescent="0.2">
      <c r="A46" s="60"/>
      <c r="B46" s="168"/>
      <c r="C46" s="152"/>
      <c r="D46" s="153"/>
      <c r="E46" s="122"/>
      <c r="F46" s="122"/>
      <c r="G46" s="122"/>
      <c r="H46" s="123"/>
      <c r="I46" s="135"/>
      <c r="J46" s="123"/>
      <c r="K46" s="124"/>
      <c r="L46" s="123"/>
      <c r="M46" s="125"/>
      <c r="N46" s="131"/>
      <c r="O46" s="118"/>
      <c r="P46" s="451">
        <f>P45/$M$199</f>
        <v>1.2744308101289114E-3</v>
      </c>
      <c r="Q46" s="452">
        <f>P46*$M$210</f>
        <v>9.988571313700092</v>
      </c>
      <c r="R46" s="452">
        <f>SUM(P45,Q45,Q46)</f>
        <v>240.11377131370011</v>
      </c>
      <c r="S46" s="452">
        <f>R46*1.08</f>
        <v>259.32287301879614</v>
      </c>
      <c r="T46" s="62"/>
      <c r="U46" s="103"/>
      <c r="V46" s="103"/>
    </row>
    <row r="47" spans="1:22" s="70" customFormat="1" ht="14.25" x14ac:dyDescent="0.2">
      <c r="A47" s="60"/>
      <c r="B47" s="151"/>
      <c r="C47" s="152"/>
      <c r="D47" s="153"/>
      <c r="E47" s="122"/>
      <c r="F47" s="122"/>
      <c r="G47" s="122"/>
      <c r="H47" s="123"/>
      <c r="I47" s="135"/>
      <c r="J47" s="123"/>
      <c r="K47" s="124"/>
      <c r="L47" s="123"/>
      <c r="M47" s="125"/>
      <c r="N47" s="131"/>
      <c r="O47" s="118"/>
      <c r="P47" s="62"/>
      <c r="Q47" s="62"/>
      <c r="R47" s="62"/>
      <c r="S47" s="62"/>
      <c r="T47" s="62"/>
      <c r="U47" s="103"/>
      <c r="V47" s="103"/>
    </row>
    <row r="48" spans="1:22" s="70" customFormat="1" ht="15" x14ac:dyDescent="0.2">
      <c r="A48" s="60"/>
      <c r="B48" s="267" t="s">
        <v>68</v>
      </c>
      <c r="C48" s="152"/>
      <c r="D48" s="153"/>
      <c r="E48" s="122"/>
      <c r="F48" s="122"/>
      <c r="G48" s="122"/>
      <c r="H48" s="123"/>
      <c r="I48" s="135"/>
      <c r="J48" s="123"/>
      <c r="K48" s="124"/>
      <c r="L48" s="123"/>
      <c r="M48" s="125"/>
      <c r="N48" s="131"/>
      <c r="O48" s="118"/>
      <c r="P48" s="62"/>
      <c r="Q48" s="62"/>
      <c r="R48" s="62"/>
      <c r="S48" s="62"/>
      <c r="T48" s="62"/>
      <c r="U48" s="103"/>
      <c r="V48" s="103"/>
    </row>
    <row r="49" spans="1:22" s="70" customFormat="1" ht="14.25" x14ac:dyDescent="0.2">
      <c r="A49" s="60"/>
      <c r="B49" s="268" t="s">
        <v>73</v>
      </c>
      <c r="C49" s="61"/>
      <c r="D49" s="72"/>
      <c r="E49" s="140"/>
      <c r="F49" s="141"/>
      <c r="G49" s="141"/>
      <c r="H49" s="141"/>
      <c r="I49" s="142"/>
      <c r="J49" s="140"/>
      <c r="K49" s="140"/>
      <c r="L49" s="140"/>
      <c r="M49" s="143"/>
      <c r="N49" s="144"/>
      <c r="O49" s="145"/>
      <c r="P49" s="62"/>
      <c r="Q49" s="62"/>
      <c r="R49" s="62"/>
      <c r="S49" s="62"/>
      <c r="T49" s="62"/>
      <c r="U49" s="103"/>
      <c r="V49" s="103"/>
    </row>
    <row r="50" spans="1:22" s="70" customFormat="1" ht="14.25" x14ac:dyDescent="0.2">
      <c r="A50" s="60"/>
      <c r="B50" s="264" t="s">
        <v>253</v>
      </c>
      <c r="C50" s="61">
        <v>120</v>
      </c>
      <c r="D50" s="72" t="s">
        <v>45</v>
      </c>
      <c r="E50" s="122">
        <v>0.2</v>
      </c>
      <c r="F50" s="122">
        <f>C50*E50</f>
        <v>24</v>
      </c>
      <c r="G50" s="122">
        <f>$H$11*E50</f>
        <v>7.2</v>
      </c>
      <c r="H50" s="123">
        <f>F50*$H$11</f>
        <v>864</v>
      </c>
      <c r="I50" s="393">
        <v>0.85</v>
      </c>
      <c r="J50" s="123">
        <f>C50*I50</f>
        <v>102</v>
      </c>
      <c r="K50" s="124">
        <f>SUM(H50,J50)</f>
        <v>966</v>
      </c>
      <c r="L50" s="123">
        <f>K50/C50</f>
        <v>8.0500000000000007</v>
      </c>
      <c r="M50" s="125">
        <f>C50*L50</f>
        <v>966.00000000000011</v>
      </c>
      <c r="N50" s="131">
        <v>0</v>
      </c>
      <c r="O50" s="118">
        <f>M50*N50</f>
        <v>0</v>
      </c>
      <c r="P50" s="62"/>
      <c r="Q50" s="62"/>
      <c r="R50" s="62"/>
      <c r="S50" s="62"/>
      <c r="T50" s="62"/>
      <c r="U50" s="103"/>
      <c r="V50" s="103"/>
    </row>
    <row r="51" spans="1:22" s="70" customFormat="1" ht="14.25" x14ac:dyDescent="0.2">
      <c r="A51" s="60"/>
      <c r="B51" s="151" t="s">
        <v>254</v>
      </c>
      <c r="C51" s="61">
        <v>156</v>
      </c>
      <c r="D51" s="72" t="s">
        <v>46</v>
      </c>
      <c r="E51" s="122">
        <v>0.2</v>
      </c>
      <c r="F51" s="122">
        <f>C51*E51</f>
        <v>31.200000000000003</v>
      </c>
      <c r="G51" s="122">
        <f>$H$11*E51</f>
        <v>7.2</v>
      </c>
      <c r="H51" s="123">
        <f>F51*$H$11</f>
        <v>1123.2</v>
      </c>
      <c r="I51" s="393">
        <v>1.1000000000000001</v>
      </c>
      <c r="J51" s="123">
        <f>C51*I51</f>
        <v>171.60000000000002</v>
      </c>
      <c r="K51" s="124">
        <f>SUM(H51,J51)</f>
        <v>1294.8000000000002</v>
      </c>
      <c r="L51" s="123">
        <f>K51/C51</f>
        <v>8.3000000000000007</v>
      </c>
      <c r="M51" s="125">
        <f>C51*L51</f>
        <v>1294.8000000000002</v>
      </c>
      <c r="N51" s="131">
        <v>0</v>
      </c>
      <c r="O51" s="118">
        <f>M51*N51</f>
        <v>0</v>
      </c>
      <c r="P51" s="62"/>
      <c r="Q51" s="62"/>
      <c r="R51" s="62"/>
      <c r="S51" s="62"/>
      <c r="T51" s="62"/>
      <c r="U51" s="103"/>
      <c r="V51" s="103"/>
    </row>
    <row r="52" spans="1:22" s="70" customFormat="1" ht="14.25" x14ac:dyDescent="0.2">
      <c r="A52" s="60"/>
      <c r="B52" s="151" t="s">
        <v>268</v>
      </c>
      <c r="C52" s="61">
        <v>43</v>
      </c>
      <c r="D52" s="72" t="s">
        <v>46</v>
      </c>
      <c r="E52" s="122">
        <v>0.3</v>
      </c>
      <c r="F52" s="122">
        <f>C52*E52</f>
        <v>12.9</v>
      </c>
      <c r="G52" s="122">
        <f>$H$11*E52</f>
        <v>10.799999999999999</v>
      </c>
      <c r="H52" s="123">
        <f>F52*$H$11</f>
        <v>464.40000000000003</v>
      </c>
      <c r="I52" s="135">
        <v>7</v>
      </c>
      <c r="J52" s="123">
        <f>C52*I52</f>
        <v>301</v>
      </c>
      <c r="K52" s="124">
        <f>SUM(H52,J52)</f>
        <v>765.40000000000009</v>
      </c>
      <c r="L52" s="123">
        <f>K52/C52</f>
        <v>17.8</v>
      </c>
      <c r="M52" s="125">
        <f>C52*L52</f>
        <v>765.4</v>
      </c>
      <c r="N52" s="131">
        <v>0</v>
      </c>
      <c r="O52" s="118">
        <f>M52*N52</f>
        <v>0</v>
      </c>
      <c r="P52" s="62"/>
      <c r="Q52" s="62"/>
      <c r="R52" s="62"/>
      <c r="S52" s="62"/>
      <c r="T52" s="62"/>
      <c r="U52" s="103"/>
      <c r="V52" s="103"/>
    </row>
    <row r="53" spans="1:22" s="70" customFormat="1" ht="14.25" x14ac:dyDescent="0.2">
      <c r="A53" s="60"/>
      <c r="B53" s="151"/>
      <c r="C53" s="113"/>
      <c r="D53" s="72"/>
      <c r="E53" s="122"/>
      <c r="F53" s="122"/>
      <c r="G53" s="122"/>
      <c r="H53" s="123"/>
      <c r="I53" s="135"/>
      <c r="J53" s="123"/>
      <c r="K53" s="124"/>
      <c r="L53" s="123"/>
      <c r="M53" s="125"/>
      <c r="N53" s="131"/>
      <c r="O53" s="118"/>
      <c r="P53" s="452">
        <f>SUM(M50:M52)</f>
        <v>3026.2000000000003</v>
      </c>
      <c r="Q53" s="450">
        <f>P53*SUM($L$202:$L$206)</f>
        <v>287.48900000000003</v>
      </c>
      <c r="R53" s="266"/>
      <c r="S53" s="266"/>
      <c r="T53" s="62"/>
      <c r="U53" s="103"/>
      <c r="V53" s="103"/>
    </row>
    <row r="54" spans="1:22" s="70" customFormat="1" ht="14.25" x14ac:dyDescent="0.2">
      <c r="A54" s="60"/>
      <c r="B54" s="268" t="s">
        <v>255</v>
      </c>
      <c r="C54" s="152"/>
      <c r="D54" s="153"/>
      <c r="E54" s="122"/>
      <c r="F54" s="122"/>
      <c r="G54" s="122"/>
      <c r="H54" s="123"/>
      <c r="I54" s="135"/>
      <c r="J54" s="123"/>
      <c r="K54" s="124"/>
      <c r="L54" s="123"/>
      <c r="M54" s="125"/>
      <c r="N54" s="131"/>
      <c r="O54" s="118"/>
      <c r="P54" s="451">
        <f>P53/$M$199</f>
        <v>1.8351172999676969E-2</v>
      </c>
      <c r="Q54" s="452">
        <f>P54*$M$210</f>
        <v>143.83048396231072</v>
      </c>
      <c r="R54" s="452">
        <f>SUM(P53,Q53,Q54)</f>
        <v>3457.5194839623109</v>
      </c>
      <c r="S54" s="452">
        <f>R54*1.08</f>
        <v>3734.1210426792959</v>
      </c>
      <c r="T54" s="62"/>
      <c r="U54" s="103"/>
      <c r="V54" s="103"/>
    </row>
    <row r="55" spans="1:22" s="70" customFormat="1" ht="14.25" x14ac:dyDescent="0.2">
      <c r="A55" s="60"/>
      <c r="B55" s="151" t="s">
        <v>253</v>
      </c>
      <c r="C55" s="152">
        <v>6</v>
      </c>
      <c r="D55" s="153" t="s">
        <v>45</v>
      </c>
      <c r="E55" s="122">
        <v>0.2</v>
      </c>
      <c r="F55" s="122">
        <f>C55*E55</f>
        <v>1.2000000000000002</v>
      </c>
      <c r="G55" s="122">
        <f>$H$11*E55</f>
        <v>7.2</v>
      </c>
      <c r="H55" s="123">
        <f>F55*$H$11</f>
        <v>43.2</v>
      </c>
      <c r="I55" s="393">
        <v>0.85</v>
      </c>
      <c r="J55" s="123">
        <f>C55*I55</f>
        <v>5.0999999999999996</v>
      </c>
      <c r="K55" s="124">
        <f>SUM(H55,J55)</f>
        <v>48.300000000000004</v>
      </c>
      <c r="L55" s="123">
        <f>K55/C55</f>
        <v>8.0500000000000007</v>
      </c>
      <c r="M55" s="125">
        <f>C55*L55</f>
        <v>48.300000000000004</v>
      </c>
      <c r="N55" s="131">
        <v>0</v>
      </c>
      <c r="O55" s="118">
        <f>M55*N55</f>
        <v>0</v>
      </c>
      <c r="P55" s="62"/>
      <c r="Q55" s="62"/>
      <c r="R55" s="62"/>
      <c r="S55" s="62"/>
      <c r="T55" s="62"/>
      <c r="U55" s="103"/>
      <c r="V55" s="103"/>
    </row>
    <row r="56" spans="1:22" s="70" customFormat="1" ht="14.25" x14ac:dyDescent="0.2">
      <c r="A56" s="60"/>
      <c r="B56" s="151" t="s">
        <v>256</v>
      </c>
      <c r="C56" s="152">
        <v>5</v>
      </c>
      <c r="D56" s="153" t="s">
        <v>46</v>
      </c>
      <c r="E56" s="390">
        <v>0.19</v>
      </c>
      <c r="F56" s="122">
        <f>C56*E56</f>
        <v>0.95</v>
      </c>
      <c r="G56" s="122">
        <f>$H$11*E56</f>
        <v>6.84</v>
      </c>
      <c r="H56" s="123">
        <f>F56*$H$11</f>
        <v>34.199999999999996</v>
      </c>
      <c r="I56" s="393">
        <v>2.02</v>
      </c>
      <c r="J56" s="123">
        <f>C56*I56</f>
        <v>10.1</v>
      </c>
      <c r="K56" s="124">
        <f>SUM(H56,J56)</f>
        <v>44.3</v>
      </c>
      <c r="L56" s="123">
        <f>K56/C56</f>
        <v>8.86</v>
      </c>
      <c r="M56" s="125">
        <f>C56*L56</f>
        <v>44.3</v>
      </c>
      <c r="N56" s="131">
        <v>0</v>
      </c>
      <c r="O56" s="118">
        <f>M56*N56</f>
        <v>0</v>
      </c>
      <c r="P56" s="62"/>
      <c r="Q56" s="62"/>
      <c r="R56" s="62"/>
      <c r="S56" s="62"/>
      <c r="T56" s="62"/>
      <c r="U56" s="103"/>
      <c r="V56" s="103"/>
    </row>
    <row r="57" spans="1:22" s="70" customFormat="1" ht="14.25" x14ac:dyDescent="0.2">
      <c r="A57" s="60"/>
      <c r="B57" s="151"/>
      <c r="C57" s="152"/>
      <c r="D57" s="153"/>
      <c r="E57" s="122"/>
      <c r="F57" s="122"/>
      <c r="G57" s="122"/>
      <c r="H57" s="123"/>
      <c r="I57" s="135"/>
      <c r="J57" s="123"/>
      <c r="K57" s="124"/>
      <c r="L57" s="123"/>
      <c r="M57" s="125"/>
      <c r="N57" s="131"/>
      <c r="O57" s="118"/>
      <c r="P57" s="452">
        <f>SUM(M54:M56)</f>
        <v>92.6</v>
      </c>
      <c r="Q57" s="450">
        <f>P57*SUM($L$202:$L$206)</f>
        <v>8.7969999999999988</v>
      </c>
      <c r="R57" s="266"/>
      <c r="S57" s="266"/>
      <c r="T57" s="62"/>
      <c r="U57" s="103"/>
      <c r="V57" s="103"/>
    </row>
    <row r="58" spans="1:22" s="70" customFormat="1" ht="14.25" x14ac:dyDescent="0.2">
      <c r="A58" s="60"/>
      <c r="B58" s="151"/>
      <c r="C58" s="152"/>
      <c r="D58" s="153"/>
      <c r="E58" s="122"/>
      <c r="F58" s="122"/>
      <c r="G58" s="122"/>
      <c r="H58" s="123"/>
      <c r="I58" s="135"/>
      <c r="J58" s="123"/>
      <c r="K58" s="124"/>
      <c r="L58" s="123"/>
      <c r="M58" s="125"/>
      <c r="N58" s="131"/>
      <c r="O58" s="118"/>
      <c r="P58" s="451">
        <f>P57/$M$199</f>
        <v>5.6153546354176427E-4</v>
      </c>
      <c r="Q58" s="452">
        <f>P58*$M$210</f>
        <v>4.4011310603760396</v>
      </c>
      <c r="R58" s="452">
        <f>SUM(P57,Q57,Q58)</f>
        <v>105.79813106037604</v>
      </c>
      <c r="S58" s="452">
        <f>R58*1.08</f>
        <v>114.26198154520613</v>
      </c>
      <c r="T58" s="62"/>
      <c r="U58" s="103"/>
      <c r="V58" s="103"/>
    </row>
    <row r="59" spans="1:22" s="70" customFormat="1" ht="14.25" x14ac:dyDescent="0.2">
      <c r="A59" s="60"/>
      <c r="B59" s="168"/>
      <c r="C59" s="152"/>
      <c r="D59" s="153"/>
      <c r="E59" s="122"/>
      <c r="F59" s="122"/>
      <c r="G59" s="122"/>
      <c r="H59" s="123"/>
      <c r="I59" s="135"/>
      <c r="J59" s="123"/>
      <c r="K59" s="124"/>
      <c r="L59" s="123"/>
      <c r="M59" s="125"/>
      <c r="N59" s="131"/>
      <c r="O59" s="118"/>
      <c r="P59" s="62"/>
      <c r="Q59" s="62"/>
      <c r="R59" s="62"/>
      <c r="S59" s="62"/>
      <c r="T59" s="62"/>
      <c r="U59" s="103"/>
      <c r="V59" s="103"/>
    </row>
    <row r="60" spans="1:22" s="70" customFormat="1" ht="15" x14ac:dyDescent="0.2">
      <c r="A60" s="60"/>
      <c r="B60" s="267" t="s">
        <v>69</v>
      </c>
      <c r="C60" s="152"/>
      <c r="D60" s="153"/>
      <c r="E60" s="122"/>
      <c r="F60" s="122"/>
      <c r="G60" s="122"/>
      <c r="H60" s="123"/>
      <c r="I60" s="135"/>
      <c r="J60" s="123"/>
      <c r="K60" s="124"/>
      <c r="L60" s="123"/>
      <c r="M60" s="125"/>
      <c r="N60" s="131"/>
      <c r="O60" s="118"/>
      <c r="P60" s="62"/>
      <c r="Q60" s="62"/>
      <c r="R60" s="62"/>
      <c r="S60" s="62"/>
      <c r="T60" s="62"/>
      <c r="U60" s="103"/>
      <c r="V60" s="103"/>
    </row>
    <row r="61" spans="1:22" s="70" customFormat="1" ht="14.25" x14ac:dyDescent="0.2">
      <c r="A61" s="60"/>
      <c r="B61" s="268" t="s">
        <v>73</v>
      </c>
      <c r="C61" s="61"/>
      <c r="D61" s="72"/>
      <c r="E61" s="140"/>
      <c r="F61" s="141"/>
      <c r="G61" s="141"/>
      <c r="H61" s="141"/>
      <c r="I61" s="142"/>
      <c r="J61" s="140"/>
      <c r="K61" s="140"/>
      <c r="L61" s="140"/>
      <c r="M61" s="143"/>
      <c r="N61" s="144"/>
      <c r="O61" s="145"/>
      <c r="P61" s="62"/>
      <c r="Q61" s="62"/>
      <c r="R61" s="62"/>
      <c r="S61" s="62"/>
      <c r="T61" s="62"/>
      <c r="U61" s="103"/>
      <c r="V61" s="103"/>
    </row>
    <row r="62" spans="1:22" s="70" customFormat="1" ht="14.25" x14ac:dyDescent="0.2">
      <c r="A62" s="60"/>
      <c r="B62" s="264" t="s">
        <v>253</v>
      </c>
      <c r="C62" s="61">
        <v>88</v>
      </c>
      <c r="D62" s="72" t="s">
        <v>45</v>
      </c>
      <c r="E62" s="122">
        <v>0.2</v>
      </c>
      <c r="F62" s="122">
        <f>C62*E62</f>
        <v>17.600000000000001</v>
      </c>
      <c r="G62" s="122">
        <f>$H$11*E62</f>
        <v>7.2</v>
      </c>
      <c r="H62" s="123">
        <f>F62*$H$11</f>
        <v>633.6</v>
      </c>
      <c r="I62" s="393">
        <v>0.85</v>
      </c>
      <c r="J62" s="123">
        <f>C62*I62</f>
        <v>74.8</v>
      </c>
      <c r="K62" s="124">
        <f>SUM(H62,J62)</f>
        <v>708.4</v>
      </c>
      <c r="L62" s="123">
        <f>K62/C62</f>
        <v>8.0499999999999989</v>
      </c>
      <c r="M62" s="125">
        <f>C62*L62</f>
        <v>708.39999999999986</v>
      </c>
      <c r="N62" s="131">
        <v>0</v>
      </c>
      <c r="O62" s="118">
        <f>M62*N62</f>
        <v>0</v>
      </c>
      <c r="P62" s="62"/>
      <c r="Q62" s="62"/>
      <c r="R62" s="62"/>
      <c r="S62" s="62"/>
      <c r="T62" s="62"/>
      <c r="U62" s="103"/>
      <c r="V62" s="103"/>
    </row>
    <row r="63" spans="1:22" s="70" customFormat="1" ht="14.25" x14ac:dyDescent="0.2">
      <c r="A63" s="60"/>
      <c r="B63" s="151" t="s">
        <v>254</v>
      </c>
      <c r="C63" s="61">
        <v>127</v>
      </c>
      <c r="D63" s="72" t="s">
        <v>46</v>
      </c>
      <c r="E63" s="122">
        <v>0.2</v>
      </c>
      <c r="F63" s="122">
        <f>C63*E63</f>
        <v>25.400000000000002</v>
      </c>
      <c r="G63" s="122">
        <f>$H$11*E63</f>
        <v>7.2</v>
      </c>
      <c r="H63" s="123">
        <f>F63*$H$11</f>
        <v>914.40000000000009</v>
      </c>
      <c r="I63" s="393">
        <v>1.1000000000000001</v>
      </c>
      <c r="J63" s="123">
        <f>C63*I63</f>
        <v>139.70000000000002</v>
      </c>
      <c r="K63" s="124">
        <f>SUM(H63,J63)</f>
        <v>1054.1000000000001</v>
      </c>
      <c r="L63" s="123">
        <f>K63/C63</f>
        <v>8.3000000000000007</v>
      </c>
      <c r="M63" s="125">
        <f>C63*L63</f>
        <v>1054.1000000000001</v>
      </c>
      <c r="N63" s="131">
        <v>0</v>
      </c>
      <c r="O63" s="118">
        <f>M63*N63</f>
        <v>0</v>
      </c>
      <c r="P63" s="62"/>
      <c r="Q63" s="62"/>
      <c r="R63" s="62"/>
      <c r="S63" s="62"/>
      <c r="T63" s="62"/>
      <c r="U63" s="103"/>
      <c r="V63" s="103"/>
    </row>
    <row r="64" spans="1:22" s="70" customFormat="1" ht="14.25" x14ac:dyDescent="0.2">
      <c r="A64" s="60"/>
      <c r="B64" s="151" t="s">
        <v>268</v>
      </c>
      <c r="C64" s="61">
        <v>43</v>
      </c>
      <c r="D64" s="72" t="s">
        <v>46</v>
      </c>
      <c r="E64" s="122">
        <v>0.3</v>
      </c>
      <c r="F64" s="122">
        <f>C64*E64</f>
        <v>12.9</v>
      </c>
      <c r="G64" s="122">
        <f>$H$11*E64</f>
        <v>10.799999999999999</v>
      </c>
      <c r="H64" s="123">
        <f>F64*$H$11</f>
        <v>464.40000000000003</v>
      </c>
      <c r="I64" s="135">
        <v>7</v>
      </c>
      <c r="J64" s="123">
        <f>C64*I64</f>
        <v>301</v>
      </c>
      <c r="K64" s="124">
        <f>SUM(H64,J64)</f>
        <v>765.40000000000009</v>
      </c>
      <c r="L64" s="123">
        <f>K64/C64</f>
        <v>17.8</v>
      </c>
      <c r="M64" s="125">
        <f>C64*L64</f>
        <v>765.4</v>
      </c>
      <c r="N64" s="131">
        <v>0</v>
      </c>
      <c r="O64" s="118">
        <f>M64*N64</f>
        <v>0</v>
      </c>
      <c r="P64" s="62"/>
      <c r="Q64" s="62"/>
      <c r="R64" s="62"/>
      <c r="S64" s="62"/>
      <c r="T64" s="62"/>
      <c r="U64" s="103"/>
      <c r="V64" s="103"/>
    </row>
    <row r="65" spans="1:22" s="70" customFormat="1" ht="14.25" x14ac:dyDescent="0.2">
      <c r="A65" s="60"/>
      <c r="B65" s="151"/>
      <c r="C65" s="113"/>
      <c r="D65" s="72"/>
      <c r="E65" s="122"/>
      <c r="F65" s="122"/>
      <c r="G65" s="122"/>
      <c r="H65" s="123"/>
      <c r="I65" s="135"/>
      <c r="J65" s="123"/>
      <c r="K65" s="124"/>
      <c r="L65" s="123"/>
      <c r="M65" s="125"/>
      <c r="N65" s="131"/>
      <c r="O65" s="118"/>
      <c r="P65" s="452">
        <f>SUM(M62:M64)</f>
        <v>2527.9</v>
      </c>
      <c r="Q65" s="450">
        <f>P65*SUM($L$202:$L$206)</f>
        <v>240.15050000000002</v>
      </c>
      <c r="R65" s="266"/>
      <c r="S65" s="266"/>
      <c r="T65" s="62"/>
      <c r="U65" s="103"/>
      <c r="V65" s="103"/>
    </row>
    <row r="66" spans="1:22" s="70" customFormat="1" ht="14.25" x14ac:dyDescent="0.2">
      <c r="A66" s="60"/>
      <c r="B66" s="268" t="s">
        <v>255</v>
      </c>
      <c r="C66" s="152"/>
      <c r="D66" s="153"/>
      <c r="E66" s="122"/>
      <c r="F66" s="122"/>
      <c r="G66" s="122"/>
      <c r="H66" s="123"/>
      <c r="I66" s="135"/>
      <c r="J66" s="123"/>
      <c r="K66" s="124"/>
      <c r="L66" s="123"/>
      <c r="M66" s="125"/>
      <c r="N66" s="131"/>
      <c r="O66" s="118"/>
      <c r="P66" s="451">
        <f>P65/$M$199</f>
        <v>1.5329433026859893E-2</v>
      </c>
      <c r="Q66" s="452">
        <f>P66*$M$210</f>
        <v>120.14707567521157</v>
      </c>
      <c r="R66" s="452">
        <f>SUM(P65,Q65,Q66)</f>
        <v>2888.1975756752117</v>
      </c>
      <c r="S66" s="452">
        <f>R66*1.08</f>
        <v>3119.2533817292287</v>
      </c>
      <c r="T66" s="62"/>
      <c r="U66" s="103"/>
      <c r="V66" s="103"/>
    </row>
    <row r="67" spans="1:22" s="70" customFormat="1" ht="14.25" x14ac:dyDescent="0.2">
      <c r="A67" s="60"/>
      <c r="B67" s="151" t="s">
        <v>253</v>
      </c>
      <c r="C67" s="152">
        <v>6</v>
      </c>
      <c r="D67" s="153" t="s">
        <v>45</v>
      </c>
      <c r="E67" s="122">
        <v>0.2</v>
      </c>
      <c r="F67" s="122">
        <f>C67*E67</f>
        <v>1.2000000000000002</v>
      </c>
      <c r="G67" s="122">
        <f>$H$11*E67</f>
        <v>7.2</v>
      </c>
      <c r="H67" s="123">
        <f>F67*$H$11</f>
        <v>43.2</v>
      </c>
      <c r="I67" s="393">
        <v>0.85</v>
      </c>
      <c r="J67" s="123">
        <f>C67*I67</f>
        <v>5.0999999999999996</v>
      </c>
      <c r="K67" s="124">
        <f>SUM(H67,J67)</f>
        <v>48.300000000000004</v>
      </c>
      <c r="L67" s="123">
        <f>K67/C67</f>
        <v>8.0500000000000007</v>
      </c>
      <c r="M67" s="125">
        <f>C67*L67</f>
        <v>48.300000000000004</v>
      </c>
      <c r="N67" s="131">
        <v>0</v>
      </c>
      <c r="O67" s="118">
        <f>M67*N67</f>
        <v>0</v>
      </c>
      <c r="P67" s="62"/>
      <c r="Q67" s="62"/>
      <c r="R67" s="62"/>
      <c r="S67" s="62"/>
      <c r="T67" s="62"/>
      <c r="U67" s="103"/>
      <c r="V67" s="103"/>
    </row>
    <row r="68" spans="1:22" s="70" customFormat="1" ht="14.25" x14ac:dyDescent="0.2">
      <c r="A68" s="60"/>
      <c r="B68" s="151" t="s">
        <v>256</v>
      </c>
      <c r="C68" s="152">
        <v>5</v>
      </c>
      <c r="D68" s="153" t="s">
        <v>46</v>
      </c>
      <c r="E68" s="390">
        <v>0.19</v>
      </c>
      <c r="F68" s="122">
        <f>C68*E68</f>
        <v>0.95</v>
      </c>
      <c r="G68" s="122">
        <f>$H$11*E68</f>
        <v>6.84</v>
      </c>
      <c r="H68" s="123">
        <f>F68*$H$11</f>
        <v>34.199999999999996</v>
      </c>
      <c r="I68" s="393">
        <v>2.02</v>
      </c>
      <c r="J68" s="123">
        <f>C68*I68</f>
        <v>10.1</v>
      </c>
      <c r="K68" s="124">
        <f>SUM(H68,J68)</f>
        <v>44.3</v>
      </c>
      <c r="L68" s="123">
        <f>K68/C68</f>
        <v>8.86</v>
      </c>
      <c r="M68" s="125">
        <f>C68*L68</f>
        <v>44.3</v>
      </c>
      <c r="N68" s="131">
        <v>0</v>
      </c>
      <c r="O68" s="118">
        <f>M68*N68</f>
        <v>0</v>
      </c>
      <c r="P68" s="62"/>
      <c r="Q68" s="62"/>
      <c r="R68" s="62"/>
      <c r="S68" s="62"/>
      <c r="T68" s="62"/>
      <c r="U68" s="103"/>
      <c r="V68" s="103"/>
    </row>
    <row r="69" spans="1:22" s="70" customFormat="1" ht="14.25" x14ac:dyDescent="0.2">
      <c r="A69" s="60"/>
      <c r="B69" s="151"/>
      <c r="C69" s="152"/>
      <c r="D69" s="153"/>
      <c r="E69" s="122"/>
      <c r="F69" s="122"/>
      <c r="G69" s="122"/>
      <c r="H69" s="123"/>
      <c r="I69" s="135"/>
      <c r="J69" s="123"/>
      <c r="K69" s="124"/>
      <c r="L69" s="123"/>
      <c r="M69" s="125"/>
      <c r="N69" s="131"/>
      <c r="O69" s="118"/>
      <c r="P69" s="452">
        <f>SUM(M66:M68)</f>
        <v>92.6</v>
      </c>
      <c r="Q69" s="450">
        <f>P69*SUM($L$202:$L$206)</f>
        <v>8.7969999999999988</v>
      </c>
      <c r="R69" s="266"/>
      <c r="S69" s="266"/>
      <c r="T69" s="62"/>
      <c r="U69" s="103"/>
      <c r="V69" s="103"/>
    </row>
    <row r="70" spans="1:22" s="70" customFormat="1" ht="14.25" x14ac:dyDescent="0.2">
      <c r="A70" s="60"/>
      <c r="B70" s="151"/>
      <c r="C70" s="152"/>
      <c r="D70" s="153"/>
      <c r="E70" s="122"/>
      <c r="F70" s="122"/>
      <c r="G70" s="122"/>
      <c r="H70" s="123"/>
      <c r="I70" s="135"/>
      <c r="J70" s="123"/>
      <c r="K70" s="124"/>
      <c r="L70" s="123"/>
      <c r="M70" s="125"/>
      <c r="N70" s="131"/>
      <c r="O70" s="118"/>
      <c r="P70" s="451">
        <f>P69/$M$199</f>
        <v>5.6153546354176427E-4</v>
      </c>
      <c r="Q70" s="452">
        <f>P70*$M$210</f>
        <v>4.4011310603760396</v>
      </c>
      <c r="R70" s="452">
        <f>SUM(P69,Q69,Q70)</f>
        <v>105.79813106037604</v>
      </c>
      <c r="S70" s="452">
        <f>R70*1.08</f>
        <v>114.26198154520613</v>
      </c>
      <c r="T70" s="62"/>
      <c r="U70" s="103"/>
      <c r="V70" s="103"/>
    </row>
    <row r="71" spans="1:22" s="70" customFormat="1" ht="14.25" x14ac:dyDescent="0.2">
      <c r="A71" s="60"/>
      <c r="B71" s="151"/>
      <c r="C71" s="152"/>
      <c r="D71" s="153"/>
      <c r="E71" s="122"/>
      <c r="F71" s="122"/>
      <c r="G71" s="122"/>
      <c r="H71" s="123"/>
      <c r="I71" s="135"/>
      <c r="J71" s="123"/>
      <c r="K71" s="124"/>
      <c r="L71" s="123"/>
      <c r="M71" s="125"/>
      <c r="N71" s="131"/>
      <c r="O71" s="118"/>
      <c r="P71" s="62"/>
      <c r="Q71" s="62"/>
      <c r="R71" s="62"/>
      <c r="S71" s="62"/>
      <c r="T71" s="62"/>
      <c r="U71" s="103"/>
      <c r="V71" s="103"/>
    </row>
    <row r="72" spans="1:22" s="70" customFormat="1" ht="15" x14ac:dyDescent="0.2">
      <c r="A72" s="60"/>
      <c r="B72" s="267" t="s">
        <v>70</v>
      </c>
      <c r="C72" s="152"/>
      <c r="D72" s="153"/>
      <c r="E72" s="122"/>
      <c r="F72" s="122"/>
      <c r="G72" s="122"/>
      <c r="H72" s="123"/>
      <c r="I72" s="135"/>
      <c r="J72" s="123"/>
      <c r="K72" s="124"/>
      <c r="L72" s="123"/>
      <c r="M72" s="125"/>
      <c r="N72" s="131"/>
      <c r="O72" s="118"/>
      <c r="P72" s="62"/>
      <c r="Q72" s="62"/>
      <c r="R72" s="62"/>
      <c r="S72" s="62"/>
      <c r="T72" s="62"/>
      <c r="U72" s="103"/>
      <c r="V72" s="103"/>
    </row>
    <row r="73" spans="1:22" s="70" customFormat="1" ht="14.25" x14ac:dyDescent="0.2">
      <c r="A73" s="60"/>
      <c r="B73" s="268" t="s">
        <v>73</v>
      </c>
      <c r="C73" s="61"/>
      <c r="D73" s="72"/>
      <c r="E73" s="140"/>
      <c r="F73" s="141"/>
      <c r="G73" s="141"/>
      <c r="H73" s="141"/>
      <c r="I73" s="142"/>
      <c r="J73" s="140"/>
      <c r="K73" s="140"/>
      <c r="L73" s="140"/>
      <c r="M73" s="143"/>
      <c r="N73" s="144"/>
      <c r="O73" s="145"/>
      <c r="P73" s="62"/>
      <c r="Q73" s="62"/>
      <c r="R73" s="62"/>
      <c r="S73" s="62"/>
      <c r="T73" s="62"/>
      <c r="U73" s="103"/>
      <c r="V73" s="103"/>
    </row>
    <row r="74" spans="1:22" s="70" customFormat="1" ht="14.25" x14ac:dyDescent="0.2">
      <c r="A74" s="60"/>
      <c r="B74" s="264" t="s">
        <v>253</v>
      </c>
      <c r="C74" s="61">
        <v>80</v>
      </c>
      <c r="D74" s="72" t="s">
        <v>45</v>
      </c>
      <c r="E74" s="122">
        <v>0.2</v>
      </c>
      <c r="F74" s="122">
        <f>C74*E74</f>
        <v>16</v>
      </c>
      <c r="G74" s="122">
        <f>$H$11*E74</f>
        <v>7.2</v>
      </c>
      <c r="H74" s="123">
        <f>F74*$H$11</f>
        <v>576</v>
      </c>
      <c r="I74" s="393">
        <v>0.85</v>
      </c>
      <c r="J74" s="123">
        <f>C74*I74</f>
        <v>68</v>
      </c>
      <c r="K74" s="124">
        <f>SUM(H74,J74)</f>
        <v>644</v>
      </c>
      <c r="L74" s="123">
        <f>K74/C74</f>
        <v>8.0500000000000007</v>
      </c>
      <c r="M74" s="125">
        <f>C74*L74</f>
        <v>644</v>
      </c>
      <c r="N74" s="131">
        <v>0</v>
      </c>
      <c r="O74" s="118">
        <f>M74*N74</f>
        <v>0</v>
      </c>
      <c r="P74" s="62"/>
      <c r="Q74" s="62"/>
      <c r="R74" s="62"/>
      <c r="S74" s="62"/>
      <c r="T74" s="62"/>
      <c r="U74" s="103"/>
      <c r="V74" s="103"/>
    </row>
    <row r="75" spans="1:22" s="70" customFormat="1" ht="14.25" x14ac:dyDescent="0.2">
      <c r="A75" s="60"/>
      <c r="B75" s="151" t="s">
        <v>254</v>
      </c>
      <c r="C75" s="61">
        <v>113</v>
      </c>
      <c r="D75" s="72" t="s">
        <v>46</v>
      </c>
      <c r="E75" s="122">
        <v>0.2</v>
      </c>
      <c r="F75" s="122">
        <f>C75*E75</f>
        <v>22.6</v>
      </c>
      <c r="G75" s="122">
        <f>$H$11*E75</f>
        <v>7.2</v>
      </c>
      <c r="H75" s="123">
        <f>F75*$H$11</f>
        <v>813.6</v>
      </c>
      <c r="I75" s="393">
        <v>1.1000000000000001</v>
      </c>
      <c r="J75" s="123">
        <f>C75*I75</f>
        <v>124.30000000000001</v>
      </c>
      <c r="K75" s="124">
        <f>SUM(H75,J75)</f>
        <v>937.90000000000009</v>
      </c>
      <c r="L75" s="123">
        <f>K75/C75</f>
        <v>8.3000000000000007</v>
      </c>
      <c r="M75" s="125">
        <f>C75*L75</f>
        <v>937.90000000000009</v>
      </c>
      <c r="N75" s="131">
        <v>0</v>
      </c>
      <c r="O75" s="118">
        <f>M75*N75</f>
        <v>0</v>
      </c>
      <c r="P75" s="62"/>
      <c r="Q75" s="62"/>
      <c r="R75" s="62"/>
      <c r="S75" s="62"/>
      <c r="T75" s="62"/>
      <c r="U75" s="103"/>
      <c r="V75" s="103"/>
    </row>
    <row r="76" spans="1:22" s="70" customFormat="1" ht="14.25" x14ac:dyDescent="0.2">
      <c r="A76" s="60"/>
      <c r="B76" s="151" t="s">
        <v>268</v>
      </c>
      <c r="C76" s="61">
        <v>43</v>
      </c>
      <c r="D76" s="72" t="s">
        <v>46</v>
      </c>
      <c r="E76" s="122">
        <v>0.3</v>
      </c>
      <c r="F76" s="122">
        <f>C76*E76</f>
        <v>12.9</v>
      </c>
      <c r="G76" s="122">
        <f>$H$11*E76</f>
        <v>10.799999999999999</v>
      </c>
      <c r="H76" s="123">
        <f>F76*$H$11</f>
        <v>464.40000000000003</v>
      </c>
      <c r="I76" s="135">
        <v>7</v>
      </c>
      <c r="J76" s="123">
        <f>C76*I76</f>
        <v>301</v>
      </c>
      <c r="K76" s="124">
        <f>SUM(H76,J76)</f>
        <v>765.40000000000009</v>
      </c>
      <c r="L76" s="123">
        <f>K76/C76</f>
        <v>17.8</v>
      </c>
      <c r="M76" s="125">
        <f>C76*L76</f>
        <v>765.4</v>
      </c>
      <c r="N76" s="131">
        <v>0</v>
      </c>
      <c r="O76" s="118">
        <f>M76*N76</f>
        <v>0</v>
      </c>
      <c r="P76" s="62"/>
      <c r="Q76" s="62"/>
      <c r="R76" s="62"/>
      <c r="S76" s="62"/>
      <c r="T76" s="62"/>
      <c r="U76" s="103"/>
      <c r="V76" s="103"/>
    </row>
    <row r="77" spans="1:22" s="70" customFormat="1" ht="14.25" x14ac:dyDescent="0.2">
      <c r="A77" s="60"/>
      <c r="B77" s="151"/>
      <c r="C77" s="113"/>
      <c r="D77" s="72"/>
      <c r="E77" s="122"/>
      <c r="F77" s="122"/>
      <c r="G77" s="122"/>
      <c r="H77" s="123"/>
      <c r="I77" s="135"/>
      <c r="J77" s="123"/>
      <c r="K77" s="124"/>
      <c r="L77" s="123"/>
      <c r="M77" s="125"/>
      <c r="N77" s="131"/>
      <c r="O77" s="118"/>
      <c r="P77" s="452">
        <f>SUM(M74:M76)</f>
        <v>2347.3000000000002</v>
      </c>
      <c r="Q77" s="450">
        <f>P77*SUM($L$202:$L$206)</f>
        <v>222.99350000000001</v>
      </c>
      <c r="R77" s="266"/>
      <c r="S77" s="266"/>
      <c r="T77" s="62"/>
      <c r="U77" s="103"/>
      <c r="V77" s="103"/>
    </row>
    <row r="78" spans="1:22" s="70" customFormat="1" ht="14.25" x14ac:dyDescent="0.2">
      <c r="A78" s="60"/>
      <c r="B78" s="268" t="s">
        <v>255</v>
      </c>
      <c r="C78" s="152"/>
      <c r="D78" s="153"/>
      <c r="E78" s="122"/>
      <c r="F78" s="122"/>
      <c r="G78" s="122"/>
      <c r="H78" s="123"/>
      <c r="I78" s="135"/>
      <c r="J78" s="123"/>
      <c r="K78" s="124"/>
      <c r="L78" s="123"/>
      <c r="M78" s="125"/>
      <c r="N78" s="131"/>
      <c r="O78" s="118"/>
      <c r="P78" s="451">
        <f>P77/$M$199</f>
        <v>1.42342569500171E-2</v>
      </c>
      <c r="Q78" s="452">
        <f>P78*$M$210</f>
        <v>111.56344425508293</v>
      </c>
      <c r="R78" s="452">
        <f>SUM(P77,Q77,Q78)</f>
        <v>2681.8569442550834</v>
      </c>
      <c r="S78" s="452">
        <f>R78*1.08</f>
        <v>2896.4054997954904</v>
      </c>
      <c r="T78" s="62"/>
      <c r="U78" s="103"/>
      <c r="V78" s="103"/>
    </row>
    <row r="79" spans="1:22" s="70" customFormat="1" ht="14.25" x14ac:dyDescent="0.2">
      <c r="A79" s="60"/>
      <c r="B79" s="151" t="s">
        <v>253</v>
      </c>
      <c r="C79" s="152">
        <v>6</v>
      </c>
      <c r="D79" s="153" t="s">
        <v>45</v>
      </c>
      <c r="E79" s="122">
        <v>0.2</v>
      </c>
      <c r="F79" s="122">
        <f>C79*E79</f>
        <v>1.2000000000000002</v>
      </c>
      <c r="G79" s="122">
        <f>$H$11*E79</f>
        <v>7.2</v>
      </c>
      <c r="H79" s="123">
        <f>F79*$H$11</f>
        <v>43.2</v>
      </c>
      <c r="I79" s="393">
        <v>0.85</v>
      </c>
      <c r="J79" s="123">
        <f>C79*I79</f>
        <v>5.0999999999999996</v>
      </c>
      <c r="K79" s="124">
        <f>SUM(H79,J79)</f>
        <v>48.300000000000004</v>
      </c>
      <c r="L79" s="123">
        <f>K79/C79</f>
        <v>8.0500000000000007</v>
      </c>
      <c r="M79" s="125">
        <f>C79*L79</f>
        <v>48.300000000000004</v>
      </c>
      <c r="N79" s="131">
        <v>0</v>
      </c>
      <c r="O79" s="118">
        <f>M79*N79</f>
        <v>0</v>
      </c>
      <c r="P79" s="62"/>
      <c r="Q79" s="62"/>
      <c r="R79" s="62"/>
      <c r="S79" s="62"/>
      <c r="T79" s="62"/>
      <c r="U79" s="103"/>
      <c r="V79" s="103"/>
    </row>
    <row r="80" spans="1:22" s="70" customFormat="1" ht="14.25" x14ac:dyDescent="0.2">
      <c r="A80" s="60"/>
      <c r="B80" s="151" t="s">
        <v>256</v>
      </c>
      <c r="C80" s="152">
        <v>5</v>
      </c>
      <c r="D80" s="153" t="s">
        <v>46</v>
      </c>
      <c r="E80" s="390">
        <v>0.19</v>
      </c>
      <c r="F80" s="122">
        <f>C80*E80</f>
        <v>0.95</v>
      </c>
      <c r="G80" s="122">
        <f>$H$11*E80</f>
        <v>6.84</v>
      </c>
      <c r="H80" s="123">
        <f>F80*$H$11</f>
        <v>34.199999999999996</v>
      </c>
      <c r="I80" s="393">
        <v>2.02</v>
      </c>
      <c r="J80" s="123">
        <f>C80*I80</f>
        <v>10.1</v>
      </c>
      <c r="K80" s="124">
        <f>SUM(H80,J80)</f>
        <v>44.3</v>
      </c>
      <c r="L80" s="123">
        <f>K80/C80</f>
        <v>8.86</v>
      </c>
      <c r="M80" s="125">
        <f>C80*L80</f>
        <v>44.3</v>
      </c>
      <c r="N80" s="131">
        <v>0</v>
      </c>
      <c r="O80" s="118">
        <f>M80*N80</f>
        <v>0</v>
      </c>
      <c r="P80" s="62"/>
      <c r="Q80" s="62"/>
      <c r="R80" s="62"/>
      <c r="S80" s="62"/>
      <c r="T80" s="62"/>
      <c r="U80" s="103"/>
      <c r="V80" s="103"/>
    </row>
    <row r="81" spans="1:22" s="70" customFormat="1" ht="14.25" x14ac:dyDescent="0.2">
      <c r="A81" s="60"/>
      <c r="B81" s="168"/>
      <c r="C81" s="152"/>
      <c r="D81" s="153"/>
      <c r="E81" s="122"/>
      <c r="F81" s="122"/>
      <c r="G81" s="122"/>
      <c r="H81" s="123"/>
      <c r="I81" s="135"/>
      <c r="J81" s="123"/>
      <c r="K81" s="124"/>
      <c r="L81" s="123"/>
      <c r="M81" s="125"/>
      <c r="N81" s="131"/>
      <c r="O81" s="118"/>
      <c r="P81" s="452">
        <f>SUM(M78:M80)</f>
        <v>92.6</v>
      </c>
      <c r="Q81" s="450">
        <f>P81*SUM($L$202:$L$206)</f>
        <v>8.7969999999999988</v>
      </c>
      <c r="R81" s="266"/>
      <c r="S81" s="266"/>
      <c r="T81" s="62"/>
      <c r="U81" s="103"/>
      <c r="V81" s="103"/>
    </row>
    <row r="82" spans="1:22" s="70" customFormat="1" ht="14.25" x14ac:dyDescent="0.2">
      <c r="A82" s="60"/>
      <c r="B82" s="151"/>
      <c r="C82" s="152"/>
      <c r="D82" s="153"/>
      <c r="E82" s="122"/>
      <c r="F82" s="122"/>
      <c r="G82" s="122"/>
      <c r="H82" s="123"/>
      <c r="I82" s="135"/>
      <c r="J82" s="123"/>
      <c r="K82" s="124"/>
      <c r="L82" s="123"/>
      <c r="M82" s="125"/>
      <c r="N82" s="131"/>
      <c r="O82" s="118"/>
      <c r="P82" s="451">
        <f>P81/$M$199</f>
        <v>5.6153546354176427E-4</v>
      </c>
      <c r="Q82" s="452">
        <f>P82*$M$210</f>
        <v>4.4011310603760396</v>
      </c>
      <c r="R82" s="452">
        <f>SUM(P81,Q81,Q82)</f>
        <v>105.79813106037604</v>
      </c>
      <c r="S82" s="452">
        <f>R82*1.08</f>
        <v>114.26198154520613</v>
      </c>
      <c r="T82" s="62"/>
      <c r="U82" s="103"/>
      <c r="V82" s="103"/>
    </row>
    <row r="83" spans="1:22" s="70" customFormat="1" ht="14.25" x14ac:dyDescent="0.2">
      <c r="A83" s="60"/>
      <c r="B83" s="168"/>
      <c r="C83" s="152"/>
      <c r="D83" s="153"/>
      <c r="E83" s="122"/>
      <c r="F83" s="122"/>
      <c r="G83" s="122"/>
      <c r="H83" s="123"/>
      <c r="I83" s="135"/>
      <c r="J83" s="123"/>
      <c r="K83" s="124"/>
      <c r="L83" s="123"/>
      <c r="M83" s="125"/>
      <c r="N83" s="131"/>
      <c r="O83" s="118"/>
      <c r="P83" s="62"/>
      <c r="Q83" s="62"/>
      <c r="R83" s="62"/>
      <c r="S83" s="62"/>
      <c r="T83" s="62"/>
      <c r="U83" s="103"/>
      <c r="V83" s="103"/>
    </row>
    <row r="84" spans="1:22" s="70" customFormat="1" ht="15" x14ac:dyDescent="0.2">
      <c r="A84" s="60"/>
      <c r="B84" s="267" t="s">
        <v>71</v>
      </c>
      <c r="C84" s="152"/>
      <c r="D84" s="153"/>
      <c r="E84" s="122"/>
      <c r="F84" s="122"/>
      <c r="G84" s="122"/>
      <c r="H84" s="123"/>
      <c r="I84" s="135"/>
      <c r="J84" s="123"/>
      <c r="K84" s="124"/>
      <c r="L84" s="123"/>
      <c r="M84" s="125"/>
      <c r="N84" s="131"/>
      <c r="O84" s="118"/>
      <c r="P84" s="62"/>
      <c r="Q84" s="62"/>
      <c r="R84" s="62"/>
      <c r="S84" s="62"/>
      <c r="T84" s="62"/>
      <c r="U84" s="103"/>
      <c r="V84" s="103"/>
    </row>
    <row r="85" spans="1:22" s="70" customFormat="1" ht="14.25" x14ac:dyDescent="0.2">
      <c r="A85" s="60"/>
      <c r="B85" s="268" t="s">
        <v>73</v>
      </c>
      <c r="C85" s="61"/>
      <c r="D85" s="72"/>
      <c r="E85" s="140"/>
      <c r="F85" s="141"/>
      <c r="G85" s="141"/>
      <c r="H85" s="141"/>
      <c r="I85" s="142"/>
      <c r="J85" s="140"/>
      <c r="K85" s="140"/>
      <c r="L85" s="140"/>
      <c r="M85" s="143"/>
      <c r="N85" s="144"/>
      <c r="O85" s="145"/>
      <c r="P85" s="62"/>
      <c r="Q85" s="62"/>
      <c r="R85" s="62"/>
      <c r="S85" s="62"/>
      <c r="T85" s="62"/>
      <c r="U85" s="103"/>
      <c r="V85" s="103"/>
    </row>
    <row r="86" spans="1:22" s="70" customFormat="1" ht="14.25" x14ac:dyDescent="0.2">
      <c r="A86" s="60"/>
      <c r="B86" s="264" t="s">
        <v>253</v>
      </c>
      <c r="C86" s="61">
        <v>89</v>
      </c>
      <c r="D86" s="72" t="s">
        <v>45</v>
      </c>
      <c r="E86" s="122">
        <v>0.2</v>
      </c>
      <c r="F86" s="122">
        <f>C86*E86</f>
        <v>17.8</v>
      </c>
      <c r="G86" s="122">
        <f>$H$11*E86</f>
        <v>7.2</v>
      </c>
      <c r="H86" s="123">
        <f>F86*$H$11</f>
        <v>640.80000000000007</v>
      </c>
      <c r="I86" s="393">
        <v>0.85</v>
      </c>
      <c r="J86" s="123">
        <f>C86*I86</f>
        <v>75.649999999999991</v>
      </c>
      <c r="K86" s="124">
        <f>SUM(H86,J86)</f>
        <v>716.45</v>
      </c>
      <c r="L86" s="123">
        <f>K86/C86</f>
        <v>8.0500000000000007</v>
      </c>
      <c r="M86" s="125">
        <f>C86*L86</f>
        <v>716.45</v>
      </c>
      <c r="N86" s="131">
        <v>0</v>
      </c>
      <c r="O86" s="118">
        <f>M86*N86</f>
        <v>0</v>
      </c>
      <c r="P86" s="62"/>
      <c r="Q86" s="62"/>
      <c r="R86" s="62"/>
      <c r="S86" s="62"/>
      <c r="T86" s="62"/>
      <c r="U86" s="103"/>
      <c r="V86" s="103"/>
    </row>
    <row r="87" spans="1:22" s="70" customFormat="1" ht="14.25" x14ac:dyDescent="0.2">
      <c r="A87" s="60"/>
      <c r="B87" s="151" t="s">
        <v>254</v>
      </c>
      <c r="C87" s="61">
        <v>127</v>
      </c>
      <c r="D87" s="72" t="s">
        <v>46</v>
      </c>
      <c r="E87" s="122">
        <v>0.2</v>
      </c>
      <c r="F87" s="122">
        <f>C87*E87</f>
        <v>25.400000000000002</v>
      </c>
      <c r="G87" s="122">
        <f>$H$11*E87</f>
        <v>7.2</v>
      </c>
      <c r="H87" s="123">
        <f>F87*$H$11</f>
        <v>914.40000000000009</v>
      </c>
      <c r="I87" s="393">
        <v>1.1000000000000001</v>
      </c>
      <c r="J87" s="123">
        <f>C87*I87</f>
        <v>139.70000000000002</v>
      </c>
      <c r="K87" s="124">
        <f>SUM(H87,J87)</f>
        <v>1054.1000000000001</v>
      </c>
      <c r="L87" s="123">
        <f>K87/C87</f>
        <v>8.3000000000000007</v>
      </c>
      <c r="M87" s="125">
        <f>C87*L87</f>
        <v>1054.1000000000001</v>
      </c>
      <c r="N87" s="131">
        <v>0</v>
      </c>
      <c r="O87" s="118">
        <f>M87*N87</f>
        <v>0</v>
      </c>
      <c r="P87" s="62"/>
      <c r="Q87" s="62"/>
      <c r="R87" s="62"/>
      <c r="S87" s="62"/>
      <c r="T87" s="62"/>
      <c r="U87" s="103"/>
      <c r="V87" s="103"/>
    </row>
    <row r="88" spans="1:22" s="70" customFormat="1" ht="14.25" x14ac:dyDescent="0.2">
      <c r="A88" s="60"/>
      <c r="B88" s="151" t="s">
        <v>268</v>
      </c>
      <c r="C88" s="61">
        <v>43</v>
      </c>
      <c r="D88" s="72" t="s">
        <v>46</v>
      </c>
      <c r="E88" s="122">
        <v>0.3</v>
      </c>
      <c r="F88" s="122">
        <f>C88*E88</f>
        <v>12.9</v>
      </c>
      <c r="G88" s="122">
        <f>$H$11*E88</f>
        <v>10.799999999999999</v>
      </c>
      <c r="H88" s="123">
        <f>F88*$H$11</f>
        <v>464.40000000000003</v>
      </c>
      <c r="I88" s="135">
        <v>7</v>
      </c>
      <c r="J88" s="123">
        <f>C88*I88</f>
        <v>301</v>
      </c>
      <c r="K88" s="124">
        <f>SUM(H88,J88)</f>
        <v>765.40000000000009</v>
      </c>
      <c r="L88" s="123">
        <f>K88/C88</f>
        <v>17.8</v>
      </c>
      <c r="M88" s="125">
        <f>C88*L88</f>
        <v>765.4</v>
      </c>
      <c r="N88" s="131">
        <v>0</v>
      </c>
      <c r="O88" s="118">
        <f>M88*N88</f>
        <v>0</v>
      </c>
      <c r="P88" s="62"/>
      <c r="Q88" s="62"/>
      <c r="R88" s="62"/>
      <c r="S88" s="62"/>
      <c r="T88" s="62"/>
      <c r="U88" s="103"/>
      <c r="V88" s="103"/>
    </row>
    <row r="89" spans="1:22" s="70" customFormat="1" ht="14.25" x14ac:dyDescent="0.2">
      <c r="A89" s="60"/>
      <c r="B89" s="151"/>
      <c r="C89" s="113"/>
      <c r="D89" s="72"/>
      <c r="E89" s="122"/>
      <c r="F89" s="122"/>
      <c r="G89" s="122"/>
      <c r="H89" s="123"/>
      <c r="I89" s="135"/>
      <c r="J89" s="123"/>
      <c r="K89" s="124"/>
      <c r="L89" s="123"/>
      <c r="M89" s="125"/>
      <c r="N89" s="131"/>
      <c r="O89" s="118"/>
      <c r="P89" s="452">
        <f>SUM(M86:M88)</f>
        <v>2535.9500000000003</v>
      </c>
      <c r="Q89" s="450">
        <f>P89*SUM($L$202:$L$206)</f>
        <v>240.91525000000001</v>
      </c>
      <c r="R89" s="266"/>
      <c r="S89" s="266"/>
      <c r="T89" s="62"/>
      <c r="U89" s="103"/>
      <c r="V89" s="103"/>
    </row>
    <row r="90" spans="1:22" s="70" customFormat="1" ht="14.25" x14ac:dyDescent="0.2">
      <c r="A90" s="60"/>
      <c r="B90" s="268" t="s">
        <v>255</v>
      </c>
      <c r="C90" s="152"/>
      <c r="D90" s="153"/>
      <c r="E90" s="122"/>
      <c r="F90" s="122"/>
      <c r="G90" s="122"/>
      <c r="H90" s="123"/>
      <c r="I90" s="135"/>
      <c r="J90" s="123"/>
      <c r="K90" s="124"/>
      <c r="L90" s="123"/>
      <c r="M90" s="125"/>
      <c r="N90" s="131"/>
      <c r="O90" s="118"/>
      <c r="P90" s="451">
        <f>P89/$M$199</f>
        <v>1.537824901478118E-2</v>
      </c>
      <c r="Q90" s="452">
        <f>P90*$M$210</f>
        <v>120.52967940130257</v>
      </c>
      <c r="R90" s="452">
        <f>SUM(P89,Q89,Q90)</f>
        <v>2897.3949294013028</v>
      </c>
      <c r="S90" s="452">
        <f>R90*1.08</f>
        <v>3129.1865237534071</v>
      </c>
      <c r="T90" s="62"/>
      <c r="U90" s="103"/>
      <c r="V90" s="103"/>
    </row>
    <row r="91" spans="1:22" s="70" customFormat="1" ht="14.25" x14ac:dyDescent="0.2">
      <c r="A91" s="60"/>
      <c r="B91" s="151" t="s">
        <v>253</v>
      </c>
      <c r="C91" s="152">
        <v>6</v>
      </c>
      <c r="D91" s="153" t="s">
        <v>45</v>
      </c>
      <c r="E91" s="122">
        <v>0.2</v>
      </c>
      <c r="F91" s="122">
        <f>C91*E91</f>
        <v>1.2000000000000002</v>
      </c>
      <c r="G91" s="122">
        <f>$H$11*E91</f>
        <v>7.2</v>
      </c>
      <c r="H91" s="123">
        <f>F91*$H$11</f>
        <v>43.2</v>
      </c>
      <c r="I91" s="393">
        <v>0.85</v>
      </c>
      <c r="J91" s="123">
        <f>C91*I91</f>
        <v>5.0999999999999996</v>
      </c>
      <c r="K91" s="124">
        <f>SUM(H91,J91)</f>
        <v>48.300000000000004</v>
      </c>
      <c r="L91" s="123">
        <f>K91/C91</f>
        <v>8.0500000000000007</v>
      </c>
      <c r="M91" s="125">
        <f>C91*L91</f>
        <v>48.300000000000004</v>
      </c>
      <c r="N91" s="131">
        <v>0</v>
      </c>
      <c r="O91" s="118">
        <f>M91*N91</f>
        <v>0</v>
      </c>
      <c r="P91" s="62"/>
      <c r="Q91" s="62"/>
      <c r="R91" s="62"/>
      <c r="S91" s="62"/>
      <c r="T91" s="62"/>
      <c r="U91" s="103"/>
      <c r="V91" s="103"/>
    </row>
    <row r="92" spans="1:22" s="70" customFormat="1" ht="14.25" x14ac:dyDescent="0.2">
      <c r="A92" s="60"/>
      <c r="B92" s="151" t="s">
        <v>256</v>
      </c>
      <c r="C92" s="152">
        <v>5</v>
      </c>
      <c r="D92" s="153" t="s">
        <v>46</v>
      </c>
      <c r="E92" s="390">
        <v>0.19</v>
      </c>
      <c r="F92" s="122">
        <f>C92*E92</f>
        <v>0.95</v>
      </c>
      <c r="G92" s="122">
        <f>$H$11*E92</f>
        <v>6.84</v>
      </c>
      <c r="H92" s="123">
        <f>F92*$H$11</f>
        <v>34.199999999999996</v>
      </c>
      <c r="I92" s="393">
        <v>2.02</v>
      </c>
      <c r="J92" s="123">
        <f>C92*I92</f>
        <v>10.1</v>
      </c>
      <c r="K92" s="124">
        <f>SUM(H92,J92)</f>
        <v>44.3</v>
      </c>
      <c r="L92" s="123">
        <f>K92/C92</f>
        <v>8.86</v>
      </c>
      <c r="M92" s="125">
        <f>C92*L92</f>
        <v>44.3</v>
      </c>
      <c r="N92" s="131">
        <v>0</v>
      </c>
      <c r="O92" s="118">
        <f>M92*N92</f>
        <v>0</v>
      </c>
      <c r="P92" s="62"/>
      <c r="Q92" s="62"/>
      <c r="R92" s="62"/>
      <c r="S92" s="62"/>
      <c r="T92" s="62"/>
      <c r="U92" s="103"/>
      <c r="V92" s="103"/>
    </row>
    <row r="93" spans="1:22" s="70" customFormat="1" ht="14.25" x14ac:dyDescent="0.2">
      <c r="A93" s="60"/>
      <c r="B93" s="151"/>
      <c r="C93" s="152"/>
      <c r="D93" s="153"/>
      <c r="E93" s="122"/>
      <c r="F93" s="122"/>
      <c r="G93" s="122"/>
      <c r="H93" s="123"/>
      <c r="I93" s="135"/>
      <c r="J93" s="123"/>
      <c r="K93" s="124"/>
      <c r="L93" s="123"/>
      <c r="M93" s="125"/>
      <c r="N93" s="131"/>
      <c r="O93" s="118"/>
      <c r="P93" s="452">
        <f>SUM(M90:M92)</f>
        <v>92.6</v>
      </c>
      <c r="Q93" s="450">
        <f>P93*SUM($L$202:$L$206)</f>
        <v>8.7969999999999988</v>
      </c>
      <c r="R93" s="266"/>
      <c r="S93" s="266"/>
      <c r="T93" s="62"/>
      <c r="U93" s="103"/>
      <c r="V93" s="103"/>
    </row>
    <row r="94" spans="1:22" s="70" customFormat="1" ht="14.25" x14ac:dyDescent="0.2">
      <c r="A94" s="60"/>
      <c r="B94" s="151"/>
      <c r="C94" s="152"/>
      <c r="D94" s="153"/>
      <c r="E94" s="122"/>
      <c r="F94" s="122"/>
      <c r="G94" s="122"/>
      <c r="H94" s="123"/>
      <c r="I94" s="135"/>
      <c r="J94" s="123"/>
      <c r="K94" s="124"/>
      <c r="L94" s="123"/>
      <c r="M94" s="125"/>
      <c r="N94" s="131"/>
      <c r="O94" s="118"/>
      <c r="P94" s="451">
        <f>P93/$M$199</f>
        <v>5.6153546354176427E-4</v>
      </c>
      <c r="Q94" s="452">
        <f>P94*$M$210</f>
        <v>4.4011310603760396</v>
      </c>
      <c r="R94" s="452">
        <f>SUM(P93,Q93,Q94)</f>
        <v>105.79813106037604</v>
      </c>
      <c r="S94" s="452">
        <f>R94*1.08</f>
        <v>114.26198154520613</v>
      </c>
      <c r="T94" s="62"/>
      <c r="U94" s="103"/>
      <c r="V94" s="103"/>
    </row>
    <row r="95" spans="1:22" s="70" customFormat="1" ht="14.25" x14ac:dyDescent="0.2">
      <c r="A95" s="60"/>
      <c r="B95" s="151"/>
      <c r="C95" s="152"/>
      <c r="D95" s="153"/>
      <c r="E95" s="122"/>
      <c r="F95" s="122"/>
      <c r="G95" s="122"/>
      <c r="H95" s="123"/>
      <c r="I95" s="135"/>
      <c r="J95" s="123"/>
      <c r="K95" s="124"/>
      <c r="L95" s="123"/>
      <c r="M95" s="125"/>
      <c r="N95" s="131"/>
      <c r="O95" s="118"/>
      <c r="P95" s="62"/>
      <c r="Q95" s="62"/>
      <c r="R95" s="62"/>
      <c r="S95" s="62"/>
      <c r="T95" s="62"/>
      <c r="U95" s="103"/>
      <c r="V95" s="103"/>
    </row>
    <row r="96" spans="1:22" s="70" customFormat="1" ht="15" x14ac:dyDescent="0.2">
      <c r="A96" s="60"/>
      <c r="B96" s="267" t="s">
        <v>62</v>
      </c>
      <c r="C96" s="152"/>
      <c r="D96" s="153"/>
      <c r="E96" s="122"/>
      <c r="F96" s="122"/>
      <c r="G96" s="122"/>
      <c r="H96" s="123"/>
      <c r="I96" s="135"/>
      <c r="J96" s="123"/>
      <c r="K96" s="124"/>
      <c r="L96" s="123"/>
      <c r="M96" s="125"/>
      <c r="N96" s="131"/>
      <c r="O96" s="118"/>
      <c r="P96" s="62"/>
      <c r="Q96" s="62"/>
      <c r="R96" s="62"/>
      <c r="S96" s="62"/>
      <c r="T96" s="62"/>
      <c r="U96" s="103"/>
      <c r="V96" s="103"/>
    </row>
    <row r="97" spans="1:22" s="70" customFormat="1" ht="14.25" x14ac:dyDescent="0.2">
      <c r="A97" s="60"/>
      <c r="B97" s="268" t="s">
        <v>73</v>
      </c>
      <c r="C97" s="61"/>
      <c r="D97" s="72"/>
      <c r="E97" s="140"/>
      <c r="F97" s="141"/>
      <c r="G97" s="141"/>
      <c r="H97" s="141"/>
      <c r="I97" s="142"/>
      <c r="J97" s="140"/>
      <c r="K97" s="140"/>
      <c r="L97" s="140"/>
      <c r="M97" s="143"/>
      <c r="N97" s="144"/>
      <c r="O97" s="145"/>
      <c r="P97" s="62"/>
      <c r="Q97" s="62"/>
      <c r="R97" s="62"/>
      <c r="S97" s="62"/>
      <c r="T97" s="62"/>
      <c r="U97" s="103"/>
      <c r="V97" s="103"/>
    </row>
    <row r="98" spans="1:22" s="70" customFormat="1" ht="14.25" x14ac:dyDescent="0.2">
      <c r="A98" s="60"/>
      <c r="B98" s="264" t="s">
        <v>253</v>
      </c>
      <c r="C98" s="61">
        <v>84</v>
      </c>
      <c r="D98" s="72" t="s">
        <v>45</v>
      </c>
      <c r="E98" s="122">
        <v>0.2</v>
      </c>
      <c r="F98" s="122">
        <f>C98*E98</f>
        <v>16.8</v>
      </c>
      <c r="G98" s="122">
        <f>$H$11*E98</f>
        <v>7.2</v>
      </c>
      <c r="H98" s="123">
        <f>F98*$H$11</f>
        <v>604.80000000000007</v>
      </c>
      <c r="I98" s="393">
        <v>0.85</v>
      </c>
      <c r="J98" s="123">
        <f>C98*I98</f>
        <v>71.399999999999991</v>
      </c>
      <c r="K98" s="124">
        <f>SUM(H98,J98)</f>
        <v>676.2</v>
      </c>
      <c r="L98" s="123">
        <f>K98/C98</f>
        <v>8.0500000000000007</v>
      </c>
      <c r="M98" s="125">
        <f>C98*L98</f>
        <v>676.2</v>
      </c>
      <c r="N98" s="131">
        <v>0</v>
      </c>
      <c r="O98" s="118">
        <f>M98*N98</f>
        <v>0</v>
      </c>
      <c r="P98" s="62"/>
      <c r="Q98" s="62"/>
      <c r="R98" s="62"/>
      <c r="S98" s="62"/>
      <c r="T98" s="62"/>
      <c r="U98" s="103"/>
      <c r="V98" s="103"/>
    </row>
    <row r="99" spans="1:22" s="70" customFormat="1" ht="14.25" x14ac:dyDescent="0.2">
      <c r="A99" s="60"/>
      <c r="B99" s="151" t="s">
        <v>254</v>
      </c>
      <c r="C99" s="61">
        <v>136</v>
      </c>
      <c r="D99" s="72" t="s">
        <v>46</v>
      </c>
      <c r="E99" s="122">
        <v>0.2</v>
      </c>
      <c r="F99" s="122">
        <f>C99*E99</f>
        <v>27.200000000000003</v>
      </c>
      <c r="G99" s="122">
        <f>$H$11*E99</f>
        <v>7.2</v>
      </c>
      <c r="H99" s="123">
        <f>F99*$H$11</f>
        <v>979.2</v>
      </c>
      <c r="I99" s="393">
        <v>1.1000000000000001</v>
      </c>
      <c r="J99" s="123">
        <f>C99*I99</f>
        <v>149.60000000000002</v>
      </c>
      <c r="K99" s="124">
        <f>SUM(H99,J99)</f>
        <v>1128.8000000000002</v>
      </c>
      <c r="L99" s="123">
        <f>K99/C99</f>
        <v>8.3000000000000007</v>
      </c>
      <c r="M99" s="125">
        <f>C99*L99</f>
        <v>1128.8000000000002</v>
      </c>
      <c r="N99" s="131">
        <v>0</v>
      </c>
      <c r="O99" s="118">
        <f>M99*N99</f>
        <v>0</v>
      </c>
      <c r="P99" s="62"/>
      <c r="Q99" s="62"/>
      <c r="R99" s="62"/>
      <c r="S99" s="62"/>
      <c r="T99" s="62"/>
      <c r="U99" s="103"/>
      <c r="V99" s="103"/>
    </row>
    <row r="100" spans="1:22" s="70" customFormat="1" ht="14.25" x14ac:dyDescent="0.2">
      <c r="A100" s="60"/>
      <c r="B100" s="151" t="s">
        <v>268</v>
      </c>
      <c r="C100" s="61">
        <v>20</v>
      </c>
      <c r="D100" s="72" t="s">
        <v>46</v>
      </c>
      <c r="E100" s="122">
        <v>0.3</v>
      </c>
      <c r="F100" s="122">
        <f>C100*E100</f>
        <v>6</v>
      </c>
      <c r="G100" s="122">
        <f>$H$11*E100</f>
        <v>10.799999999999999</v>
      </c>
      <c r="H100" s="123">
        <f>F100*$H$11</f>
        <v>216</v>
      </c>
      <c r="I100" s="135">
        <v>7</v>
      </c>
      <c r="J100" s="123">
        <f>C100*I100</f>
        <v>140</v>
      </c>
      <c r="K100" s="124">
        <f>SUM(H100,J100)</f>
        <v>356</v>
      </c>
      <c r="L100" s="123">
        <f>K100/C100</f>
        <v>17.8</v>
      </c>
      <c r="M100" s="125">
        <f>C100*L100</f>
        <v>356</v>
      </c>
      <c r="N100" s="131">
        <v>0</v>
      </c>
      <c r="O100" s="118">
        <f>M100*N100</f>
        <v>0</v>
      </c>
      <c r="P100" s="62"/>
      <c r="Q100" s="62"/>
      <c r="R100" s="62"/>
      <c r="S100" s="62"/>
      <c r="T100" s="62"/>
      <c r="U100" s="103"/>
      <c r="V100" s="103"/>
    </row>
    <row r="101" spans="1:22" s="70" customFormat="1" ht="14.25" x14ac:dyDescent="0.2">
      <c r="A101" s="60"/>
      <c r="B101" s="151"/>
      <c r="C101" s="113"/>
      <c r="D101" s="72"/>
      <c r="E101" s="122"/>
      <c r="F101" s="122"/>
      <c r="G101" s="122"/>
      <c r="H101" s="123"/>
      <c r="I101" s="135"/>
      <c r="J101" s="123"/>
      <c r="K101" s="124"/>
      <c r="L101" s="123"/>
      <c r="M101" s="125"/>
      <c r="N101" s="131"/>
      <c r="O101" s="118"/>
      <c r="P101" s="452">
        <f>SUM(M98:M100)</f>
        <v>2161</v>
      </c>
      <c r="Q101" s="450">
        <f>P101*SUM($L$202:$L$206)</f>
        <v>205.29500000000002</v>
      </c>
      <c r="R101" s="266"/>
      <c r="S101" s="266"/>
      <c r="T101" s="62"/>
      <c r="U101" s="103"/>
      <c r="V101" s="103"/>
    </row>
    <row r="102" spans="1:22" s="70" customFormat="1" ht="14.25" x14ac:dyDescent="0.2">
      <c r="A102" s="60"/>
      <c r="B102" s="268" t="s">
        <v>255</v>
      </c>
      <c r="C102" s="152"/>
      <c r="D102" s="153"/>
      <c r="E102" s="122"/>
      <c r="F102" s="122"/>
      <c r="G102" s="122"/>
      <c r="H102" s="123"/>
      <c r="I102" s="135"/>
      <c r="J102" s="123"/>
      <c r="K102" s="124"/>
      <c r="L102" s="123"/>
      <c r="M102" s="125"/>
      <c r="N102" s="131"/>
      <c r="O102" s="118"/>
      <c r="P102" s="451">
        <f>P101/$M$199</f>
        <v>1.3104515515267307E-2</v>
      </c>
      <c r="Q102" s="452">
        <f>P102*$M$210</f>
        <v>102.70890087983392</v>
      </c>
      <c r="R102" s="452">
        <f>SUM(P101,Q101,Q102)</f>
        <v>2469.003900879834</v>
      </c>
      <c r="S102" s="452">
        <f>R102*1.08</f>
        <v>2666.5242129502208</v>
      </c>
      <c r="T102" s="62"/>
      <c r="U102" s="103"/>
      <c r="V102" s="103"/>
    </row>
    <row r="103" spans="1:22" s="70" customFormat="1" ht="14.25" x14ac:dyDescent="0.2">
      <c r="A103" s="60"/>
      <c r="B103" s="151" t="s">
        <v>253</v>
      </c>
      <c r="C103" s="152">
        <v>3</v>
      </c>
      <c r="D103" s="153" t="s">
        <v>45</v>
      </c>
      <c r="E103" s="122">
        <v>0.2</v>
      </c>
      <c r="F103" s="122">
        <f>C103*E103</f>
        <v>0.60000000000000009</v>
      </c>
      <c r="G103" s="122">
        <f>$H$11*E103</f>
        <v>7.2</v>
      </c>
      <c r="H103" s="123">
        <f>F103*$H$11</f>
        <v>21.6</v>
      </c>
      <c r="I103" s="393">
        <v>0.85</v>
      </c>
      <c r="J103" s="123">
        <f>C103*I103</f>
        <v>2.5499999999999998</v>
      </c>
      <c r="K103" s="124">
        <f>SUM(H103,J103)</f>
        <v>24.150000000000002</v>
      </c>
      <c r="L103" s="123">
        <f>K103/C103</f>
        <v>8.0500000000000007</v>
      </c>
      <c r="M103" s="125">
        <f>C103*L103</f>
        <v>24.150000000000002</v>
      </c>
      <c r="N103" s="131">
        <v>0</v>
      </c>
      <c r="O103" s="118">
        <f>M103*N103</f>
        <v>0</v>
      </c>
      <c r="P103" s="62"/>
      <c r="Q103" s="62"/>
      <c r="R103" s="62"/>
      <c r="S103" s="62"/>
      <c r="T103" s="62"/>
      <c r="U103" s="103"/>
      <c r="V103" s="103"/>
    </row>
    <row r="104" spans="1:22" s="70" customFormat="1" ht="14.25" x14ac:dyDescent="0.2">
      <c r="A104" s="60"/>
      <c r="B104" s="151" t="s">
        <v>256</v>
      </c>
      <c r="C104" s="152">
        <v>2</v>
      </c>
      <c r="D104" s="153" t="s">
        <v>46</v>
      </c>
      <c r="E104" s="390">
        <v>0.19</v>
      </c>
      <c r="F104" s="122">
        <f>C104*E104</f>
        <v>0.38</v>
      </c>
      <c r="G104" s="122">
        <f>$H$11*E104</f>
        <v>6.84</v>
      </c>
      <c r="H104" s="123">
        <f>F104*$H$11</f>
        <v>13.68</v>
      </c>
      <c r="I104" s="393">
        <v>2.02</v>
      </c>
      <c r="J104" s="123">
        <f>C104*I104</f>
        <v>4.04</v>
      </c>
      <c r="K104" s="124">
        <f>SUM(H104,J104)</f>
        <v>17.72</v>
      </c>
      <c r="L104" s="123">
        <f>K104/C104</f>
        <v>8.86</v>
      </c>
      <c r="M104" s="125">
        <f>C104*L104</f>
        <v>17.72</v>
      </c>
      <c r="N104" s="131">
        <v>0</v>
      </c>
      <c r="O104" s="118">
        <f>M104*N104</f>
        <v>0</v>
      </c>
      <c r="P104" s="62"/>
      <c r="Q104" s="62"/>
      <c r="R104" s="62"/>
      <c r="S104" s="62"/>
      <c r="T104" s="62"/>
      <c r="U104" s="103"/>
      <c r="V104" s="103"/>
    </row>
    <row r="105" spans="1:22" s="70" customFormat="1" ht="14.25" x14ac:dyDescent="0.2">
      <c r="A105" s="60"/>
      <c r="B105" s="151"/>
      <c r="C105" s="152"/>
      <c r="D105" s="153"/>
      <c r="E105" s="122"/>
      <c r="F105" s="122"/>
      <c r="G105" s="122"/>
      <c r="H105" s="123"/>
      <c r="I105" s="135"/>
      <c r="J105" s="123"/>
      <c r="K105" s="124"/>
      <c r="L105" s="123"/>
      <c r="M105" s="125"/>
      <c r="N105" s="131"/>
      <c r="O105" s="118"/>
      <c r="P105" s="452">
        <f>SUM(M102:M104)</f>
        <v>41.870000000000005</v>
      </c>
      <c r="Q105" s="450">
        <f>P105*SUM($L$202:$L$206)</f>
        <v>3.9776500000000006</v>
      </c>
      <c r="R105" s="266"/>
      <c r="S105" s="266"/>
      <c r="T105" s="62"/>
      <c r="U105" s="103"/>
      <c r="V105" s="103"/>
    </row>
    <row r="106" spans="1:22" s="70" customFormat="1" ht="14.25" x14ac:dyDescent="0.2">
      <c r="A106" s="60"/>
      <c r="B106" s="151"/>
      <c r="C106" s="152"/>
      <c r="D106" s="153"/>
      <c r="E106" s="122"/>
      <c r="F106" s="122"/>
      <c r="G106" s="122"/>
      <c r="H106" s="123"/>
      <c r="I106" s="135"/>
      <c r="J106" s="123"/>
      <c r="K106" s="124"/>
      <c r="L106" s="123"/>
      <c r="M106" s="125"/>
      <c r="N106" s="131"/>
      <c r="O106" s="118"/>
      <c r="P106" s="451">
        <f>P105/$M$199</f>
        <v>2.5390377816947811E-4</v>
      </c>
      <c r="Q106" s="452">
        <f>P106*$M$210</f>
        <v>1.9900146598050192</v>
      </c>
      <c r="R106" s="452">
        <f>SUM(P105,Q105,Q106)</f>
        <v>47.837664659805021</v>
      </c>
      <c r="S106" s="452">
        <f>R106*1.08</f>
        <v>51.664677832589426</v>
      </c>
      <c r="T106" s="62"/>
      <c r="U106" s="103"/>
      <c r="V106" s="103"/>
    </row>
    <row r="107" spans="1:22" s="70" customFormat="1" ht="14.25" x14ac:dyDescent="0.2">
      <c r="A107" s="60"/>
      <c r="B107" s="151"/>
      <c r="C107" s="152"/>
      <c r="D107" s="153"/>
      <c r="E107" s="122"/>
      <c r="F107" s="122"/>
      <c r="G107" s="122"/>
      <c r="H107" s="123"/>
      <c r="I107" s="135"/>
      <c r="J107" s="123"/>
      <c r="K107" s="124"/>
      <c r="L107" s="123"/>
      <c r="M107" s="125"/>
      <c r="N107" s="131"/>
      <c r="O107" s="118"/>
      <c r="P107" s="62"/>
      <c r="Q107" s="62"/>
      <c r="R107" s="62"/>
      <c r="S107" s="62"/>
      <c r="T107" s="62"/>
      <c r="U107" s="103"/>
      <c r="V107" s="103"/>
    </row>
    <row r="108" spans="1:22" s="70" customFormat="1" ht="15" x14ac:dyDescent="0.2">
      <c r="A108" s="60"/>
      <c r="B108" s="169" t="s">
        <v>97</v>
      </c>
      <c r="C108" s="152"/>
      <c r="D108" s="153"/>
      <c r="E108" s="122"/>
      <c r="F108" s="122"/>
      <c r="G108" s="122"/>
      <c r="H108" s="123"/>
      <c r="I108" s="135"/>
      <c r="J108" s="123"/>
      <c r="K108" s="124"/>
      <c r="L108" s="123"/>
      <c r="M108" s="125"/>
      <c r="N108" s="131"/>
      <c r="O108" s="118"/>
      <c r="P108" s="62"/>
      <c r="Q108" s="62"/>
      <c r="R108" s="62"/>
      <c r="S108" s="62"/>
      <c r="T108" s="62"/>
      <c r="U108" s="103"/>
      <c r="V108" s="103"/>
    </row>
    <row r="109" spans="1:22" s="70" customFormat="1" ht="14.25" x14ac:dyDescent="0.2">
      <c r="A109" s="60"/>
      <c r="B109" s="165" t="s">
        <v>73</v>
      </c>
      <c r="C109" s="61"/>
      <c r="D109" s="72"/>
      <c r="E109" s="140"/>
      <c r="F109" s="141"/>
      <c r="G109" s="141"/>
      <c r="H109" s="141"/>
      <c r="I109" s="142"/>
      <c r="J109" s="140"/>
      <c r="K109" s="140"/>
      <c r="L109" s="140"/>
      <c r="M109" s="143"/>
      <c r="N109" s="144"/>
      <c r="O109" s="145"/>
      <c r="P109" s="62"/>
      <c r="Q109" s="62"/>
      <c r="R109" s="62"/>
      <c r="S109" s="62"/>
      <c r="T109" s="62"/>
      <c r="U109" s="103"/>
      <c r="V109" s="103"/>
    </row>
    <row r="110" spans="1:22" s="70" customFormat="1" ht="14.25" x14ac:dyDescent="0.2">
      <c r="A110" s="60"/>
      <c r="B110" s="146" t="s">
        <v>253</v>
      </c>
      <c r="C110" s="61">
        <v>73</v>
      </c>
      <c r="D110" s="72" t="s">
        <v>45</v>
      </c>
      <c r="E110" s="122">
        <v>0.2</v>
      </c>
      <c r="F110" s="122">
        <f>C110*E110</f>
        <v>14.600000000000001</v>
      </c>
      <c r="G110" s="122">
        <f>$H$11*E110</f>
        <v>7.2</v>
      </c>
      <c r="H110" s="123">
        <f>F110*$H$11</f>
        <v>525.6</v>
      </c>
      <c r="I110" s="393">
        <v>0.85</v>
      </c>
      <c r="J110" s="123">
        <f>C110*I110</f>
        <v>62.05</v>
      </c>
      <c r="K110" s="124">
        <f>SUM(H110,J110)</f>
        <v>587.65</v>
      </c>
      <c r="L110" s="123">
        <f>K110/C110</f>
        <v>8.0499999999999989</v>
      </c>
      <c r="M110" s="125">
        <f>C110*L110</f>
        <v>587.65</v>
      </c>
      <c r="N110" s="131">
        <v>0</v>
      </c>
      <c r="O110" s="118">
        <f>M110*N110</f>
        <v>0</v>
      </c>
      <c r="P110" s="62"/>
      <c r="Q110" s="62"/>
      <c r="R110" s="62"/>
      <c r="S110" s="62"/>
      <c r="T110" s="62"/>
      <c r="U110" s="103"/>
      <c r="V110" s="103"/>
    </row>
    <row r="111" spans="1:22" s="70" customFormat="1" ht="15" customHeight="1" x14ac:dyDescent="0.2">
      <c r="A111" s="60"/>
      <c r="B111" s="1" t="s">
        <v>254</v>
      </c>
      <c r="C111" s="61">
        <v>77</v>
      </c>
      <c r="D111" s="72" t="s">
        <v>46</v>
      </c>
      <c r="E111" s="122">
        <v>0.2</v>
      </c>
      <c r="F111" s="122">
        <f>C111*E111</f>
        <v>15.4</v>
      </c>
      <c r="G111" s="122">
        <f>$H$11*E111</f>
        <v>7.2</v>
      </c>
      <c r="H111" s="123">
        <f>F111*$H$11</f>
        <v>554.4</v>
      </c>
      <c r="I111" s="135">
        <v>1.45</v>
      </c>
      <c r="J111" s="123">
        <f>C111*I111</f>
        <v>111.64999999999999</v>
      </c>
      <c r="K111" s="124">
        <f>SUM(H111,J111)</f>
        <v>666.05</v>
      </c>
      <c r="L111" s="123">
        <f>K111/C111</f>
        <v>8.6499999999999986</v>
      </c>
      <c r="M111" s="125">
        <f>C111*L111</f>
        <v>666.04999999999984</v>
      </c>
      <c r="N111" s="131">
        <v>0</v>
      </c>
      <c r="O111" s="118">
        <f>M111*N111</f>
        <v>0</v>
      </c>
      <c r="P111" s="62"/>
      <c r="Q111" s="62"/>
      <c r="R111" s="62"/>
      <c r="S111" s="62"/>
      <c r="T111" s="62"/>
      <c r="U111" s="103"/>
      <c r="V111" s="103"/>
    </row>
    <row r="112" spans="1:22" s="70" customFormat="1" ht="14.25" x14ac:dyDescent="0.2">
      <c r="A112" s="60"/>
      <c r="B112" s="151"/>
      <c r="C112" s="152"/>
      <c r="D112" s="153"/>
      <c r="E112" s="122"/>
      <c r="F112" s="122"/>
      <c r="G112" s="122"/>
      <c r="H112" s="123"/>
      <c r="I112" s="135"/>
      <c r="J112" s="123"/>
      <c r="K112" s="124"/>
      <c r="L112" s="123"/>
      <c r="M112" s="125"/>
      <c r="N112" s="131"/>
      <c r="O112" s="118"/>
      <c r="P112" s="452">
        <f>SUM(M107:M111)</f>
        <v>1253.6999999999998</v>
      </c>
      <c r="Q112" s="450">
        <f>P112*SUM($L$202:$L$206)</f>
        <v>119.10149999999999</v>
      </c>
      <c r="R112" s="266"/>
      <c r="S112" s="266"/>
      <c r="T112" s="62"/>
      <c r="U112" s="103"/>
      <c r="V112" s="103"/>
    </row>
    <row r="113" spans="1:22" s="70" customFormat="1" ht="14.25" x14ac:dyDescent="0.2">
      <c r="A113" s="60"/>
      <c r="B113" s="151"/>
      <c r="C113" s="152"/>
      <c r="D113" s="153"/>
      <c r="E113" s="122"/>
      <c r="F113" s="122"/>
      <c r="G113" s="122"/>
      <c r="H113" s="123"/>
      <c r="I113" s="135"/>
      <c r="J113" s="123"/>
      <c r="K113" s="124"/>
      <c r="L113" s="123"/>
      <c r="M113" s="125"/>
      <c r="N113" s="131"/>
      <c r="O113" s="118"/>
      <c r="P113" s="451">
        <f>P112/$M$199</f>
        <v>7.6025595101761314E-3</v>
      </c>
      <c r="Q113" s="452">
        <f>P113*$M$210</f>
        <v>59.586371602520948</v>
      </c>
      <c r="R113" s="452">
        <f>SUM(P112,Q112,Q113)</f>
        <v>1432.3878716025208</v>
      </c>
      <c r="S113" s="452">
        <f>R113*1.08</f>
        <v>1546.9789013307227</v>
      </c>
      <c r="T113" s="62"/>
      <c r="U113" s="103"/>
      <c r="V113" s="103"/>
    </row>
    <row r="114" spans="1:22" s="70" customFormat="1" ht="14.25" x14ac:dyDescent="0.2">
      <c r="A114" s="60"/>
      <c r="B114" s="151"/>
      <c r="C114" s="152"/>
      <c r="D114" s="153"/>
      <c r="E114" s="122"/>
      <c r="F114" s="122"/>
      <c r="G114" s="122"/>
      <c r="H114" s="123"/>
      <c r="I114" s="135"/>
      <c r="J114" s="123"/>
      <c r="K114" s="124"/>
      <c r="L114" s="123"/>
      <c r="M114" s="125"/>
      <c r="N114" s="131"/>
      <c r="O114" s="118"/>
      <c r="P114" s="62"/>
      <c r="Q114" s="62"/>
      <c r="R114" s="62"/>
      <c r="S114" s="62"/>
      <c r="T114" s="62"/>
      <c r="U114" s="103"/>
      <c r="V114" s="103"/>
    </row>
    <row r="115" spans="1:22" s="70" customFormat="1" ht="15" x14ac:dyDescent="0.2">
      <c r="A115" s="60"/>
      <c r="B115" s="169" t="s">
        <v>66</v>
      </c>
      <c r="C115" s="152"/>
      <c r="D115" s="153"/>
      <c r="E115" s="122"/>
      <c r="F115" s="122"/>
      <c r="G115" s="122"/>
      <c r="H115" s="123"/>
      <c r="I115" s="135"/>
      <c r="J115" s="123"/>
      <c r="K115" s="124"/>
      <c r="L115" s="123"/>
      <c r="M115" s="125"/>
      <c r="N115" s="131"/>
      <c r="O115" s="118"/>
      <c r="P115" s="62"/>
      <c r="Q115" s="62"/>
      <c r="R115" s="62"/>
      <c r="S115" s="62"/>
      <c r="T115" s="62"/>
      <c r="U115" s="103"/>
      <c r="V115" s="103"/>
    </row>
    <row r="116" spans="1:22" s="70" customFormat="1" ht="14.25" x14ac:dyDescent="0.2">
      <c r="A116" s="60"/>
      <c r="B116" s="165" t="s">
        <v>74</v>
      </c>
      <c r="C116" s="152"/>
      <c r="D116" s="153"/>
      <c r="E116" s="122"/>
      <c r="F116" s="122"/>
      <c r="G116" s="122"/>
      <c r="H116" s="123"/>
      <c r="I116" s="135"/>
      <c r="J116" s="123"/>
      <c r="K116" s="124"/>
      <c r="L116" s="123"/>
      <c r="M116" s="125"/>
      <c r="N116" s="131"/>
      <c r="O116" s="118"/>
      <c r="P116" s="62"/>
      <c r="Q116" s="62"/>
      <c r="R116" s="62"/>
      <c r="S116" s="62"/>
      <c r="T116" s="62"/>
      <c r="U116" s="103"/>
      <c r="V116" s="103"/>
    </row>
    <row r="117" spans="1:22" s="70" customFormat="1" ht="14.25" x14ac:dyDescent="0.2">
      <c r="A117" s="60"/>
      <c r="B117" s="146" t="s">
        <v>253</v>
      </c>
      <c r="C117" s="61">
        <f>'Gib Linings_25_8'!T158</f>
        <v>1061</v>
      </c>
      <c r="D117" s="72" t="s">
        <v>45</v>
      </c>
      <c r="E117" s="122">
        <v>0.2</v>
      </c>
      <c r="F117" s="122">
        <f>C117*E117</f>
        <v>212.20000000000002</v>
      </c>
      <c r="G117" s="122">
        <f>$H$11*E117</f>
        <v>7.2</v>
      </c>
      <c r="H117" s="123">
        <f>F117*$H$11</f>
        <v>7639.2000000000007</v>
      </c>
      <c r="I117" s="393">
        <v>0.85</v>
      </c>
      <c r="J117" s="123">
        <f>C117*I117</f>
        <v>901.85</v>
      </c>
      <c r="K117" s="124">
        <f>SUM(H117,J117)</f>
        <v>8541.0500000000011</v>
      </c>
      <c r="L117" s="123">
        <f>K117/C117</f>
        <v>8.0500000000000007</v>
      </c>
      <c r="M117" s="125">
        <f>C117*L117</f>
        <v>8541.0500000000011</v>
      </c>
      <c r="N117" s="131">
        <v>0</v>
      </c>
      <c r="O117" s="118">
        <f>M117*N117</f>
        <v>0</v>
      </c>
      <c r="P117" s="62"/>
      <c r="Q117" s="62"/>
      <c r="R117" s="62"/>
      <c r="S117" s="62"/>
      <c r="T117" s="62"/>
      <c r="U117" s="103"/>
      <c r="V117" s="103"/>
    </row>
    <row r="118" spans="1:22" s="70" customFormat="1" ht="14.25" x14ac:dyDescent="0.2">
      <c r="A118" s="60"/>
      <c r="B118" s="1" t="s">
        <v>257</v>
      </c>
      <c r="C118" s="61">
        <v>92</v>
      </c>
      <c r="D118" s="72" t="s">
        <v>46</v>
      </c>
      <c r="E118" s="390">
        <v>0.19</v>
      </c>
      <c r="F118" s="122">
        <f>C118*E118</f>
        <v>17.48</v>
      </c>
      <c r="G118" s="122">
        <f>$H$11*E118</f>
        <v>6.84</v>
      </c>
      <c r="H118" s="123">
        <f>F118*$H$11</f>
        <v>629.28</v>
      </c>
      <c r="I118" s="393">
        <v>2.02</v>
      </c>
      <c r="J118" s="123">
        <f>C118*I118</f>
        <v>185.84</v>
      </c>
      <c r="K118" s="124">
        <f>SUM(H118,J118)</f>
        <v>815.12</v>
      </c>
      <c r="L118" s="123">
        <f>K118/C118</f>
        <v>8.86</v>
      </c>
      <c r="M118" s="125">
        <f>C118*L118</f>
        <v>815.11999999999989</v>
      </c>
      <c r="N118" s="131">
        <v>0</v>
      </c>
      <c r="O118" s="118">
        <f>M118*N118</f>
        <v>0</v>
      </c>
      <c r="P118" s="62"/>
      <c r="Q118" s="62"/>
      <c r="R118" s="62"/>
      <c r="S118" s="62"/>
      <c r="T118" s="62"/>
      <c r="U118" s="103"/>
      <c r="V118" s="103"/>
    </row>
    <row r="119" spans="1:22" s="70" customFormat="1" ht="14.25" x14ac:dyDescent="0.2">
      <c r="A119" s="60"/>
      <c r="B119" s="151" t="s">
        <v>259</v>
      </c>
      <c r="C119" s="152">
        <v>165</v>
      </c>
      <c r="D119" s="153" t="s">
        <v>46</v>
      </c>
      <c r="E119" s="122">
        <v>0.2</v>
      </c>
      <c r="F119" s="122">
        <f>C119*E119</f>
        <v>33</v>
      </c>
      <c r="G119" s="122">
        <f>$H$11*E119</f>
        <v>7.2</v>
      </c>
      <c r="H119" s="123">
        <f>F119*$H$11</f>
        <v>1188</v>
      </c>
      <c r="I119" s="135">
        <v>6</v>
      </c>
      <c r="J119" s="123">
        <f>C119*I119</f>
        <v>990</v>
      </c>
      <c r="K119" s="124">
        <f>SUM(H119,J119)</f>
        <v>2178</v>
      </c>
      <c r="L119" s="123">
        <f>K119/C119</f>
        <v>13.2</v>
      </c>
      <c r="M119" s="125">
        <f>C119*L119</f>
        <v>2178</v>
      </c>
      <c r="N119" s="131">
        <v>0</v>
      </c>
      <c r="O119" s="118">
        <f>M119*N119</f>
        <v>0</v>
      </c>
      <c r="P119" s="62"/>
      <c r="Q119" s="62"/>
      <c r="R119" s="62"/>
      <c r="S119" s="62"/>
      <c r="T119" s="62"/>
      <c r="U119" s="103"/>
      <c r="V119" s="103"/>
    </row>
    <row r="120" spans="1:22" s="70" customFormat="1" ht="14.25" x14ac:dyDescent="0.2">
      <c r="A120" s="60"/>
      <c r="B120" s="151" t="s">
        <v>258</v>
      </c>
      <c r="C120" s="157" t="s">
        <v>89</v>
      </c>
      <c r="D120" s="153"/>
      <c r="E120" s="122"/>
      <c r="F120" s="122"/>
      <c r="G120" s="122"/>
      <c r="H120" s="123"/>
      <c r="I120" s="135"/>
      <c r="J120" s="123"/>
      <c r="K120" s="124"/>
      <c r="L120" s="123"/>
      <c r="M120" s="125"/>
      <c r="N120" s="131"/>
      <c r="O120" s="118"/>
      <c r="P120" s="452">
        <f>SUM(M115:M119)</f>
        <v>11534.170000000002</v>
      </c>
      <c r="Q120" s="450">
        <f>P120*SUM($L$202:$L$206)</f>
        <v>1095.7461500000002</v>
      </c>
      <c r="R120" s="266"/>
      <c r="S120" s="266"/>
      <c r="T120" s="62"/>
      <c r="U120" s="103"/>
      <c r="V120" s="103"/>
    </row>
    <row r="121" spans="1:22" s="70" customFormat="1" ht="14.25" x14ac:dyDescent="0.2">
      <c r="A121" s="60"/>
      <c r="B121" s="151"/>
      <c r="C121" s="152"/>
      <c r="D121" s="153"/>
      <c r="E121" s="122"/>
      <c r="F121" s="122"/>
      <c r="G121" s="122"/>
      <c r="H121" s="123"/>
      <c r="I121" s="135"/>
      <c r="J121" s="123"/>
      <c r="K121" s="124"/>
      <c r="L121" s="123"/>
      <c r="M121" s="125"/>
      <c r="N121" s="131"/>
      <c r="O121" s="118"/>
      <c r="P121" s="451">
        <f>P120/$M$199</f>
        <v>6.9944335826344628E-2</v>
      </c>
      <c r="Q121" s="452">
        <f>P121*$M$210</f>
        <v>548.20079743690621</v>
      </c>
      <c r="R121" s="452">
        <f>SUM(P120,Q120,Q121)</f>
        <v>13178.116947436909</v>
      </c>
      <c r="S121" s="452">
        <f>R121*1.08</f>
        <v>14232.366303231862</v>
      </c>
      <c r="T121" s="62"/>
      <c r="U121" s="103"/>
      <c r="V121" s="103"/>
    </row>
    <row r="122" spans="1:22" s="70" customFormat="1" ht="14.25" x14ac:dyDescent="0.2">
      <c r="A122" s="60"/>
      <c r="B122" s="151"/>
      <c r="C122" s="152"/>
      <c r="D122" s="153"/>
      <c r="E122" s="122"/>
      <c r="F122" s="122"/>
      <c r="G122" s="122"/>
      <c r="H122" s="123"/>
      <c r="I122" s="135"/>
      <c r="J122" s="123"/>
      <c r="K122" s="124"/>
      <c r="L122" s="123"/>
      <c r="M122" s="125"/>
      <c r="N122" s="131"/>
      <c r="O122" s="118"/>
      <c r="P122" s="62"/>
      <c r="Q122" s="62"/>
      <c r="R122" s="62"/>
      <c r="S122" s="62"/>
      <c r="T122" s="62"/>
      <c r="U122" s="103"/>
      <c r="V122" s="103"/>
    </row>
    <row r="123" spans="1:22" s="70" customFormat="1" ht="14.25" x14ac:dyDescent="0.2">
      <c r="A123" s="60"/>
      <c r="B123" s="151"/>
      <c r="C123" s="152"/>
      <c r="D123" s="153"/>
      <c r="E123" s="122"/>
      <c r="F123" s="122"/>
      <c r="G123" s="122"/>
      <c r="H123" s="123"/>
      <c r="I123" s="135"/>
      <c r="J123" s="123"/>
      <c r="K123" s="124"/>
      <c r="L123" s="123"/>
      <c r="M123" s="125"/>
      <c r="N123" s="131"/>
      <c r="O123" s="118"/>
      <c r="P123" s="62"/>
      <c r="Q123" s="62"/>
      <c r="R123" s="62"/>
      <c r="S123" s="62"/>
      <c r="T123" s="62"/>
      <c r="U123" s="103"/>
      <c r="V123" s="103"/>
    </row>
    <row r="124" spans="1:22" s="70" customFormat="1" ht="15" x14ac:dyDescent="0.2">
      <c r="A124" s="60"/>
      <c r="B124" s="169" t="s">
        <v>64</v>
      </c>
      <c r="C124" s="152"/>
      <c r="D124" s="153"/>
      <c r="E124" s="122"/>
      <c r="F124" s="122"/>
      <c r="G124" s="122"/>
      <c r="H124" s="123"/>
      <c r="I124" s="135"/>
      <c r="J124" s="123"/>
      <c r="K124" s="124"/>
      <c r="L124" s="123"/>
      <c r="M124" s="125"/>
      <c r="N124" s="131"/>
      <c r="O124" s="118"/>
      <c r="P124" s="62"/>
      <c r="Q124" s="62"/>
      <c r="R124" s="62"/>
      <c r="S124" s="62"/>
      <c r="T124" s="62"/>
      <c r="U124" s="103"/>
      <c r="V124" s="103"/>
    </row>
    <row r="125" spans="1:22" s="70" customFormat="1" ht="14.25" x14ac:dyDescent="0.2">
      <c r="A125" s="60"/>
      <c r="B125" s="165" t="s">
        <v>74</v>
      </c>
      <c r="C125" s="152"/>
      <c r="D125" s="153"/>
      <c r="E125" s="122"/>
      <c r="F125" s="122"/>
      <c r="G125" s="122"/>
      <c r="H125" s="123"/>
      <c r="I125" s="135"/>
      <c r="J125" s="123"/>
      <c r="K125" s="124"/>
      <c r="L125" s="123"/>
      <c r="M125" s="125"/>
      <c r="N125" s="131"/>
      <c r="O125" s="118"/>
      <c r="P125" s="62"/>
      <c r="Q125" s="62"/>
      <c r="R125" s="62"/>
      <c r="S125" s="62"/>
      <c r="T125" s="62"/>
      <c r="U125" s="103"/>
      <c r="V125" s="103"/>
    </row>
    <row r="126" spans="1:22" s="70" customFormat="1" ht="14.25" x14ac:dyDescent="0.2">
      <c r="A126" s="60"/>
      <c r="B126" s="146" t="s">
        <v>253</v>
      </c>
      <c r="C126" s="61">
        <f>'Gib Linings_25_8'!T199</f>
        <v>2300</v>
      </c>
      <c r="D126" s="72" t="s">
        <v>45</v>
      </c>
      <c r="E126" s="122">
        <v>0.2</v>
      </c>
      <c r="F126" s="122">
        <f>C126*E126</f>
        <v>460</v>
      </c>
      <c r="G126" s="122">
        <f>$H$11*E126</f>
        <v>7.2</v>
      </c>
      <c r="H126" s="123">
        <f>F126*$H$11</f>
        <v>16560</v>
      </c>
      <c r="I126" s="393">
        <v>0.85</v>
      </c>
      <c r="J126" s="123">
        <f>C126*I126</f>
        <v>1955</v>
      </c>
      <c r="K126" s="124">
        <f>SUM(H126,J126)</f>
        <v>18515</v>
      </c>
      <c r="L126" s="123">
        <f>K126/C126</f>
        <v>8.0500000000000007</v>
      </c>
      <c r="M126" s="125">
        <f>C126*L126</f>
        <v>18515</v>
      </c>
      <c r="N126" s="131">
        <v>0</v>
      </c>
      <c r="O126" s="118">
        <f>M126*N126</f>
        <v>0</v>
      </c>
      <c r="P126" s="62"/>
      <c r="Q126" s="62"/>
      <c r="R126" s="62"/>
      <c r="S126" s="62"/>
      <c r="T126" s="62"/>
      <c r="U126" s="103"/>
      <c r="V126" s="103"/>
    </row>
    <row r="127" spans="1:22" s="70" customFormat="1" ht="14.25" x14ac:dyDescent="0.2">
      <c r="A127" s="60"/>
      <c r="B127" s="1" t="s">
        <v>257</v>
      </c>
      <c r="C127" s="61">
        <v>209</v>
      </c>
      <c r="D127" s="72" t="s">
        <v>46</v>
      </c>
      <c r="E127" s="390">
        <v>0.19</v>
      </c>
      <c r="F127" s="122">
        <f>C127*E127</f>
        <v>39.71</v>
      </c>
      <c r="G127" s="122">
        <f>$H$11*E127</f>
        <v>6.84</v>
      </c>
      <c r="H127" s="123">
        <f>F127*$H$11</f>
        <v>1429.56</v>
      </c>
      <c r="I127" s="393">
        <v>2.02</v>
      </c>
      <c r="J127" s="123">
        <f>C127*I127</f>
        <v>422.18</v>
      </c>
      <c r="K127" s="124">
        <f>SUM(H127,J127)</f>
        <v>1851.74</v>
      </c>
      <c r="L127" s="123">
        <f>K127/C127</f>
        <v>8.86</v>
      </c>
      <c r="M127" s="125">
        <f>C127*L127</f>
        <v>1851.7399999999998</v>
      </c>
      <c r="N127" s="131">
        <v>0</v>
      </c>
      <c r="O127" s="118">
        <f>M127*N127</f>
        <v>0</v>
      </c>
      <c r="P127" s="62"/>
      <c r="Q127" s="62"/>
      <c r="R127" s="62"/>
      <c r="S127" s="62"/>
      <c r="T127" s="62"/>
      <c r="U127" s="103"/>
      <c r="V127" s="103"/>
    </row>
    <row r="128" spans="1:22" s="70" customFormat="1" ht="14.25" x14ac:dyDescent="0.2">
      <c r="A128" s="60"/>
      <c r="B128" s="151" t="s">
        <v>259</v>
      </c>
      <c r="C128" s="152">
        <v>182</v>
      </c>
      <c r="D128" s="153" t="s">
        <v>46</v>
      </c>
      <c r="E128" s="122">
        <v>0.2</v>
      </c>
      <c r="F128" s="122">
        <f>C128*E128</f>
        <v>36.4</v>
      </c>
      <c r="G128" s="122">
        <f>$H$11*E128</f>
        <v>7.2</v>
      </c>
      <c r="H128" s="123">
        <f>F128*$H$11</f>
        <v>1310.3999999999999</v>
      </c>
      <c r="I128" s="135">
        <v>6</v>
      </c>
      <c r="J128" s="123">
        <f>C128*I128</f>
        <v>1092</v>
      </c>
      <c r="K128" s="124">
        <f>SUM(H128,J128)</f>
        <v>2402.3999999999996</v>
      </c>
      <c r="L128" s="123">
        <f>K128/C128</f>
        <v>13.199999999999998</v>
      </c>
      <c r="M128" s="125">
        <f>C128*L128</f>
        <v>2402.3999999999996</v>
      </c>
      <c r="N128" s="131">
        <v>0</v>
      </c>
      <c r="O128" s="118">
        <f>M128*N128</f>
        <v>0</v>
      </c>
      <c r="P128" s="62"/>
      <c r="Q128" s="62"/>
      <c r="R128" s="62"/>
      <c r="S128" s="62"/>
      <c r="T128" s="62"/>
      <c r="U128" s="103"/>
      <c r="V128" s="103"/>
    </row>
    <row r="129" spans="1:23" s="70" customFormat="1" ht="14.25" x14ac:dyDescent="0.2">
      <c r="A129" s="60"/>
      <c r="B129" s="151" t="s">
        <v>258</v>
      </c>
      <c r="C129" s="152">
        <v>54</v>
      </c>
      <c r="D129" s="153" t="s">
        <v>46</v>
      </c>
      <c r="E129" s="122">
        <v>0.4</v>
      </c>
      <c r="F129" s="122">
        <f>C129*E129</f>
        <v>21.6</v>
      </c>
      <c r="G129" s="122">
        <f>$H$11*E129</f>
        <v>14.4</v>
      </c>
      <c r="H129" s="123">
        <f>F129*$H$11</f>
        <v>777.6</v>
      </c>
      <c r="I129" s="135">
        <v>30</v>
      </c>
      <c r="J129" s="123">
        <f>C129*I129</f>
        <v>1620</v>
      </c>
      <c r="K129" s="124">
        <f>SUM(H129,J129)</f>
        <v>2397.6</v>
      </c>
      <c r="L129" s="123">
        <f>K129/C129</f>
        <v>44.4</v>
      </c>
      <c r="M129" s="125">
        <f>C129*L129</f>
        <v>2397.6</v>
      </c>
      <c r="N129" s="131">
        <v>0</v>
      </c>
      <c r="O129" s="118">
        <f>M129*N129</f>
        <v>0</v>
      </c>
      <c r="P129" s="62"/>
      <c r="Q129" s="62"/>
      <c r="R129" s="62"/>
      <c r="S129" s="62"/>
      <c r="T129" s="62"/>
      <c r="U129" s="103">
        <v>31</v>
      </c>
      <c r="V129" s="103">
        <v>23</v>
      </c>
      <c r="W129" s="103">
        <f>SUM(U129:V129)</f>
        <v>54</v>
      </c>
    </row>
    <row r="130" spans="1:23" s="70" customFormat="1" ht="14.25" x14ac:dyDescent="0.2">
      <c r="A130" s="60"/>
      <c r="B130" s="151"/>
      <c r="C130" s="152"/>
      <c r="D130" s="153"/>
      <c r="E130" s="122"/>
      <c r="F130" s="122"/>
      <c r="G130" s="122"/>
      <c r="H130" s="123"/>
      <c r="I130" s="135"/>
      <c r="J130" s="123"/>
      <c r="K130" s="124"/>
      <c r="L130" s="123"/>
      <c r="M130" s="125"/>
      <c r="N130" s="131"/>
      <c r="O130" s="118"/>
      <c r="P130" s="452">
        <f>SUM(M125:M129)</f>
        <v>25166.739999999998</v>
      </c>
      <c r="Q130" s="450">
        <f>P130*SUM($L$202:$L$206)</f>
        <v>2390.8402999999998</v>
      </c>
      <c r="R130" s="266"/>
      <c r="S130" s="266"/>
      <c r="T130" s="62"/>
      <c r="U130" s="103"/>
      <c r="V130" s="103"/>
    </row>
    <row r="131" spans="1:23" s="70" customFormat="1" ht="14.25" x14ac:dyDescent="0.2">
      <c r="A131" s="60"/>
      <c r="B131" s="151"/>
      <c r="C131" s="152"/>
      <c r="D131" s="153"/>
      <c r="E131" s="122"/>
      <c r="F131" s="122"/>
      <c r="G131" s="122"/>
      <c r="H131" s="123"/>
      <c r="I131" s="135"/>
      <c r="J131" s="123"/>
      <c r="K131" s="124"/>
      <c r="L131" s="123"/>
      <c r="M131" s="125"/>
      <c r="N131" s="131"/>
      <c r="O131" s="118"/>
      <c r="P131" s="451">
        <f>P130/$M$199</f>
        <v>0.15261357464076739</v>
      </c>
      <c r="Q131" s="452">
        <f>P131*$M$210</f>
        <v>1196.13521708864</v>
      </c>
      <c r="R131" s="452">
        <f>SUM(P130,Q130,Q131)</f>
        <v>28753.715517088636</v>
      </c>
      <c r="S131" s="452">
        <f>R131*1.08</f>
        <v>31054.01275845573</v>
      </c>
      <c r="T131" s="62"/>
      <c r="U131" s="103"/>
      <c r="V131" s="103"/>
    </row>
    <row r="132" spans="1:23" s="70" customFormat="1" ht="14.25" x14ac:dyDescent="0.2">
      <c r="A132" s="60"/>
      <c r="B132" s="151"/>
      <c r="C132" s="152"/>
      <c r="D132" s="153"/>
      <c r="E132" s="122"/>
      <c r="F132" s="122"/>
      <c r="G132" s="122"/>
      <c r="H132" s="123"/>
      <c r="I132" s="135"/>
      <c r="J132" s="123"/>
      <c r="K132" s="124"/>
      <c r="L132" s="123"/>
      <c r="M132" s="125"/>
      <c r="N132" s="131"/>
      <c r="O132" s="118"/>
      <c r="P132" s="62"/>
      <c r="Q132" s="62"/>
      <c r="R132" s="62"/>
      <c r="S132" s="62"/>
      <c r="T132" s="62"/>
      <c r="U132" s="103"/>
      <c r="V132" s="103"/>
    </row>
    <row r="133" spans="1:23" s="70" customFormat="1" ht="15" x14ac:dyDescent="0.2">
      <c r="A133" s="60"/>
      <c r="B133" s="169" t="s">
        <v>67</v>
      </c>
      <c r="C133" s="152"/>
      <c r="D133" s="153"/>
      <c r="E133" s="122"/>
      <c r="F133" s="122"/>
      <c r="G133" s="122"/>
      <c r="H133" s="123"/>
      <c r="I133" s="135"/>
      <c r="J133" s="123"/>
      <c r="K133" s="124"/>
      <c r="L133" s="123"/>
      <c r="M133" s="125"/>
      <c r="N133" s="131"/>
      <c r="O133" s="118"/>
      <c r="P133" s="62"/>
      <c r="Q133" s="62"/>
      <c r="R133" s="62"/>
      <c r="S133" s="62"/>
      <c r="T133" s="62"/>
      <c r="U133" s="103"/>
      <c r="V133" s="103"/>
    </row>
    <row r="134" spans="1:23" s="70" customFormat="1" ht="14.25" x14ac:dyDescent="0.2">
      <c r="A134" s="60"/>
      <c r="B134" s="165" t="s">
        <v>74</v>
      </c>
      <c r="C134" s="152"/>
      <c r="D134" s="153"/>
      <c r="E134" s="122"/>
      <c r="F134" s="122"/>
      <c r="G134" s="122"/>
      <c r="H134" s="123"/>
      <c r="I134" s="135"/>
      <c r="J134" s="123"/>
      <c r="K134" s="124"/>
      <c r="L134" s="123"/>
      <c r="M134" s="125"/>
      <c r="N134" s="131"/>
      <c r="O134" s="118"/>
      <c r="P134" s="62"/>
      <c r="Q134" s="62"/>
      <c r="R134" s="62"/>
      <c r="S134" s="62"/>
      <c r="T134" s="62"/>
      <c r="U134" s="103"/>
      <c r="V134" s="103"/>
    </row>
    <row r="135" spans="1:23" s="70" customFormat="1" ht="14.25" x14ac:dyDescent="0.2">
      <c r="A135" s="60"/>
      <c r="B135" s="146" t="s">
        <v>253</v>
      </c>
      <c r="C135" s="61">
        <f>'Gib Linings_25_8'!T248</f>
        <v>1071</v>
      </c>
      <c r="D135" s="72" t="s">
        <v>45</v>
      </c>
      <c r="E135" s="122">
        <v>0.2</v>
      </c>
      <c r="F135" s="122">
        <f>C135*E135</f>
        <v>214.20000000000002</v>
      </c>
      <c r="G135" s="122">
        <f>$H$11*E135</f>
        <v>7.2</v>
      </c>
      <c r="H135" s="123">
        <f>F135*$H$11</f>
        <v>7711.2000000000007</v>
      </c>
      <c r="I135" s="393">
        <v>0.85</v>
      </c>
      <c r="J135" s="123">
        <f>C135*I135</f>
        <v>910.35</v>
      </c>
      <c r="K135" s="124">
        <f>SUM(H135,J135)</f>
        <v>8621.5500000000011</v>
      </c>
      <c r="L135" s="123">
        <f>K135/C135</f>
        <v>8.0500000000000007</v>
      </c>
      <c r="M135" s="125">
        <f>C135*L135</f>
        <v>8621.5500000000011</v>
      </c>
      <c r="N135" s="131">
        <v>0</v>
      </c>
      <c r="O135" s="118">
        <f>M135*N135</f>
        <v>0</v>
      </c>
      <c r="P135" s="62"/>
      <c r="Q135" s="62"/>
      <c r="R135" s="62"/>
      <c r="S135" s="62"/>
      <c r="T135" s="62"/>
      <c r="U135" s="103"/>
      <c r="V135" s="103"/>
    </row>
    <row r="136" spans="1:23" s="70" customFormat="1" ht="14.25" x14ac:dyDescent="0.2">
      <c r="A136" s="60"/>
      <c r="B136" s="1" t="s">
        <v>257</v>
      </c>
      <c r="C136" s="61">
        <v>167</v>
      </c>
      <c r="D136" s="72" t="s">
        <v>46</v>
      </c>
      <c r="E136" s="390">
        <v>0.19</v>
      </c>
      <c r="F136" s="122">
        <f>C136*E136</f>
        <v>31.73</v>
      </c>
      <c r="G136" s="122">
        <f>$H$11*E136</f>
        <v>6.84</v>
      </c>
      <c r="H136" s="123">
        <f>F136*$H$11</f>
        <v>1142.28</v>
      </c>
      <c r="I136" s="393">
        <v>2.02</v>
      </c>
      <c r="J136" s="123">
        <f>C136*I136</f>
        <v>337.34</v>
      </c>
      <c r="K136" s="124">
        <f>SUM(H136,J136)</f>
        <v>1479.62</v>
      </c>
      <c r="L136" s="123">
        <f>K136/C136</f>
        <v>8.86</v>
      </c>
      <c r="M136" s="125">
        <f>C136*L136</f>
        <v>1479.62</v>
      </c>
      <c r="N136" s="131">
        <v>0</v>
      </c>
      <c r="O136" s="118">
        <f>M136*N136</f>
        <v>0</v>
      </c>
      <c r="P136" s="62"/>
      <c r="Q136" s="62"/>
      <c r="R136" s="62"/>
      <c r="S136" s="62"/>
      <c r="T136" s="62"/>
      <c r="U136" s="103"/>
      <c r="V136" s="103"/>
    </row>
    <row r="137" spans="1:23" s="70" customFormat="1" ht="14.25" x14ac:dyDescent="0.2">
      <c r="A137" s="60"/>
      <c r="B137" s="151" t="s">
        <v>259</v>
      </c>
      <c r="C137" s="152">
        <v>102</v>
      </c>
      <c r="D137" s="153" t="s">
        <v>46</v>
      </c>
      <c r="E137" s="122">
        <v>0.2</v>
      </c>
      <c r="F137" s="122">
        <f>C137*E137</f>
        <v>20.400000000000002</v>
      </c>
      <c r="G137" s="122">
        <f>$H$11*E137</f>
        <v>7.2</v>
      </c>
      <c r="H137" s="123">
        <f>F137*$H$11</f>
        <v>734.40000000000009</v>
      </c>
      <c r="I137" s="135">
        <v>6</v>
      </c>
      <c r="J137" s="123">
        <f>C137*I137</f>
        <v>612</v>
      </c>
      <c r="K137" s="124">
        <f>SUM(H137,J137)</f>
        <v>1346.4</v>
      </c>
      <c r="L137" s="123">
        <f>K137/C137</f>
        <v>13.200000000000001</v>
      </c>
      <c r="M137" s="125">
        <f>C137*L137</f>
        <v>1346.4</v>
      </c>
      <c r="N137" s="131">
        <v>0</v>
      </c>
      <c r="O137" s="118">
        <f>M137*N137</f>
        <v>0</v>
      </c>
      <c r="P137" s="62"/>
      <c r="Q137" s="62"/>
      <c r="R137" s="62"/>
      <c r="S137" s="62"/>
      <c r="T137" s="62"/>
      <c r="U137" s="103"/>
      <c r="V137" s="103"/>
    </row>
    <row r="138" spans="1:23" s="70" customFormat="1" ht="14.25" x14ac:dyDescent="0.2">
      <c r="A138" s="60"/>
      <c r="B138" s="151" t="s">
        <v>258</v>
      </c>
      <c r="C138" s="152">
        <v>67</v>
      </c>
      <c r="D138" s="153" t="s">
        <v>46</v>
      </c>
      <c r="E138" s="122">
        <v>0.4</v>
      </c>
      <c r="F138" s="122">
        <f>C138*E138</f>
        <v>26.8</v>
      </c>
      <c r="G138" s="122">
        <f>$H$11*E138</f>
        <v>14.4</v>
      </c>
      <c r="H138" s="123">
        <f>F138*$H$11</f>
        <v>964.80000000000007</v>
      </c>
      <c r="I138" s="135">
        <v>30</v>
      </c>
      <c r="J138" s="123">
        <f>C138*I138</f>
        <v>2010</v>
      </c>
      <c r="K138" s="124">
        <f>SUM(H138,J138)</f>
        <v>2974.8</v>
      </c>
      <c r="L138" s="123">
        <f>K138/C138</f>
        <v>44.400000000000006</v>
      </c>
      <c r="M138" s="125">
        <f>C138*L138</f>
        <v>2974.8</v>
      </c>
      <c r="N138" s="131">
        <v>0</v>
      </c>
      <c r="O138" s="118">
        <f>M138*N138</f>
        <v>0</v>
      </c>
      <c r="P138" s="62"/>
      <c r="Q138" s="62"/>
      <c r="R138" s="62"/>
      <c r="S138" s="62"/>
      <c r="T138" s="62"/>
      <c r="U138" s="103">
        <v>44</v>
      </c>
      <c r="V138" s="103">
        <v>23</v>
      </c>
      <c r="W138" s="103">
        <f>SUM(U138:V138)</f>
        <v>67</v>
      </c>
    </row>
    <row r="139" spans="1:23" s="70" customFormat="1" ht="14.25" x14ac:dyDescent="0.2">
      <c r="A139" s="60"/>
      <c r="B139" s="151"/>
      <c r="C139" s="152"/>
      <c r="D139" s="153"/>
      <c r="E139" s="122"/>
      <c r="F139" s="122"/>
      <c r="G139" s="122"/>
      <c r="H139" s="123"/>
      <c r="I139" s="135"/>
      <c r="J139" s="123"/>
      <c r="K139" s="124"/>
      <c r="L139" s="123"/>
      <c r="M139" s="125"/>
      <c r="N139" s="131"/>
      <c r="O139" s="118"/>
      <c r="P139" s="452">
        <f>SUM(M134:M138)</f>
        <v>14422.370000000003</v>
      </c>
      <c r="Q139" s="450">
        <f>P139*SUM($L$202:$L$206)</f>
        <v>1370.1251500000003</v>
      </c>
      <c r="R139" s="266"/>
      <c r="S139" s="266"/>
      <c r="T139" s="62"/>
      <c r="U139" s="103"/>
      <c r="V139" s="103"/>
    </row>
    <row r="140" spans="1:23" s="70" customFormat="1" ht="14.25" x14ac:dyDescent="0.2">
      <c r="A140" s="60"/>
      <c r="B140" s="151"/>
      <c r="C140" s="152"/>
      <c r="D140" s="153"/>
      <c r="E140" s="122"/>
      <c r="F140" s="122"/>
      <c r="G140" s="122"/>
      <c r="H140" s="123"/>
      <c r="I140" s="135"/>
      <c r="J140" s="123"/>
      <c r="K140" s="124"/>
      <c r="L140" s="123"/>
      <c r="M140" s="125"/>
      <c r="N140" s="131"/>
      <c r="O140" s="118"/>
      <c r="P140" s="451">
        <f>P139/$M$199</f>
        <v>8.7458663318799534E-2</v>
      </c>
      <c r="Q140" s="452">
        <f>P140*$M$210</f>
        <v>685.47236038051392</v>
      </c>
      <c r="R140" s="452">
        <f>SUM(P139,Q139,Q140)</f>
        <v>16477.967510380517</v>
      </c>
      <c r="S140" s="452">
        <f>R140*1.08</f>
        <v>17796.20491121096</v>
      </c>
      <c r="T140" s="62"/>
      <c r="U140" s="103"/>
      <c r="V140" s="103"/>
    </row>
    <row r="141" spans="1:23" s="70" customFormat="1" ht="14.25" x14ac:dyDescent="0.2">
      <c r="A141" s="60"/>
      <c r="B141" s="151"/>
      <c r="C141" s="152"/>
      <c r="D141" s="153"/>
      <c r="E141" s="122"/>
      <c r="F141" s="122"/>
      <c r="G141" s="122"/>
      <c r="H141" s="123"/>
      <c r="I141" s="135"/>
      <c r="J141" s="123"/>
      <c r="K141" s="124"/>
      <c r="L141" s="123"/>
      <c r="M141" s="125"/>
      <c r="N141" s="131"/>
      <c r="O141" s="118"/>
      <c r="P141" s="62"/>
      <c r="Q141" s="62"/>
      <c r="R141" s="62"/>
      <c r="S141" s="62"/>
      <c r="T141" s="62"/>
      <c r="U141" s="103"/>
      <c r="V141" s="103"/>
    </row>
    <row r="142" spans="1:23" s="70" customFormat="1" ht="15" x14ac:dyDescent="0.2">
      <c r="A142" s="60"/>
      <c r="B142" s="169" t="s">
        <v>68</v>
      </c>
      <c r="C142" s="152"/>
      <c r="D142" s="153"/>
      <c r="E142" s="122"/>
      <c r="F142" s="122"/>
      <c r="G142" s="122"/>
      <c r="H142" s="123"/>
      <c r="I142" s="135"/>
      <c r="J142" s="123"/>
      <c r="K142" s="124"/>
      <c r="L142" s="123"/>
      <c r="M142" s="125"/>
      <c r="N142" s="131"/>
      <c r="O142" s="118"/>
      <c r="P142" s="62"/>
      <c r="Q142" s="62"/>
      <c r="R142" s="62"/>
      <c r="S142" s="62"/>
      <c r="T142" s="62"/>
      <c r="U142" s="103"/>
      <c r="V142" s="103"/>
    </row>
    <row r="143" spans="1:23" s="70" customFormat="1" ht="14.25" x14ac:dyDescent="0.2">
      <c r="A143" s="60"/>
      <c r="B143" s="165" t="s">
        <v>74</v>
      </c>
      <c r="C143" s="152"/>
      <c r="D143" s="153"/>
      <c r="E143" s="122"/>
      <c r="F143" s="122"/>
      <c r="G143" s="122"/>
      <c r="H143" s="123"/>
      <c r="I143" s="135"/>
      <c r="J143" s="123"/>
      <c r="K143" s="124"/>
      <c r="L143" s="123"/>
      <c r="M143" s="125"/>
      <c r="N143" s="131"/>
      <c r="O143" s="118"/>
      <c r="P143" s="62"/>
      <c r="Q143" s="62"/>
      <c r="R143" s="62"/>
      <c r="S143" s="62"/>
      <c r="T143" s="62"/>
      <c r="U143" s="103"/>
      <c r="V143" s="103"/>
    </row>
    <row r="144" spans="1:23" s="70" customFormat="1" ht="14.25" x14ac:dyDescent="0.2">
      <c r="A144" s="60"/>
      <c r="B144" s="146" t="s">
        <v>253</v>
      </c>
      <c r="C144" s="61">
        <f>'Gib Linings_25_8'!T315</f>
        <v>1306</v>
      </c>
      <c r="D144" s="72" t="s">
        <v>45</v>
      </c>
      <c r="E144" s="122">
        <v>0.2</v>
      </c>
      <c r="F144" s="122">
        <f>C144*E144</f>
        <v>261.2</v>
      </c>
      <c r="G144" s="122">
        <f>$H$11*E144</f>
        <v>7.2</v>
      </c>
      <c r="H144" s="123">
        <f>F144*$H$11</f>
        <v>9403.1999999999989</v>
      </c>
      <c r="I144" s="393">
        <v>0.85</v>
      </c>
      <c r="J144" s="123">
        <f>C144*I144</f>
        <v>1110.0999999999999</v>
      </c>
      <c r="K144" s="124">
        <f>SUM(H144,J144)</f>
        <v>10513.3</v>
      </c>
      <c r="L144" s="123">
        <f>K144/C144</f>
        <v>8.0499999999999989</v>
      </c>
      <c r="M144" s="125">
        <f>C144*L144</f>
        <v>10513.3</v>
      </c>
      <c r="N144" s="131">
        <v>0</v>
      </c>
      <c r="O144" s="118">
        <f>M144*N144</f>
        <v>0</v>
      </c>
      <c r="P144" s="62"/>
      <c r="Q144" s="62"/>
      <c r="R144" s="62"/>
      <c r="S144" s="62"/>
      <c r="T144" s="62"/>
      <c r="U144" s="103"/>
      <c r="V144" s="103"/>
    </row>
    <row r="145" spans="1:23" s="70" customFormat="1" ht="14.25" x14ac:dyDescent="0.2">
      <c r="A145" s="60"/>
      <c r="B145" s="1" t="s">
        <v>257</v>
      </c>
      <c r="C145" s="61">
        <v>332</v>
      </c>
      <c r="D145" s="72" t="s">
        <v>46</v>
      </c>
      <c r="E145" s="390">
        <v>0.19</v>
      </c>
      <c r="F145" s="122">
        <f>C145*E145</f>
        <v>63.08</v>
      </c>
      <c r="G145" s="122">
        <f>$H$11*E145</f>
        <v>6.84</v>
      </c>
      <c r="H145" s="123">
        <f>F145*$H$11</f>
        <v>2270.88</v>
      </c>
      <c r="I145" s="393">
        <v>2.02</v>
      </c>
      <c r="J145" s="123">
        <f>C145*I145</f>
        <v>670.64</v>
      </c>
      <c r="K145" s="124">
        <f>SUM(H145,J145)</f>
        <v>2941.52</v>
      </c>
      <c r="L145" s="123">
        <f>K145/C145</f>
        <v>8.86</v>
      </c>
      <c r="M145" s="125">
        <f>C145*L145</f>
        <v>2941.52</v>
      </c>
      <c r="N145" s="131">
        <v>0</v>
      </c>
      <c r="O145" s="118">
        <f>M145*N145</f>
        <v>0</v>
      </c>
      <c r="P145" s="62"/>
      <c r="Q145" s="62"/>
      <c r="R145" s="62"/>
      <c r="S145" s="62"/>
      <c r="T145" s="62"/>
      <c r="U145" s="103"/>
      <c r="V145" s="103"/>
    </row>
    <row r="146" spans="1:23" s="70" customFormat="1" ht="14.25" x14ac:dyDescent="0.2">
      <c r="A146" s="60"/>
      <c r="B146" s="151" t="s">
        <v>259</v>
      </c>
      <c r="C146" s="152">
        <v>82</v>
      </c>
      <c r="D146" s="153" t="s">
        <v>46</v>
      </c>
      <c r="E146" s="122">
        <v>0.2</v>
      </c>
      <c r="F146" s="122">
        <f>C146*E146</f>
        <v>16.400000000000002</v>
      </c>
      <c r="G146" s="122">
        <f>$H$11*E146</f>
        <v>7.2</v>
      </c>
      <c r="H146" s="123">
        <f>F146*$H$11</f>
        <v>590.40000000000009</v>
      </c>
      <c r="I146" s="135">
        <v>6</v>
      </c>
      <c r="J146" s="123">
        <f>C146*I146</f>
        <v>492</v>
      </c>
      <c r="K146" s="124">
        <f>SUM(H146,J146)</f>
        <v>1082.4000000000001</v>
      </c>
      <c r="L146" s="123">
        <f>K146/C146</f>
        <v>13.200000000000001</v>
      </c>
      <c r="M146" s="125">
        <f>C146*L146</f>
        <v>1082.4000000000001</v>
      </c>
      <c r="N146" s="131">
        <v>0</v>
      </c>
      <c r="O146" s="118">
        <f>M146*N146</f>
        <v>0</v>
      </c>
      <c r="P146" s="62"/>
      <c r="Q146" s="62"/>
      <c r="R146" s="62"/>
      <c r="S146" s="62"/>
      <c r="T146" s="62"/>
      <c r="U146" s="103"/>
      <c r="V146" s="103"/>
    </row>
    <row r="147" spans="1:23" s="70" customFormat="1" ht="14.25" x14ac:dyDescent="0.2">
      <c r="A147" s="60"/>
      <c r="B147" s="151" t="s">
        <v>258</v>
      </c>
      <c r="C147" s="152">
        <v>93</v>
      </c>
      <c r="D147" s="153" t="s">
        <v>46</v>
      </c>
      <c r="E147" s="122">
        <v>0.4</v>
      </c>
      <c r="F147" s="122">
        <f>C147*E147</f>
        <v>37.200000000000003</v>
      </c>
      <c r="G147" s="122">
        <f>$H$11*E147</f>
        <v>14.4</v>
      </c>
      <c r="H147" s="123">
        <f>F147*$H$11</f>
        <v>1339.2</v>
      </c>
      <c r="I147" s="135">
        <v>30</v>
      </c>
      <c r="J147" s="123">
        <f>C147*I147</f>
        <v>2790</v>
      </c>
      <c r="K147" s="124">
        <f>SUM(H147,J147)</f>
        <v>4129.2</v>
      </c>
      <c r="L147" s="123">
        <f>K147/C147</f>
        <v>44.4</v>
      </c>
      <c r="M147" s="125">
        <f>C147*L147</f>
        <v>4129.2</v>
      </c>
      <c r="N147" s="131">
        <v>0</v>
      </c>
      <c r="O147" s="118">
        <f>M147*N147</f>
        <v>0</v>
      </c>
      <c r="P147" s="62"/>
      <c r="Q147" s="62"/>
      <c r="R147" s="62"/>
      <c r="S147" s="62"/>
      <c r="T147" s="62"/>
      <c r="U147" s="103">
        <v>38</v>
      </c>
      <c r="V147" s="103">
        <v>55</v>
      </c>
      <c r="W147" s="103">
        <f>SUM(U147:V147)</f>
        <v>93</v>
      </c>
    </row>
    <row r="148" spans="1:23" s="70" customFormat="1" ht="14.25" x14ac:dyDescent="0.2">
      <c r="A148" s="60"/>
      <c r="B148" s="151"/>
      <c r="C148" s="152"/>
      <c r="D148" s="153"/>
      <c r="E148" s="122"/>
      <c r="F148" s="122"/>
      <c r="G148" s="122"/>
      <c r="H148" s="123"/>
      <c r="I148" s="135"/>
      <c r="J148" s="123"/>
      <c r="K148" s="124"/>
      <c r="L148" s="123"/>
      <c r="M148" s="125"/>
      <c r="N148" s="131"/>
      <c r="O148" s="118"/>
      <c r="P148" s="452">
        <f>SUM(M143:M147)</f>
        <v>18666.419999999998</v>
      </c>
      <c r="Q148" s="450">
        <f>P148*SUM($L$202:$L$206)</f>
        <v>1773.3098999999997</v>
      </c>
      <c r="R148" s="266"/>
      <c r="S148" s="266"/>
      <c r="T148" s="62"/>
      <c r="U148" s="103"/>
      <c r="V148" s="103"/>
    </row>
    <row r="149" spans="1:23" s="70" customFormat="1" ht="14.25" x14ac:dyDescent="0.2">
      <c r="A149" s="60"/>
      <c r="B149" s="151"/>
      <c r="C149" s="152"/>
      <c r="D149" s="153"/>
      <c r="E149" s="122"/>
      <c r="F149" s="122"/>
      <c r="G149" s="122"/>
      <c r="H149" s="123"/>
      <c r="I149" s="135"/>
      <c r="J149" s="123"/>
      <c r="K149" s="124"/>
      <c r="L149" s="123"/>
      <c r="M149" s="125"/>
      <c r="N149" s="131"/>
      <c r="O149" s="118"/>
      <c r="P149" s="451">
        <f>P148/$M$199</f>
        <v>0.11319499791971122</v>
      </c>
      <c r="Q149" s="452">
        <f>P149*$M$210</f>
        <v>887.18532233287794</v>
      </c>
      <c r="R149" s="452">
        <f>SUM(P148,Q148,Q149)</f>
        <v>21326.915222332875</v>
      </c>
      <c r="S149" s="452">
        <f>R149*1.08</f>
        <v>23033.068440119507</v>
      </c>
      <c r="T149" s="62"/>
      <c r="U149" s="103"/>
      <c r="V149" s="103"/>
    </row>
    <row r="150" spans="1:23" s="70" customFormat="1" ht="14.25" x14ac:dyDescent="0.2">
      <c r="A150" s="60"/>
      <c r="B150" s="151"/>
      <c r="C150" s="152"/>
      <c r="D150" s="153"/>
      <c r="E150" s="122"/>
      <c r="F150" s="122"/>
      <c r="G150" s="122"/>
      <c r="H150" s="123"/>
      <c r="I150" s="135"/>
      <c r="J150" s="123"/>
      <c r="K150" s="124"/>
      <c r="L150" s="123"/>
      <c r="M150" s="125"/>
      <c r="N150" s="131"/>
      <c r="O150" s="118"/>
      <c r="P150" s="62"/>
      <c r="Q150" s="62"/>
      <c r="R150" s="62"/>
      <c r="S150" s="62"/>
      <c r="T150" s="62"/>
      <c r="U150" s="103"/>
      <c r="V150" s="103"/>
    </row>
    <row r="151" spans="1:23" s="70" customFormat="1" ht="15" x14ac:dyDescent="0.2">
      <c r="A151" s="60"/>
      <c r="B151" s="169" t="s">
        <v>69</v>
      </c>
      <c r="C151" s="152"/>
      <c r="D151" s="153"/>
      <c r="E151" s="122"/>
      <c r="F151" s="122"/>
      <c r="G151" s="122"/>
      <c r="H151" s="123"/>
      <c r="I151" s="135"/>
      <c r="J151" s="123"/>
      <c r="K151" s="124"/>
      <c r="L151" s="123"/>
      <c r="M151" s="125"/>
      <c r="N151" s="131"/>
      <c r="O151" s="118"/>
      <c r="P151" s="62"/>
      <c r="Q151" s="62"/>
      <c r="R151" s="62"/>
      <c r="S151" s="62"/>
      <c r="T151" s="62"/>
      <c r="U151" s="103"/>
      <c r="V151" s="103"/>
    </row>
    <row r="152" spans="1:23" s="70" customFormat="1" ht="14.25" x14ac:dyDescent="0.2">
      <c r="A152" s="60"/>
      <c r="B152" s="165" t="s">
        <v>74</v>
      </c>
      <c r="C152" s="152"/>
      <c r="D152" s="153"/>
      <c r="E152" s="122"/>
      <c r="F152" s="122"/>
      <c r="G152" s="122"/>
      <c r="H152" s="123"/>
      <c r="I152" s="135"/>
      <c r="J152" s="123"/>
      <c r="K152" s="124"/>
      <c r="L152" s="123"/>
      <c r="M152" s="125"/>
      <c r="N152" s="131"/>
      <c r="O152" s="118"/>
      <c r="P152" s="62"/>
      <c r="Q152" s="62"/>
      <c r="R152" s="62"/>
      <c r="S152" s="62"/>
      <c r="T152" s="62"/>
      <c r="U152" s="103"/>
      <c r="V152" s="103"/>
    </row>
    <row r="153" spans="1:23" s="70" customFormat="1" ht="14.25" x14ac:dyDescent="0.2">
      <c r="A153" s="60"/>
      <c r="B153" s="146" t="s">
        <v>253</v>
      </c>
      <c r="C153" s="61">
        <f>'Gib Linings_25_8'!T378</f>
        <v>1080</v>
      </c>
      <c r="D153" s="72" t="s">
        <v>45</v>
      </c>
      <c r="E153" s="122">
        <v>0.2</v>
      </c>
      <c r="F153" s="122">
        <f>C153*E153</f>
        <v>216</v>
      </c>
      <c r="G153" s="122">
        <f>$H$11*E153</f>
        <v>7.2</v>
      </c>
      <c r="H153" s="123">
        <f>F153*$H$11</f>
        <v>7776</v>
      </c>
      <c r="I153" s="393">
        <v>0.85</v>
      </c>
      <c r="J153" s="123">
        <f>C153*I153</f>
        <v>918</v>
      </c>
      <c r="K153" s="124">
        <f>SUM(H153,J153)</f>
        <v>8694</v>
      </c>
      <c r="L153" s="123">
        <f>K153/C153</f>
        <v>8.0500000000000007</v>
      </c>
      <c r="M153" s="125">
        <f>C153*L153</f>
        <v>8694</v>
      </c>
      <c r="N153" s="131">
        <v>0</v>
      </c>
      <c r="O153" s="118">
        <f>M153*N153</f>
        <v>0</v>
      </c>
      <c r="P153" s="62"/>
      <c r="Q153" s="62"/>
      <c r="R153" s="62"/>
      <c r="S153" s="62"/>
      <c r="T153" s="62"/>
      <c r="U153" s="103"/>
      <c r="V153" s="103"/>
    </row>
    <row r="154" spans="1:23" s="70" customFormat="1" ht="14.25" x14ac:dyDescent="0.2">
      <c r="A154" s="60"/>
      <c r="B154" s="1" t="s">
        <v>257</v>
      </c>
      <c r="C154" s="61">
        <v>187</v>
      </c>
      <c r="D154" s="72" t="s">
        <v>46</v>
      </c>
      <c r="E154" s="390">
        <v>0.19</v>
      </c>
      <c r="F154" s="122">
        <f>C154*E154</f>
        <v>35.53</v>
      </c>
      <c r="G154" s="122">
        <f>$H$11*E154</f>
        <v>6.84</v>
      </c>
      <c r="H154" s="123">
        <f>F154*$H$11</f>
        <v>1279.08</v>
      </c>
      <c r="I154" s="393">
        <v>2.02</v>
      </c>
      <c r="J154" s="123">
        <f>C154*I154</f>
        <v>377.74</v>
      </c>
      <c r="K154" s="124">
        <f>SUM(H154,J154)</f>
        <v>1656.82</v>
      </c>
      <c r="L154" s="123">
        <f>K154/C154</f>
        <v>8.86</v>
      </c>
      <c r="M154" s="125">
        <f>C154*L154</f>
        <v>1656.82</v>
      </c>
      <c r="N154" s="131">
        <v>0</v>
      </c>
      <c r="O154" s="118">
        <f>M154*N154</f>
        <v>0</v>
      </c>
      <c r="P154" s="62"/>
      <c r="Q154" s="62"/>
      <c r="R154" s="62"/>
      <c r="S154" s="62"/>
      <c r="T154" s="62"/>
      <c r="U154" s="103"/>
      <c r="V154" s="103"/>
    </row>
    <row r="155" spans="1:23" s="70" customFormat="1" ht="14.25" x14ac:dyDescent="0.2">
      <c r="A155" s="60"/>
      <c r="B155" s="151" t="s">
        <v>259</v>
      </c>
      <c r="C155" s="152">
        <v>82</v>
      </c>
      <c r="D155" s="153" t="s">
        <v>46</v>
      </c>
      <c r="E155" s="122">
        <v>0.2</v>
      </c>
      <c r="F155" s="122">
        <f>C155*E155</f>
        <v>16.400000000000002</v>
      </c>
      <c r="G155" s="122">
        <f>$H$11*E155</f>
        <v>7.2</v>
      </c>
      <c r="H155" s="123">
        <f>F155*$H$11</f>
        <v>590.40000000000009</v>
      </c>
      <c r="I155" s="135">
        <v>6</v>
      </c>
      <c r="J155" s="123">
        <f>C155*I155</f>
        <v>492</v>
      </c>
      <c r="K155" s="124">
        <f>SUM(H155,J155)</f>
        <v>1082.4000000000001</v>
      </c>
      <c r="L155" s="123">
        <f>K155/C155</f>
        <v>13.200000000000001</v>
      </c>
      <c r="M155" s="125">
        <f>C155*L155</f>
        <v>1082.4000000000001</v>
      </c>
      <c r="N155" s="131">
        <v>0</v>
      </c>
      <c r="O155" s="118">
        <f>M155*N155</f>
        <v>0</v>
      </c>
      <c r="P155" s="62"/>
      <c r="Q155" s="62"/>
      <c r="R155" s="62"/>
      <c r="S155" s="62"/>
      <c r="T155" s="62"/>
      <c r="U155" s="103"/>
      <c r="V155" s="103"/>
    </row>
    <row r="156" spans="1:23" s="70" customFormat="1" ht="14.25" x14ac:dyDescent="0.2">
      <c r="A156" s="60"/>
      <c r="B156" s="151" t="s">
        <v>258</v>
      </c>
      <c r="C156" s="152">
        <v>93</v>
      </c>
      <c r="D156" s="153" t="s">
        <v>46</v>
      </c>
      <c r="E156" s="122">
        <v>0.4</v>
      </c>
      <c r="F156" s="122">
        <f>C156*E156</f>
        <v>37.200000000000003</v>
      </c>
      <c r="G156" s="122">
        <f>$H$11*E156</f>
        <v>14.4</v>
      </c>
      <c r="H156" s="123">
        <f>F156*$H$11</f>
        <v>1339.2</v>
      </c>
      <c r="I156" s="135">
        <v>30</v>
      </c>
      <c r="J156" s="123">
        <f>C156*I156</f>
        <v>2790</v>
      </c>
      <c r="K156" s="124">
        <f>SUM(H156,J156)</f>
        <v>4129.2</v>
      </c>
      <c r="L156" s="123">
        <f>K156/C156</f>
        <v>44.4</v>
      </c>
      <c r="M156" s="125">
        <f>C156*L156</f>
        <v>4129.2</v>
      </c>
      <c r="N156" s="131">
        <v>0</v>
      </c>
      <c r="O156" s="118">
        <f>M156*N156</f>
        <v>0</v>
      </c>
      <c r="P156" s="62"/>
      <c r="Q156" s="62"/>
      <c r="R156" s="62"/>
      <c r="S156" s="62"/>
      <c r="T156" s="62"/>
      <c r="U156" s="103">
        <v>38</v>
      </c>
      <c r="V156" s="103">
        <v>55</v>
      </c>
      <c r="W156" s="103">
        <f>SUM(U156:V156)</f>
        <v>93</v>
      </c>
    </row>
    <row r="157" spans="1:23" s="70" customFormat="1" ht="14.25" x14ac:dyDescent="0.2">
      <c r="A157" s="60"/>
      <c r="B157" s="151"/>
      <c r="C157" s="152"/>
      <c r="D157" s="153"/>
      <c r="E157" s="122"/>
      <c r="F157" s="122"/>
      <c r="G157" s="122"/>
      <c r="H157" s="123"/>
      <c r="I157" s="135"/>
      <c r="J157" s="123"/>
      <c r="K157" s="124"/>
      <c r="L157" s="123"/>
      <c r="M157" s="125"/>
      <c r="N157" s="131"/>
      <c r="O157" s="118"/>
      <c r="P157" s="452">
        <f>SUM(M152:M156)</f>
        <v>15562.419999999998</v>
      </c>
      <c r="Q157" s="450">
        <f>P157*SUM($L$202:$L$206)</f>
        <v>1478.4298999999999</v>
      </c>
      <c r="R157" s="266"/>
      <c r="S157" s="266"/>
      <c r="T157" s="62"/>
      <c r="U157" s="103"/>
      <c r="V157" s="103"/>
    </row>
    <row r="158" spans="1:23" s="70" customFormat="1" ht="14.25" x14ac:dyDescent="0.2">
      <c r="A158" s="60"/>
      <c r="B158" s="151"/>
      <c r="C158" s="152"/>
      <c r="D158" s="153"/>
      <c r="E158" s="122"/>
      <c r="F158" s="122"/>
      <c r="G158" s="122"/>
      <c r="H158" s="123"/>
      <c r="I158" s="135"/>
      <c r="J158" s="123"/>
      <c r="K158" s="124"/>
      <c r="L158" s="123"/>
      <c r="M158" s="125"/>
      <c r="N158" s="131"/>
      <c r="O158" s="118"/>
      <c r="P158" s="451">
        <f>P157/$M$199</f>
        <v>9.437203810509312E-2</v>
      </c>
      <c r="Q158" s="452">
        <f>P158*$M$210</f>
        <v>739.65712782524065</v>
      </c>
      <c r="R158" s="452">
        <f>SUM(P157,Q157,Q158)</f>
        <v>17780.507027825239</v>
      </c>
      <c r="S158" s="452">
        <f>R158*1.08</f>
        <v>19202.947590051259</v>
      </c>
      <c r="T158" s="62"/>
      <c r="U158" s="103"/>
      <c r="V158" s="103"/>
    </row>
    <row r="159" spans="1:23" s="70" customFormat="1" ht="14.25" x14ac:dyDescent="0.2">
      <c r="A159" s="60"/>
      <c r="B159" s="151"/>
      <c r="C159" s="152"/>
      <c r="D159" s="153"/>
      <c r="E159" s="122"/>
      <c r="F159" s="122"/>
      <c r="G159" s="122"/>
      <c r="H159" s="123"/>
      <c r="I159" s="135"/>
      <c r="J159" s="123"/>
      <c r="K159" s="124"/>
      <c r="L159" s="123"/>
      <c r="M159" s="125"/>
      <c r="N159" s="131"/>
      <c r="O159" s="118"/>
      <c r="P159" s="62"/>
      <c r="Q159" s="62"/>
      <c r="R159" s="62"/>
      <c r="S159" s="62"/>
      <c r="T159" s="62"/>
      <c r="U159" s="103"/>
      <c r="V159" s="103"/>
    </row>
    <row r="160" spans="1:23" s="70" customFormat="1" ht="15" x14ac:dyDescent="0.2">
      <c r="A160" s="60"/>
      <c r="B160" s="169" t="s">
        <v>70</v>
      </c>
      <c r="C160" s="152"/>
      <c r="D160" s="153"/>
      <c r="E160" s="122"/>
      <c r="F160" s="122"/>
      <c r="G160" s="122"/>
      <c r="H160" s="123"/>
      <c r="I160" s="135"/>
      <c r="J160" s="123"/>
      <c r="K160" s="124"/>
      <c r="L160" s="123"/>
      <c r="M160" s="125"/>
      <c r="N160" s="131"/>
      <c r="O160" s="118"/>
      <c r="P160" s="62"/>
      <c r="Q160" s="62"/>
      <c r="R160" s="62"/>
      <c r="S160" s="62"/>
      <c r="T160" s="62"/>
      <c r="U160" s="103"/>
      <c r="V160" s="103"/>
    </row>
    <row r="161" spans="1:23" s="70" customFormat="1" ht="14.25" x14ac:dyDescent="0.2">
      <c r="A161" s="60"/>
      <c r="B161" s="165" t="s">
        <v>74</v>
      </c>
      <c r="C161" s="152"/>
      <c r="D161" s="153"/>
      <c r="E161" s="122"/>
      <c r="F161" s="122"/>
      <c r="G161" s="122"/>
      <c r="H161" s="123"/>
      <c r="I161" s="135"/>
      <c r="J161" s="123"/>
      <c r="K161" s="124"/>
      <c r="L161" s="123"/>
      <c r="M161" s="125"/>
      <c r="N161" s="131"/>
      <c r="O161" s="118"/>
      <c r="P161" s="62"/>
      <c r="Q161" s="62"/>
      <c r="R161" s="62"/>
      <c r="S161" s="62"/>
      <c r="T161" s="62"/>
      <c r="U161" s="103"/>
      <c r="V161" s="103"/>
    </row>
    <row r="162" spans="1:23" s="70" customFormat="1" ht="14.25" x14ac:dyDescent="0.2">
      <c r="A162" s="60"/>
      <c r="B162" s="146" t="s">
        <v>253</v>
      </c>
      <c r="C162" s="61">
        <f>'Gib Linings_25_8'!T441</f>
        <v>1080</v>
      </c>
      <c r="D162" s="72" t="s">
        <v>45</v>
      </c>
      <c r="E162" s="122">
        <v>0.2</v>
      </c>
      <c r="F162" s="122">
        <f>C162*E162</f>
        <v>216</v>
      </c>
      <c r="G162" s="122">
        <f>$H$11*E162</f>
        <v>7.2</v>
      </c>
      <c r="H162" s="123">
        <f>F162*$H$11</f>
        <v>7776</v>
      </c>
      <c r="I162" s="393">
        <v>0.85</v>
      </c>
      <c r="J162" s="123">
        <f>C162*I162</f>
        <v>918</v>
      </c>
      <c r="K162" s="124">
        <f>SUM(H162,J162)</f>
        <v>8694</v>
      </c>
      <c r="L162" s="123">
        <f>K162/C162</f>
        <v>8.0500000000000007</v>
      </c>
      <c r="M162" s="125">
        <f>C162*L162</f>
        <v>8694</v>
      </c>
      <c r="N162" s="131">
        <v>0</v>
      </c>
      <c r="O162" s="118">
        <f>M162*N162</f>
        <v>0</v>
      </c>
      <c r="P162" s="62"/>
      <c r="Q162" s="62"/>
      <c r="R162" s="62"/>
      <c r="S162" s="62"/>
      <c r="T162" s="62"/>
      <c r="U162" s="103"/>
      <c r="V162" s="103"/>
    </row>
    <row r="163" spans="1:23" s="70" customFormat="1" ht="14.25" x14ac:dyDescent="0.2">
      <c r="A163" s="60"/>
      <c r="B163" s="1" t="s">
        <v>257</v>
      </c>
      <c r="C163" s="61">
        <v>187</v>
      </c>
      <c r="D163" s="72" t="s">
        <v>46</v>
      </c>
      <c r="E163" s="390">
        <v>0.19</v>
      </c>
      <c r="F163" s="122">
        <f>C163*E163</f>
        <v>35.53</v>
      </c>
      <c r="G163" s="122">
        <f>$H$11*E163</f>
        <v>6.84</v>
      </c>
      <c r="H163" s="123">
        <f>F163*$H$11</f>
        <v>1279.08</v>
      </c>
      <c r="I163" s="393">
        <v>2.02</v>
      </c>
      <c r="J163" s="123">
        <f>C163*I163</f>
        <v>377.74</v>
      </c>
      <c r="K163" s="124">
        <f>SUM(H163,J163)</f>
        <v>1656.82</v>
      </c>
      <c r="L163" s="123">
        <f>K163/C163</f>
        <v>8.86</v>
      </c>
      <c r="M163" s="125">
        <f>C163*L163</f>
        <v>1656.82</v>
      </c>
      <c r="N163" s="131">
        <v>0</v>
      </c>
      <c r="O163" s="118">
        <f>M163*N163</f>
        <v>0</v>
      </c>
      <c r="P163" s="62"/>
      <c r="Q163" s="62"/>
      <c r="R163" s="62"/>
      <c r="S163" s="62"/>
      <c r="T163" s="62"/>
      <c r="U163" s="103"/>
      <c r="V163" s="103"/>
    </row>
    <row r="164" spans="1:23" s="70" customFormat="1" ht="14.25" x14ac:dyDescent="0.2">
      <c r="A164" s="60"/>
      <c r="B164" s="151" t="s">
        <v>259</v>
      </c>
      <c r="C164" s="152">
        <v>82</v>
      </c>
      <c r="D164" s="153" t="s">
        <v>46</v>
      </c>
      <c r="E164" s="122">
        <v>0.2</v>
      </c>
      <c r="F164" s="122">
        <f>C164*E164</f>
        <v>16.400000000000002</v>
      </c>
      <c r="G164" s="122">
        <f>$H$11*E164</f>
        <v>7.2</v>
      </c>
      <c r="H164" s="123">
        <f>F164*$H$11</f>
        <v>590.40000000000009</v>
      </c>
      <c r="I164" s="135">
        <v>6</v>
      </c>
      <c r="J164" s="123">
        <f>C164*I164</f>
        <v>492</v>
      </c>
      <c r="K164" s="124">
        <f>SUM(H164,J164)</f>
        <v>1082.4000000000001</v>
      </c>
      <c r="L164" s="123">
        <f>K164/C164</f>
        <v>13.200000000000001</v>
      </c>
      <c r="M164" s="125">
        <f>C164*L164</f>
        <v>1082.4000000000001</v>
      </c>
      <c r="N164" s="131">
        <v>0</v>
      </c>
      <c r="O164" s="118">
        <f>M164*N164</f>
        <v>0</v>
      </c>
      <c r="P164" s="62"/>
      <c r="Q164" s="62"/>
      <c r="R164" s="62"/>
      <c r="S164" s="62"/>
      <c r="T164" s="62"/>
      <c r="U164" s="103"/>
      <c r="V164" s="103"/>
    </row>
    <row r="165" spans="1:23" s="70" customFormat="1" ht="14.25" x14ac:dyDescent="0.2">
      <c r="A165" s="60"/>
      <c r="B165" s="151" t="s">
        <v>258</v>
      </c>
      <c r="C165" s="152">
        <v>93</v>
      </c>
      <c r="D165" s="153" t="s">
        <v>46</v>
      </c>
      <c r="E165" s="122">
        <v>0.4</v>
      </c>
      <c r="F165" s="122">
        <f>C165*E165</f>
        <v>37.200000000000003</v>
      </c>
      <c r="G165" s="122">
        <f>$H$11*E165</f>
        <v>14.4</v>
      </c>
      <c r="H165" s="123">
        <f>F165*$H$11</f>
        <v>1339.2</v>
      </c>
      <c r="I165" s="135">
        <v>30</v>
      </c>
      <c r="J165" s="123">
        <f>C165*I165</f>
        <v>2790</v>
      </c>
      <c r="K165" s="124">
        <f>SUM(H165,J165)</f>
        <v>4129.2</v>
      </c>
      <c r="L165" s="123">
        <f>K165/C165</f>
        <v>44.4</v>
      </c>
      <c r="M165" s="125">
        <f>C165*L165</f>
        <v>4129.2</v>
      </c>
      <c r="N165" s="131">
        <v>0</v>
      </c>
      <c r="O165" s="118">
        <f>M165*N165</f>
        <v>0</v>
      </c>
      <c r="P165" s="62"/>
      <c r="Q165" s="62"/>
      <c r="R165" s="62"/>
      <c r="S165" s="62"/>
      <c r="T165" s="62"/>
      <c r="U165" s="103">
        <v>38</v>
      </c>
      <c r="V165" s="103">
        <v>55</v>
      </c>
      <c r="W165" s="103">
        <f>SUM(U165:V165)</f>
        <v>93</v>
      </c>
    </row>
    <row r="166" spans="1:23" s="70" customFormat="1" ht="14.25" x14ac:dyDescent="0.2">
      <c r="A166" s="60"/>
      <c r="B166" s="151"/>
      <c r="C166" s="152"/>
      <c r="D166" s="153"/>
      <c r="E166" s="122"/>
      <c r="F166" s="122"/>
      <c r="G166" s="122"/>
      <c r="H166" s="123"/>
      <c r="I166" s="135"/>
      <c r="J166" s="123"/>
      <c r="K166" s="124"/>
      <c r="L166" s="123"/>
      <c r="M166" s="125"/>
      <c r="N166" s="131"/>
      <c r="O166" s="118"/>
      <c r="P166" s="452">
        <f>SUM(M161:M165)</f>
        <v>15562.419999999998</v>
      </c>
      <c r="Q166" s="450">
        <f>P166*SUM($L$202:$L$206)</f>
        <v>1478.4298999999999</v>
      </c>
      <c r="R166" s="266"/>
      <c r="S166" s="266"/>
      <c r="T166" s="62"/>
      <c r="U166" s="103"/>
      <c r="V166" s="103"/>
    </row>
    <row r="167" spans="1:23" s="70" customFormat="1" ht="14.25" x14ac:dyDescent="0.2">
      <c r="A167" s="60"/>
      <c r="B167" s="151"/>
      <c r="C167" s="152"/>
      <c r="D167" s="153"/>
      <c r="E167" s="122"/>
      <c r="F167" s="122"/>
      <c r="G167" s="122"/>
      <c r="H167" s="123"/>
      <c r="I167" s="135"/>
      <c r="J167" s="123"/>
      <c r="K167" s="124"/>
      <c r="L167" s="123"/>
      <c r="M167" s="125"/>
      <c r="N167" s="131"/>
      <c r="O167" s="118"/>
      <c r="P167" s="451">
        <f>P166/$M$199</f>
        <v>9.437203810509312E-2</v>
      </c>
      <c r="Q167" s="452">
        <f>P167*$M$210</f>
        <v>739.65712782524065</v>
      </c>
      <c r="R167" s="452">
        <f>SUM(P166,Q166,Q167)</f>
        <v>17780.507027825239</v>
      </c>
      <c r="S167" s="452">
        <f>R167*1.08</f>
        <v>19202.947590051259</v>
      </c>
      <c r="T167" s="62"/>
      <c r="U167" s="103"/>
      <c r="V167" s="103"/>
    </row>
    <row r="168" spans="1:23" s="70" customFormat="1" ht="14.25" x14ac:dyDescent="0.2">
      <c r="A168" s="60"/>
      <c r="B168" s="151"/>
      <c r="C168" s="152"/>
      <c r="D168" s="153"/>
      <c r="E168" s="122"/>
      <c r="F168" s="122"/>
      <c r="G168" s="122"/>
      <c r="H168" s="123"/>
      <c r="I168" s="135"/>
      <c r="J168" s="123"/>
      <c r="K168" s="124"/>
      <c r="L168" s="123"/>
      <c r="M168" s="125"/>
      <c r="N168" s="131"/>
      <c r="O168" s="118"/>
      <c r="P168" s="62"/>
      <c r="Q168" s="62"/>
      <c r="R168" s="62"/>
      <c r="S168" s="62"/>
      <c r="T168" s="62"/>
      <c r="U168" s="103"/>
      <c r="V168" s="103"/>
    </row>
    <row r="169" spans="1:23" s="70" customFormat="1" ht="15" x14ac:dyDescent="0.2">
      <c r="A169" s="60"/>
      <c r="B169" s="169" t="s">
        <v>71</v>
      </c>
      <c r="C169" s="152"/>
      <c r="D169" s="153"/>
      <c r="E169" s="122"/>
      <c r="F169" s="122"/>
      <c r="G169" s="122"/>
      <c r="H169" s="123"/>
      <c r="I169" s="135"/>
      <c r="J169" s="123"/>
      <c r="K169" s="124"/>
      <c r="L169" s="123"/>
      <c r="M169" s="125"/>
      <c r="N169" s="131"/>
      <c r="O169" s="118"/>
      <c r="P169" s="62"/>
      <c r="Q169" s="62"/>
      <c r="R169" s="62"/>
      <c r="S169" s="62"/>
      <c r="T169" s="62"/>
      <c r="U169" s="103"/>
      <c r="V169" s="103"/>
    </row>
    <row r="170" spans="1:23" s="70" customFormat="1" ht="14.25" x14ac:dyDescent="0.2">
      <c r="A170" s="60"/>
      <c r="B170" s="165" t="s">
        <v>74</v>
      </c>
      <c r="C170" s="152"/>
      <c r="D170" s="153"/>
      <c r="E170" s="122"/>
      <c r="F170" s="122"/>
      <c r="G170" s="122"/>
      <c r="H170" s="123"/>
      <c r="I170" s="135"/>
      <c r="J170" s="123"/>
      <c r="K170" s="124"/>
      <c r="L170" s="123"/>
      <c r="M170" s="125"/>
      <c r="N170" s="131"/>
      <c r="O170" s="118"/>
      <c r="P170" s="62"/>
      <c r="Q170" s="62"/>
      <c r="R170" s="62"/>
      <c r="S170" s="62"/>
      <c r="T170" s="62"/>
      <c r="U170" s="103"/>
      <c r="V170" s="103"/>
    </row>
    <row r="171" spans="1:23" s="70" customFormat="1" ht="14.25" x14ac:dyDescent="0.2">
      <c r="A171" s="60"/>
      <c r="B171" s="146" t="s">
        <v>253</v>
      </c>
      <c r="C171" s="61">
        <f>'Gib Linings_25_8'!T504</f>
        <v>1091</v>
      </c>
      <c r="D171" s="72" t="s">
        <v>45</v>
      </c>
      <c r="E171" s="122">
        <v>0.2</v>
      </c>
      <c r="F171" s="122">
        <f>C171*E171</f>
        <v>218.20000000000002</v>
      </c>
      <c r="G171" s="122">
        <f>$H$11*E171</f>
        <v>7.2</v>
      </c>
      <c r="H171" s="123">
        <f>F171*$H$11</f>
        <v>7855.2000000000007</v>
      </c>
      <c r="I171" s="393">
        <v>0.85</v>
      </c>
      <c r="J171" s="123">
        <f>C171*I171</f>
        <v>927.35</v>
      </c>
      <c r="K171" s="124">
        <f>SUM(H171,J171)</f>
        <v>8782.5500000000011</v>
      </c>
      <c r="L171" s="123">
        <f>K171/C171</f>
        <v>8.0500000000000007</v>
      </c>
      <c r="M171" s="125">
        <f>C171*L171</f>
        <v>8782.5500000000011</v>
      </c>
      <c r="N171" s="131">
        <v>0</v>
      </c>
      <c r="O171" s="118">
        <f>M171*N171</f>
        <v>0</v>
      </c>
      <c r="P171" s="62"/>
      <c r="Q171" s="62"/>
      <c r="R171" s="62"/>
      <c r="S171" s="62"/>
      <c r="T171" s="62"/>
      <c r="U171" s="103"/>
      <c r="V171" s="103"/>
    </row>
    <row r="172" spans="1:23" s="70" customFormat="1" ht="14.25" x14ac:dyDescent="0.2">
      <c r="A172" s="60"/>
      <c r="B172" s="1" t="s">
        <v>257</v>
      </c>
      <c r="C172" s="61">
        <v>187</v>
      </c>
      <c r="D172" s="72" t="s">
        <v>46</v>
      </c>
      <c r="E172" s="390">
        <v>0.19</v>
      </c>
      <c r="F172" s="122">
        <f>C172*E172</f>
        <v>35.53</v>
      </c>
      <c r="G172" s="122">
        <f>$H$11*E172</f>
        <v>6.84</v>
      </c>
      <c r="H172" s="123">
        <f>F172*$H$11</f>
        <v>1279.08</v>
      </c>
      <c r="I172" s="393">
        <v>2.02</v>
      </c>
      <c r="J172" s="123">
        <f>C172*I172</f>
        <v>377.74</v>
      </c>
      <c r="K172" s="124">
        <f>SUM(H172,J172)</f>
        <v>1656.82</v>
      </c>
      <c r="L172" s="123">
        <f>K172/C172</f>
        <v>8.86</v>
      </c>
      <c r="M172" s="125">
        <f>C172*L172</f>
        <v>1656.82</v>
      </c>
      <c r="N172" s="131">
        <v>0</v>
      </c>
      <c r="O172" s="118">
        <f>M172*N172</f>
        <v>0</v>
      </c>
      <c r="P172" s="62"/>
      <c r="Q172" s="62"/>
      <c r="R172" s="62"/>
      <c r="S172" s="62"/>
      <c r="T172" s="62"/>
      <c r="U172" s="103"/>
      <c r="V172" s="103"/>
    </row>
    <row r="173" spans="1:23" s="70" customFormat="1" ht="14.25" x14ac:dyDescent="0.2">
      <c r="A173" s="60"/>
      <c r="B173" s="151" t="s">
        <v>259</v>
      </c>
      <c r="C173" s="152">
        <v>77</v>
      </c>
      <c r="D173" s="153" t="s">
        <v>46</v>
      </c>
      <c r="E173" s="122">
        <v>0.2</v>
      </c>
      <c r="F173" s="122">
        <f>C173*E173</f>
        <v>15.4</v>
      </c>
      <c r="G173" s="122">
        <f>$H$11*E173</f>
        <v>7.2</v>
      </c>
      <c r="H173" s="123">
        <f>F173*$H$11</f>
        <v>554.4</v>
      </c>
      <c r="I173" s="135">
        <v>6</v>
      </c>
      <c r="J173" s="123">
        <f>C173*I173</f>
        <v>462</v>
      </c>
      <c r="K173" s="124">
        <f>SUM(H173,J173)</f>
        <v>1016.4</v>
      </c>
      <c r="L173" s="123">
        <f>K173/C173</f>
        <v>13.2</v>
      </c>
      <c r="M173" s="125">
        <f>C173*L173</f>
        <v>1016.4</v>
      </c>
      <c r="N173" s="131">
        <v>0</v>
      </c>
      <c r="O173" s="118">
        <f>M173*N173</f>
        <v>0</v>
      </c>
      <c r="P173" s="62"/>
      <c r="Q173" s="62"/>
      <c r="R173" s="62"/>
      <c r="S173" s="62"/>
      <c r="T173" s="62"/>
      <c r="U173" s="103"/>
      <c r="V173" s="103"/>
    </row>
    <row r="174" spans="1:23" s="70" customFormat="1" ht="14.25" x14ac:dyDescent="0.2">
      <c r="A174" s="60"/>
      <c r="B174" s="151" t="s">
        <v>258</v>
      </c>
      <c r="C174" s="152">
        <v>93</v>
      </c>
      <c r="D174" s="153" t="s">
        <v>46</v>
      </c>
      <c r="E174" s="122">
        <v>0.4</v>
      </c>
      <c r="F174" s="122">
        <f>C174*E174</f>
        <v>37.200000000000003</v>
      </c>
      <c r="G174" s="122">
        <f>$H$11*E174</f>
        <v>14.4</v>
      </c>
      <c r="H174" s="123">
        <f>F174*$H$11</f>
        <v>1339.2</v>
      </c>
      <c r="I174" s="135">
        <v>30</v>
      </c>
      <c r="J174" s="123">
        <f>C174*I174</f>
        <v>2790</v>
      </c>
      <c r="K174" s="124">
        <f>SUM(H174,J174)</f>
        <v>4129.2</v>
      </c>
      <c r="L174" s="123">
        <f>K174/C174</f>
        <v>44.4</v>
      </c>
      <c r="M174" s="125">
        <f>C174*L174</f>
        <v>4129.2</v>
      </c>
      <c r="N174" s="131">
        <v>0</v>
      </c>
      <c r="O174" s="118">
        <f>M174*N174</f>
        <v>0</v>
      </c>
      <c r="P174" s="62"/>
      <c r="Q174" s="62"/>
      <c r="R174" s="62"/>
      <c r="S174" s="62"/>
      <c r="T174" s="62"/>
      <c r="U174" s="103">
        <v>38</v>
      </c>
      <c r="V174" s="103">
        <v>55</v>
      </c>
      <c r="W174" s="103">
        <f>SUM(U174:V174)</f>
        <v>93</v>
      </c>
    </row>
    <row r="175" spans="1:23" s="70" customFormat="1" ht="14.25" x14ac:dyDescent="0.2">
      <c r="A175" s="60"/>
      <c r="B175" s="151"/>
      <c r="C175" s="152"/>
      <c r="D175" s="153"/>
      <c r="E175" s="122"/>
      <c r="F175" s="122"/>
      <c r="G175" s="122"/>
      <c r="H175" s="123"/>
      <c r="I175" s="135"/>
      <c r="J175" s="123"/>
      <c r="K175" s="124"/>
      <c r="L175" s="123"/>
      <c r="M175" s="125"/>
      <c r="N175" s="131"/>
      <c r="O175" s="118"/>
      <c r="P175" s="452">
        <f>SUM(M170:M174)</f>
        <v>15584.970000000001</v>
      </c>
      <c r="Q175" s="450">
        <f>P175*SUM($L$202:$L$206)</f>
        <v>1480.5721500000002</v>
      </c>
      <c r="R175" s="266"/>
      <c r="S175" s="266"/>
      <c r="T175" s="62"/>
      <c r="U175" s="103"/>
      <c r="V175" s="103"/>
    </row>
    <row r="176" spans="1:23" s="70" customFormat="1" ht="14.25" x14ac:dyDescent="0.2">
      <c r="A176" s="60"/>
      <c r="B176" s="151"/>
      <c r="C176" s="152"/>
      <c r="D176" s="153"/>
      <c r="E176" s="122"/>
      <c r="F176" s="122"/>
      <c r="G176" s="122"/>
      <c r="H176" s="123"/>
      <c r="I176" s="135"/>
      <c r="J176" s="123"/>
      <c r="K176" s="124"/>
      <c r="L176" s="123"/>
      <c r="M176" s="125"/>
      <c r="N176" s="131"/>
      <c r="O176" s="118"/>
      <c r="P176" s="451">
        <f>P175/$M$199</f>
        <v>9.4508783512251518E-2</v>
      </c>
      <c r="Q176" s="452">
        <f>P176*$M$210</f>
        <v>740.72889354242727</v>
      </c>
      <c r="R176" s="452">
        <f>SUM(P175,Q175,Q176)</f>
        <v>17806.271043542427</v>
      </c>
      <c r="S176" s="452">
        <f>R176*1.08</f>
        <v>19230.772727025822</v>
      </c>
      <c r="T176" s="62"/>
      <c r="U176" s="103"/>
      <c r="V176" s="103"/>
    </row>
    <row r="177" spans="1:23" s="70" customFormat="1" ht="14.25" x14ac:dyDescent="0.2">
      <c r="A177" s="60"/>
      <c r="B177" s="151"/>
      <c r="C177" s="152"/>
      <c r="D177" s="153"/>
      <c r="E177" s="122"/>
      <c r="F177" s="122"/>
      <c r="G177" s="122"/>
      <c r="H177" s="123"/>
      <c r="I177" s="135"/>
      <c r="J177" s="123"/>
      <c r="K177" s="124"/>
      <c r="L177" s="123"/>
      <c r="M177" s="125"/>
      <c r="N177" s="131"/>
      <c r="O177" s="118"/>
      <c r="P177" s="62"/>
      <c r="Q177" s="62"/>
      <c r="R177" s="62"/>
      <c r="S177" s="62"/>
      <c r="T177" s="62"/>
      <c r="U177" s="103"/>
      <c r="V177" s="103"/>
    </row>
    <row r="178" spans="1:23" s="70" customFormat="1" ht="15" x14ac:dyDescent="0.2">
      <c r="A178" s="60"/>
      <c r="B178" s="169" t="s">
        <v>62</v>
      </c>
      <c r="C178" s="152"/>
      <c r="D178" s="153"/>
      <c r="E178" s="122"/>
      <c r="F178" s="122"/>
      <c r="G178" s="122"/>
      <c r="H178" s="123"/>
      <c r="I178" s="135"/>
      <c r="J178" s="123"/>
      <c r="K178" s="124"/>
      <c r="L178" s="123"/>
      <c r="M178" s="125"/>
      <c r="N178" s="131"/>
      <c r="O178" s="118"/>
      <c r="P178" s="62"/>
      <c r="Q178" s="62"/>
      <c r="R178" s="62"/>
      <c r="S178" s="62"/>
      <c r="T178" s="62"/>
      <c r="U178" s="103"/>
      <c r="V178" s="103"/>
    </row>
    <row r="179" spans="1:23" s="70" customFormat="1" ht="14.25" x14ac:dyDescent="0.2">
      <c r="A179" s="60"/>
      <c r="B179" s="165" t="s">
        <v>74</v>
      </c>
      <c r="C179" s="152"/>
      <c r="D179" s="153"/>
      <c r="E179" s="122"/>
      <c r="F179" s="122"/>
      <c r="G179" s="122"/>
      <c r="H179" s="123"/>
      <c r="I179" s="135"/>
      <c r="J179" s="123"/>
      <c r="K179" s="124"/>
      <c r="L179" s="123"/>
      <c r="M179" s="125"/>
      <c r="N179" s="131"/>
      <c r="O179" s="118"/>
      <c r="P179" s="62"/>
      <c r="Q179" s="62"/>
      <c r="R179" s="62"/>
      <c r="S179" s="62"/>
      <c r="T179" s="62"/>
      <c r="U179" s="103"/>
      <c r="V179" s="103"/>
    </row>
    <row r="180" spans="1:23" s="70" customFormat="1" ht="14.25" x14ac:dyDescent="0.2">
      <c r="A180" s="60"/>
      <c r="B180" s="146" t="s">
        <v>253</v>
      </c>
      <c r="C180" s="61">
        <f>'Gib Linings_25_8'!T564</f>
        <v>1130</v>
      </c>
      <c r="D180" s="72" t="s">
        <v>45</v>
      </c>
      <c r="E180" s="122">
        <v>0.2</v>
      </c>
      <c r="F180" s="122">
        <f>C180*E180</f>
        <v>226</v>
      </c>
      <c r="G180" s="122">
        <f>$H$11*E180</f>
        <v>7.2</v>
      </c>
      <c r="H180" s="123">
        <f>F180*$H$11</f>
        <v>8136</v>
      </c>
      <c r="I180" s="393">
        <v>0.85</v>
      </c>
      <c r="J180" s="123">
        <f>C180*I180</f>
        <v>960.5</v>
      </c>
      <c r="K180" s="124">
        <f>SUM(H180,J180)</f>
        <v>9096.5</v>
      </c>
      <c r="L180" s="123">
        <f>K180/C180</f>
        <v>8.0500000000000007</v>
      </c>
      <c r="M180" s="125">
        <f>C180*L180</f>
        <v>9096.5</v>
      </c>
      <c r="N180" s="131">
        <v>0</v>
      </c>
      <c r="O180" s="118">
        <f>M180*N180</f>
        <v>0</v>
      </c>
      <c r="P180" s="62"/>
      <c r="Q180" s="62"/>
      <c r="R180" s="62"/>
      <c r="S180" s="62"/>
      <c r="T180" s="62"/>
      <c r="U180" s="103"/>
      <c r="V180" s="103"/>
    </row>
    <row r="181" spans="1:23" s="70" customFormat="1" ht="14.25" x14ac:dyDescent="0.2">
      <c r="A181" s="60"/>
      <c r="B181" s="1" t="s">
        <v>257</v>
      </c>
      <c r="C181" s="61">
        <v>196</v>
      </c>
      <c r="D181" s="72" t="s">
        <v>46</v>
      </c>
      <c r="E181" s="390">
        <v>0.19</v>
      </c>
      <c r="F181" s="122">
        <f>C181*E181</f>
        <v>37.24</v>
      </c>
      <c r="G181" s="122">
        <f>$H$11*E181</f>
        <v>6.84</v>
      </c>
      <c r="H181" s="123">
        <f>F181*$H$11</f>
        <v>1340.64</v>
      </c>
      <c r="I181" s="393">
        <v>2.02</v>
      </c>
      <c r="J181" s="123">
        <f>C181*I181</f>
        <v>395.92</v>
      </c>
      <c r="K181" s="124">
        <f>SUM(H181,J181)</f>
        <v>1736.5600000000002</v>
      </c>
      <c r="L181" s="123">
        <f>K181/C181</f>
        <v>8.8600000000000012</v>
      </c>
      <c r="M181" s="125">
        <f>C181*L181</f>
        <v>1736.5600000000002</v>
      </c>
      <c r="N181" s="131">
        <v>0</v>
      </c>
      <c r="O181" s="118">
        <f>M181*N181</f>
        <v>0</v>
      </c>
      <c r="P181" s="62"/>
      <c r="Q181" s="62"/>
      <c r="R181" s="62"/>
      <c r="S181" s="62"/>
      <c r="T181" s="62"/>
      <c r="U181" s="103"/>
      <c r="V181" s="103"/>
    </row>
    <row r="182" spans="1:23" s="70" customFormat="1" ht="14.25" x14ac:dyDescent="0.2">
      <c r="A182" s="60"/>
      <c r="B182" s="151" t="s">
        <v>259</v>
      </c>
      <c r="C182" s="152">
        <v>77</v>
      </c>
      <c r="D182" s="153" t="s">
        <v>46</v>
      </c>
      <c r="E182" s="122">
        <v>0.2</v>
      </c>
      <c r="F182" s="122">
        <f>C182*E182</f>
        <v>15.4</v>
      </c>
      <c r="G182" s="122">
        <f>$H$11*E182</f>
        <v>7.2</v>
      </c>
      <c r="H182" s="123">
        <f>F182*$H$11</f>
        <v>554.4</v>
      </c>
      <c r="I182" s="135">
        <v>6</v>
      </c>
      <c r="J182" s="123">
        <f>C182*I182</f>
        <v>462</v>
      </c>
      <c r="K182" s="124">
        <f>SUM(H182,J182)</f>
        <v>1016.4</v>
      </c>
      <c r="L182" s="123">
        <f>K182/C182</f>
        <v>13.2</v>
      </c>
      <c r="M182" s="125">
        <f>C182*L182</f>
        <v>1016.4</v>
      </c>
      <c r="N182" s="131">
        <v>0</v>
      </c>
      <c r="O182" s="118">
        <f>M182*N182</f>
        <v>0</v>
      </c>
      <c r="P182" s="62"/>
      <c r="Q182" s="62"/>
      <c r="R182" s="62"/>
      <c r="S182" s="62"/>
      <c r="T182" s="62"/>
      <c r="U182" s="103"/>
      <c r="V182" s="103"/>
    </row>
    <row r="183" spans="1:23" s="70" customFormat="1" ht="14.25" x14ac:dyDescent="0.2">
      <c r="A183" s="60"/>
      <c r="B183" s="151" t="s">
        <v>258</v>
      </c>
      <c r="C183" s="152">
        <v>86</v>
      </c>
      <c r="D183" s="153" t="s">
        <v>46</v>
      </c>
      <c r="E183" s="122">
        <v>0.4</v>
      </c>
      <c r="F183" s="122">
        <f>C183*E183</f>
        <v>34.4</v>
      </c>
      <c r="G183" s="122">
        <f>$H$11*E183</f>
        <v>14.4</v>
      </c>
      <c r="H183" s="123">
        <f>F183*$H$11</f>
        <v>1238.3999999999999</v>
      </c>
      <c r="I183" s="135">
        <v>30</v>
      </c>
      <c r="J183" s="123">
        <f>C183*I183</f>
        <v>2580</v>
      </c>
      <c r="K183" s="124">
        <f>SUM(H183,J183)</f>
        <v>3818.3999999999996</v>
      </c>
      <c r="L183" s="123">
        <f>K183/C183</f>
        <v>44.4</v>
      </c>
      <c r="M183" s="125">
        <f>C183*L183</f>
        <v>3818.4</v>
      </c>
      <c r="N183" s="131">
        <v>0</v>
      </c>
      <c r="O183" s="118">
        <f>M183*N183</f>
        <v>0</v>
      </c>
      <c r="P183" s="62"/>
      <c r="Q183" s="62"/>
      <c r="R183" s="62"/>
      <c r="S183" s="62"/>
      <c r="T183" s="62"/>
      <c r="U183" s="103">
        <v>34</v>
      </c>
      <c r="V183" s="103">
        <v>52</v>
      </c>
      <c r="W183" s="103">
        <f>SUM(U183:V183)</f>
        <v>86</v>
      </c>
    </row>
    <row r="184" spans="1:23" s="70" customFormat="1" ht="14.25" x14ac:dyDescent="0.2">
      <c r="A184" s="60"/>
      <c r="B184" s="151" t="s">
        <v>375</v>
      </c>
      <c r="C184" s="152">
        <v>244</v>
      </c>
      <c r="D184" s="153" t="s">
        <v>45</v>
      </c>
      <c r="E184" s="122">
        <v>0.2</v>
      </c>
      <c r="F184" s="122">
        <f>C184*E184</f>
        <v>48.800000000000004</v>
      </c>
      <c r="G184" s="122">
        <f>$H$11*E184</f>
        <v>7.2</v>
      </c>
      <c r="H184" s="123">
        <f>F184*$H$11</f>
        <v>1756.8000000000002</v>
      </c>
      <c r="I184" s="135">
        <v>1</v>
      </c>
      <c r="J184" s="123">
        <f>C184*I184</f>
        <v>244</v>
      </c>
      <c r="K184" s="124">
        <f>SUM(H184,J184)</f>
        <v>2000.8000000000002</v>
      </c>
      <c r="L184" s="123">
        <f>K184/C184</f>
        <v>8.2000000000000011</v>
      </c>
      <c r="M184" s="125">
        <f>C184*L184</f>
        <v>2000.8000000000002</v>
      </c>
      <c r="N184" s="131">
        <v>0</v>
      </c>
      <c r="O184" s="118">
        <f>M184*N184</f>
        <v>0</v>
      </c>
      <c r="P184" s="62"/>
      <c r="Q184" s="62"/>
      <c r="R184" s="62"/>
      <c r="S184" s="62"/>
      <c r="T184" s="62"/>
      <c r="U184" s="103"/>
      <c r="V184" s="103"/>
    </row>
    <row r="185" spans="1:23" s="70" customFormat="1" ht="14.25" x14ac:dyDescent="0.2">
      <c r="A185" s="60"/>
      <c r="B185" s="151"/>
      <c r="C185" s="152"/>
      <c r="D185" s="153"/>
      <c r="E185" s="122"/>
      <c r="F185" s="122"/>
      <c r="G185" s="122"/>
      <c r="H185" s="123"/>
      <c r="I185" s="135"/>
      <c r="J185" s="123"/>
      <c r="K185" s="124"/>
      <c r="L185" s="123"/>
      <c r="M185" s="125"/>
      <c r="N185" s="131"/>
      <c r="O185" s="118"/>
      <c r="P185" s="452">
        <f>SUM(M180:M184)</f>
        <v>17668.66</v>
      </c>
      <c r="Q185" s="450">
        <f>P185*SUM($L$202:$L$206)</f>
        <v>1678.5227</v>
      </c>
      <c r="R185" s="266"/>
      <c r="S185" s="266"/>
      <c r="T185" s="62"/>
      <c r="U185" s="103"/>
      <c r="V185" s="103"/>
    </row>
    <row r="186" spans="1:23" s="70" customFormat="1" ht="14.25" x14ac:dyDescent="0.2">
      <c r="A186" s="60"/>
      <c r="B186" s="151"/>
      <c r="C186" s="152"/>
      <c r="D186" s="153"/>
      <c r="E186" s="122"/>
      <c r="F186" s="122"/>
      <c r="G186" s="122"/>
      <c r="H186" s="123"/>
      <c r="I186" s="135"/>
      <c r="J186" s="123"/>
      <c r="K186" s="124"/>
      <c r="L186" s="123"/>
      <c r="M186" s="125"/>
      <c r="N186" s="131"/>
      <c r="O186" s="118"/>
      <c r="P186" s="451">
        <f>P185/$M$199</f>
        <v>0.10714448362053811</v>
      </c>
      <c r="Q186" s="452">
        <f>P186*$M$210</f>
        <v>839.76337279939207</v>
      </c>
      <c r="R186" s="452">
        <f>SUM(P185,Q185,Q186)</f>
        <v>20186.946072799394</v>
      </c>
      <c r="S186" s="452">
        <f>R186*1.08</f>
        <v>21801.901758623346</v>
      </c>
      <c r="T186" s="62"/>
      <c r="U186" s="103"/>
      <c r="V186" s="103"/>
    </row>
    <row r="187" spans="1:23" s="70" customFormat="1" ht="15" x14ac:dyDescent="0.2">
      <c r="A187" s="60"/>
      <c r="B187" s="169" t="s">
        <v>97</v>
      </c>
      <c r="C187" s="152"/>
      <c r="D187" s="153"/>
      <c r="E187" s="122"/>
      <c r="F187" s="122"/>
      <c r="G187" s="122"/>
      <c r="H187" s="123"/>
      <c r="I187" s="135"/>
      <c r="J187" s="123"/>
      <c r="K187" s="124"/>
      <c r="L187" s="123"/>
      <c r="M187" s="125"/>
      <c r="N187" s="131"/>
      <c r="O187" s="118"/>
      <c r="P187" s="62"/>
      <c r="Q187" s="62"/>
      <c r="R187" s="62"/>
      <c r="S187" s="62"/>
      <c r="T187" s="62"/>
      <c r="U187" s="103"/>
      <c r="V187" s="103"/>
    </row>
    <row r="188" spans="1:23" s="70" customFormat="1" ht="14.25" x14ac:dyDescent="0.2">
      <c r="A188" s="60"/>
      <c r="B188" s="168" t="s">
        <v>74</v>
      </c>
      <c r="C188" s="152"/>
      <c r="D188" s="153"/>
      <c r="E188" s="122"/>
      <c r="F188" s="122"/>
      <c r="G188" s="122"/>
      <c r="H188" s="123"/>
      <c r="I188" s="135"/>
      <c r="J188" s="123"/>
      <c r="K188" s="124"/>
      <c r="L188" s="123"/>
      <c r="M188" s="125"/>
      <c r="N188" s="131"/>
      <c r="O188" s="118"/>
      <c r="P188" s="62"/>
      <c r="Q188" s="62"/>
      <c r="R188" s="62"/>
      <c r="S188" s="62"/>
      <c r="T188" s="62"/>
      <c r="U188" s="103"/>
      <c r="V188" s="103"/>
    </row>
    <row r="189" spans="1:23" s="70" customFormat="1" ht="14.25" x14ac:dyDescent="0.2">
      <c r="A189" s="60"/>
      <c r="B189" s="151" t="s">
        <v>253</v>
      </c>
      <c r="C189" s="152">
        <f>'Gib Linings_25_8'!T574</f>
        <v>259</v>
      </c>
      <c r="D189" s="153" t="s">
        <v>45</v>
      </c>
      <c r="E189" s="122">
        <v>0.2</v>
      </c>
      <c r="F189" s="122">
        <f>C189*E189</f>
        <v>51.800000000000004</v>
      </c>
      <c r="G189" s="122">
        <f>$H$11*E189</f>
        <v>7.2</v>
      </c>
      <c r="H189" s="123">
        <f>F189*$H$11</f>
        <v>1864.8000000000002</v>
      </c>
      <c r="I189" s="393">
        <v>0.85</v>
      </c>
      <c r="J189" s="123">
        <f>C189*I189</f>
        <v>220.15</v>
      </c>
      <c r="K189" s="124">
        <f>SUM(H189,J189)</f>
        <v>2084.9500000000003</v>
      </c>
      <c r="L189" s="123">
        <f>K189/C189</f>
        <v>8.0500000000000007</v>
      </c>
      <c r="M189" s="125">
        <f>C189*L189</f>
        <v>2084.9500000000003</v>
      </c>
      <c r="N189" s="131">
        <v>0</v>
      </c>
      <c r="O189" s="118">
        <f>M189*N189</f>
        <v>0</v>
      </c>
      <c r="P189" s="62"/>
      <c r="Q189" s="62"/>
      <c r="R189" s="62"/>
      <c r="S189" s="62"/>
      <c r="T189" s="62"/>
      <c r="U189" s="103"/>
      <c r="V189" s="103"/>
    </row>
    <row r="190" spans="1:23" s="70" customFormat="1" ht="14.25" x14ac:dyDescent="0.2">
      <c r="A190" s="60"/>
      <c r="B190" s="151" t="s">
        <v>257</v>
      </c>
      <c r="C190" s="152">
        <v>10</v>
      </c>
      <c r="D190" s="153" t="s">
        <v>46</v>
      </c>
      <c r="E190" s="390">
        <v>0.19</v>
      </c>
      <c r="F190" s="122">
        <f>C190*E190</f>
        <v>1.9</v>
      </c>
      <c r="G190" s="122">
        <f>$H$11*E190</f>
        <v>6.84</v>
      </c>
      <c r="H190" s="123">
        <f>F190*$H$11</f>
        <v>68.399999999999991</v>
      </c>
      <c r="I190" s="393">
        <v>2.02</v>
      </c>
      <c r="J190" s="123">
        <f>C190*I190</f>
        <v>20.2</v>
      </c>
      <c r="K190" s="124">
        <f>SUM(H190,J190)</f>
        <v>88.6</v>
      </c>
      <c r="L190" s="123">
        <f>K190/C190</f>
        <v>8.86</v>
      </c>
      <c r="M190" s="125">
        <f>C190*L190</f>
        <v>88.6</v>
      </c>
      <c r="N190" s="131">
        <v>0</v>
      </c>
      <c r="O190" s="118">
        <f>M190*N190</f>
        <v>0</v>
      </c>
      <c r="P190" s="62"/>
      <c r="Q190" s="62"/>
      <c r="R190" s="62"/>
      <c r="S190" s="62"/>
      <c r="T190" s="62"/>
      <c r="U190" s="103"/>
      <c r="V190" s="103"/>
    </row>
    <row r="191" spans="1:23" s="70" customFormat="1" ht="14.25" x14ac:dyDescent="0.2">
      <c r="A191" s="60"/>
      <c r="B191" s="151" t="s">
        <v>259</v>
      </c>
      <c r="C191" s="157" t="s">
        <v>89</v>
      </c>
      <c r="D191" s="153"/>
      <c r="E191" s="122"/>
      <c r="F191" s="122"/>
      <c r="G191" s="122"/>
      <c r="H191" s="123"/>
      <c r="I191" s="135"/>
      <c r="J191" s="123"/>
      <c r="K191" s="124"/>
      <c r="L191" s="123"/>
      <c r="M191" s="125"/>
      <c r="N191" s="131"/>
      <c r="O191" s="118"/>
      <c r="P191" s="62"/>
      <c r="Q191" s="62"/>
      <c r="R191" s="62"/>
      <c r="S191" s="62"/>
      <c r="T191" s="62"/>
      <c r="U191" s="103"/>
      <c r="V191" s="103"/>
    </row>
    <row r="192" spans="1:23" s="70" customFormat="1" ht="14.25" x14ac:dyDescent="0.2">
      <c r="A192" s="60"/>
      <c r="B192" s="151" t="s">
        <v>258</v>
      </c>
      <c r="C192" s="157" t="s">
        <v>89</v>
      </c>
      <c r="D192" s="153"/>
      <c r="E192" s="122"/>
      <c r="F192" s="122"/>
      <c r="G192" s="122"/>
      <c r="H192" s="123"/>
      <c r="I192" s="135"/>
      <c r="J192" s="123"/>
      <c r="K192" s="124"/>
      <c r="L192" s="123"/>
      <c r="M192" s="125"/>
      <c r="N192" s="131"/>
      <c r="O192" s="118"/>
      <c r="P192" s="62"/>
      <c r="Q192" s="62"/>
      <c r="R192" s="62"/>
      <c r="S192" s="62"/>
      <c r="T192" s="62"/>
      <c r="U192" s="103"/>
      <c r="V192" s="103"/>
    </row>
    <row r="193" spans="1:22" s="70" customFormat="1" ht="14.25" x14ac:dyDescent="0.2">
      <c r="A193" s="60"/>
      <c r="B193" s="151"/>
      <c r="C193" s="157"/>
      <c r="D193" s="153"/>
      <c r="E193" s="122"/>
      <c r="F193" s="122"/>
      <c r="G193" s="122"/>
      <c r="H193" s="123"/>
      <c r="I193" s="135"/>
      <c r="J193" s="123"/>
      <c r="K193" s="124"/>
      <c r="L193" s="123"/>
      <c r="M193" s="125"/>
      <c r="N193" s="131"/>
      <c r="O193" s="118"/>
      <c r="P193" s="452">
        <f>SUM(M189:M190)</f>
        <v>2173.5500000000002</v>
      </c>
      <c r="Q193" s="450">
        <f>P193*SUM($L$202:$L$206)</f>
        <v>206.48725000000002</v>
      </c>
      <c r="R193" s="266"/>
      <c r="S193" s="266"/>
      <c r="T193" s="62"/>
      <c r="U193" s="103"/>
      <c r="V193" s="103"/>
    </row>
    <row r="194" spans="1:22" s="70" customFormat="1" ht="15" x14ac:dyDescent="0.2">
      <c r="A194" s="60"/>
      <c r="B194" s="169" t="s">
        <v>396</v>
      </c>
      <c r="C194" s="157"/>
      <c r="D194" s="153"/>
      <c r="E194" s="122"/>
      <c r="F194" s="122"/>
      <c r="G194" s="122"/>
      <c r="H194" s="123"/>
      <c r="I194" s="135"/>
      <c r="J194" s="123"/>
      <c r="K194" s="124"/>
      <c r="L194" s="123"/>
      <c r="M194" s="125"/>
      <c r="N194" s="131"/>
      <c r="O194" s="118"/>
      <c r="P194" s="451">
        <f>P193/$M$199</f>
        <v>1.3180619943641489E-2</v>
      </c>
      <c r="Q194" s="452">
        <f>P194*$M$210</f>
        <v>103.30538246523047</v>
      </c>
      <c r="R194" s="452">
        <f>SUM(P193,Q193,Q194)</f>
        <v>2483.342632465231</v>
      </c>
      <c r="S194" s="452">
        <f>R194*1.08</f>
        <v>2682.0100430624498</v>
      </c>
      <c r="T194" s="62"/>
      <c r="U194" s="103"/>
      <c r="V194" s="103"/>
    </row>
    <row r="195" spans="1:22" s="70" customFormat="1" ht="14.25" x14ac:dyDescent="0.2">
      <c r="A195" s="60"/>
      <c r="B195" s="264" t="s">
        <v>395</v>
      </c>
      <c r="C195" s="170" t="s">
        <v>475</v>
      </c>
      <c r="D195" s="72"/>
      <c r="E195" s="122"/>
      <c r="F195" s="122"/>
      <c r="G195" s="122"/>
      <c r="H195" s="123"/>
      <c r="I195" s="135"/>
      <c r="J195" s="123"/>
      <c r="K195" s="124"/>
      <c r="L195" s="123"/>
      <c r="M195" s="125"/>
      <c r="N195" s="131"/>
      <c r="O195" s="118"/>
      <c r="P195" s="62"/>
      <c r="Q195" s="62"/>
      <c r="R195" s="62"/>
      <c r="S195" s="62"/>
      <c r="T195" s="62"/>
      <c r="U195" s="103"/>
      <c r="V195" s="103"/>
    </row>
    <row r="196" spans="1:22" s="70" customFormat="1" ht="14.25" x14ac:dyDescent="0.2">
      <c r="A196" s="60"/>
      <c r="B196" s="151"/>
      <c r="C196" s="152"/>
      <c r="D196" s="153"/>
      <c r="E196" s="122"/>
      <c r="F196" s="122"/>
      <c r="G196" s="122"/>
      <c r="H196" s="123"/>
      <c r="I196" s="135"/>
      <c r="J196" s="123"/>
      <c r="K196" s="124"/>
      <c r="L196" s="123"/>
      <c r="M196" s="125"/>
      <c r="N196" s="131"/>
      <c r="O196" s="118"/>
      <c r="P196" s="62"/>
      <c r="Q196" s="62"/>
      <c r="R196" s="62"/>
      <c r="S196" s="62"/>
      <c r="T196" s="62"/>
      <c r="U196" s="103"/>
      <c r="V196" s="103"/>
    </row>
    <row r="197" spans="1:22" ht="14.25" x14ac:dyDescent="0.2">
      <c r="A197" s="60"/>
      <c r="B197" s="120"/>
      <c r="C197" s="126"/>
      <c r="D197" s="130"/>
      <c r="E197" s="121"/>
      <c r="F197" s="122"/>
      <c r="G197" s="122"/>
      <c r="H197" s="123"/>
      <c r="I197" s="123"/>
      <c r="J197" s="123"/>
      <c r="K197" s="124"/>
      <c r="L197" s="123"/>
      <c r="M197" s="125"/>
      <c r="N197" s="119"/>
      <c r="O197" s="118"/>
      <c r="P197" s="62"/>
      <c r="Q197" s="62"/>
      <c r="R197" s="62"/>
      <c r="S197" s="62"/>
      <c r="T197" s="62"/>
      <c r="U197" s="17"/>
      <c r="V197" s="17"/>
    </row>
    <row r="198" spans="1:22" ht="24" customHeight="1" x14ac:dyDescent="0.2">
      <c r="A198" s="29"/>
      <c r="B198" s="30"/>
      <c r="C198" s="31"/>
      <c r="D198" s="32"/>
      <c r="E198" s="32"/>
      <c r="F198" s="32">
        <f>SUM(F13:F197)</f>
        <v>3483.4100000000008</v>
      </c>
      <c r="G198" s="32"/>
      <c r="H198" s="83">
        <f>SUM(H13:H197)</f>
        <v>125402.75999999997</v>
      </c>
      <c r="I198" s="32"/>
      <c r="J198" s="75">
        <f>SUM(J13:J197)</f>
        <v>39502.230000000003</v>
      </c>
      <c r="K198" s="32"/>
      <c r="L198" s="32"/>
      <c r="M198" s="66"/>
      <c r="N198" s="86"/>
      <c r="O198" s="96"/>
      <c r="P198" s="62"/>
      <c r="Q198" s="62"/>
      <c r="R198" s="452">
        <f>SUM(R13:R197)</f>
        <v>188408.63655</v>
      </c>
      <c r="S198" s="452">
        <f>SUM(S13:S197)</f>
        <v>203481.32747399996</v>
      </c>
      <c r="T198" s="62"/>
      <c r="U198" s="17"/>
      <c r="V198" s="17"/>
    </row>
    <row r="199" spans="1:22" ht="15" customHeight="1" x14ac:dyDescent="0.2">
      <c r="A199" s="13"/>
      <c r="B199" s="27" t="s">
        <v>16</v>
      </c>
      <c r="C199" s="23"/>
      <c r="D199" s="24"/>
      <c r="E199" s="24"/>
      <c r="F199" s="24"/>
      <c r="G199" s="24"/>
      <c r="H199" s="24"/>
      <c r="I199" s="24"/>
      <c r="J199" s="24"/>
      <c r="K199" s="24"/>
      <c r="L199" s="24"/>
      <c r="M199" s="25">
        <f>SUM(M13:M197)</f>
        <v>164904.99</v>
      </c>
      <c r="N199" s="92"/>
      <c r="O199" s="95">
        <f>SUM(O13:O197)</f>
        <v>0</v>
      </c>
      <c r="P199" s="62"/>
      <c r="Q199" s="62"/>
      <c r="R199" s="62"/>
      <c r="S199" s="62"/>
      <c r="T199" s="62"/>
      <c r="U199" s="17"/>
      <c r="V199" s="17"/>
    </row>
    <row r="200" spans="1:22" x14ac:dyDescent="0.2">
      <c r="A200" s="11"/>
      <c r="B200" s="34" t="s">
        <v>12</v>
      </c>
      <c r="C200" s="23"/>
      <c r="D200" s="35"/>
      <c r="E200" s="35"/>
      <c r="F200" s="35"/>
      <c r="G200" s="35"/>
      <c r="H200" s="35"/>
      <c r="I200" s="35"/>
      <c r="J200" s="35"/>
      <c r="K200" s="35"/>
      <c r="L200" s="35"/>
      <c r="M200" s="25"/>
      <c r="N200" s="92"/>
      <c r="O200" s="95"/>
      <c r="P200" s="62"/>
      <c r="Q200" s="62"/>
      <c r="R200" s="62"/>
      <c r="S200" s="62"/>
      <c r="T200" s="62"/>
      <c r="U200" s="17"/>
      <c r="V200" s="17"/>
    </row>
    <row r="201" spans="1:22" ht="12.75" customHeight="1" x14ac:dyDescent="0.2">
      <c r="A201" s="11"/>
      <c r="B201" s="36"/>
      <c r="C201" s="23"/>
      <c r="D201" s="35"/>
      <c r="E201" s="35"/>
      <c r="F201" s="35"/>
      <c r="G201" s="35"/>
      <c r="H201" s="35"/>
      <c r="I201" s="35"/>
      <c r="J201" s="35"/>
      <c r="K201" s="35"/>
      <c r="L201" s="35"/>
      <c r="M201" s="25"/>
      <c r="N201" s="92"/>
      <c r="O201" s="95"/>
      <c r="P201" s="17"/>
      <c r="Q201" s="17"/>
      <c r="R201" s="17"/>
      <c r="S201" s="17"/>
      <c r="T201" s="17"/>
      <c r="U201" s="17"/>
      <c r="V201" s="17"/>
    </row>
    <row r="202" spans="1:22" ht="12.75" customHeight="1" x14ac:dyDescent="0.2">
      <c r="A202" s="13"/>
      <c r="B202" s="11" t="s">
        <v>8</v>
      </c>
      <c r="C202" s="23"/>
      <c r="D202" s="35" t="s">
        <v>5</v>
      </c>
      <c r="E202" s="35"/>
      <c r="F202" s="35"/>
      <c r="G202" s="35"/>
      <c r="H202" s="35"/>
      <c r="I202" s="35"/>
      <c r="J202" s="35"/>
      <c r="K202" s="35"/>
      <c r="L202" s="76">
        <v>0.06</v>
      </c>
      <c r="M202" s="81">
        <f>M199*L202</f>
        <v>9894.2993999999999</v>
      </c>
      <c r="N202" s="156"/>
      <c r="O202" s="95">
        <f>($O$199/$M$199)*M202</f>
        <v>0</v>
      </c>
      <c r="P202" s="17"/>
      <c r="Q202" s="17"/>
      <c r="R202" s="17"/>
      <c r="S202" s="17"/>
      <c r="T202" s="17"/>
    </row>
    <row r="203" spans="1:22" ht="12.75" customHeight="1" x14ac:dyDescent="0.2">
      <c r="A203" s="37"/>
      <c r="B203" s="11"/>
      <c r="C203" s="23"/>
      <c r="D203" s="35"/>
      <c r="E203" s="35"/>
      <c r="F203" s="35"/>
      <c r="G203" s="35"/>
      <c r="H203" s="35"/>
      <c r="I203" s="35"/>
      <c r="J203" s="35"/>
      <c r="K203" s="35"/>
      <c r="L203" s="35"/>
      <c r="M203" s="25"/>
      <c r="N203" s="92"/>
      <c r="O203" s="95"/>
      <c r="P203" s="17"/>
      <c r="Q203" s="17"/>
      <c r="R203" s="17"/>
      <c r="S203" s="17"/>
      <c r="T203" s="17"/>
    </row>
    <row r="204" spans="1:22" s="41" customFormat="1" x14ac:dyDescent="0.2">
      <c r="A204" s="13"/>
      <c r="B204" s="38" t="s">
        <v>9</v>
      </c>
      <c r="C204" s="39"/>
      <c r="D204" s="40" t="s">
        <v>5</v>
      </c>
      <c r="E204" s="40"/>
      <c r="F204" s="40"/>
      <c r="G204" s="40"/>
      <c r="H204" s="40"/>
      <c r="I204" s="40"/>
      <c r="J204" s="40"/>
      <c r="K204" s="40"/>
      <c r="L204" s="76">
        <v>0.03</v>
      </c>
      <c r="M204" s="33">
        <f>M199*L204</f>
        <v>4947.1496999999999</v>
      </c>
      <c r="N204" s="92"/>
      <c r="O204" s="95">
        <f t="shared" ref="O204:O210" si="0">($O$199/$M$199)*M204</f>
        <v>0</v>
      </c>
    </row>
    <row r="205" spans="1:22" s="41" customFormat="1" x14ac:dyDescent="0.2">
      <c r="A205" s="13"/>
      <c r="B205" s="38"/>
      <c r="C205" s="39"/>
      <c r="D205" s="40"/>
      <c r="E205" s="40"/>
      <c r="F205" s="40"/>
      <c r="G205" s="40"/>
      <c r="H205" s="40"/>
      <c r="I205" s="40"/>
      <c r="J205" s="40"/>
      <c r="K205" s="40"/>
      <c r="L205" s="40"/>
      <c r="M205" s="33"/>
      <c r="N205" s="92"/>
      <c r="O205" s="95"/>
    </row>
    <row r="206" spans="1:22" s="41" customFormat="1" x14ac:dyDescent="0.2">
      <c r="A206" s="13"/>
      <c r="B206" s="38" t="s">
        <v>10</v>
      </c>
      <c r="C206" s="39"/>
      <c r="D206" s="40" t="s">
        <v>5</v>
      </c>
      <c r="E206" s="40"/>
      <c r="F206" s="40"/>
      <c r="G206" s="40"/>
      <c r="H206" s="40"/>
      <c r="I206" s="40"/>
      <c r="J206" s="40"/>
      <c r="K206" s="40"/>
      <c r="L206" s="76">
        <v>5.0000000000000001E-3</v>
      </c>
      <c r="M206" s="33">
        <f>M199*L206</f>
        <v>824.52494999999999</v>
      </c>
      <c r="N206" s="92"/>
      <c r="O206" s="95">
        <f t="shared" si="0"/>
        <v>0</v>
      </c>
    </row>
    <row r="207" spans="1:22" s="41" customFormat="1" x14ac:dyDescent="0.2">
      <c r="A207" s="13"/>
      <c r="B207" s="77"/>
      <c r="C207" s="78"/>
      <c r="D207" s="79"/>
      <c r="E207" s="79"/>
      <c r="F207" s="79"/>
      <c r="G207" s="79"/>
      <c r="H207" s="79"/>
      <c r="I207" s="79"/>
      <c r="J207" s="79"/>
      <c r="K207" s="79"/>
      <c r="L207" s="79"/>
      <c r="M207" s="82"/>
      <c r="N207" s="92"/>
      <c r="O207" s="95"/>
    </row>
    <row r="208" spans="1:22" s="41" customFormat="1" x14ac:dyDescent="0.2">
      <c r="A208" s="28"/>
      <c r="B208" s="129" t="s">
        <v>250</v>
      </c>
      <c r="C208" s="78"/>
      <c r="D208" s="79" t="s">
        <v>5</v>
      </c>
      <c r="E208" s="79"/>
      <c r="F208" s="79"/>
      <c r="G208" s="79"/>
      <c r="H208" s="79"/>
      <c r="I208" s="79"/>
      <c r="J208" s="79"/>
      <c r="K208" s="79"/>
      <c r="L208" s="80"/>
      <c r="M208" s="82"/>
      <c r="N208" s="92"/>
      <c r="O208" s="95"/>
    </row>
    <row r="209" spans="1:20" s="41" customFormat="1" x14ac:dyDescent="0.2">
      <c r="A209" s="28"/>
      <c r="B209" s="77"/>
      <c r="C209" s="78"/>
      <c r="D209" s="79"/>
      <c r="E209" s="79"/>
      <c r="F209" s="79"/>
      <c r="G209" s="79"/>
      <c r="H209" s="79"/>
      <c r="I209" s="79"/>
      <c r="J209" s="79"/>
      <c r="K209" s="79"/>
      <c r="L209" s="79"/>
      <c r="M209" s="82"/>
      <c r="N209" s="92"/>
      <c r="O209" s="95"/>
    </row>
    <row r="210" spans="1:20" s="41" customFormat="1" x14ac:dyDescent="0.2">
      <c r="A210" s="28"/>
      <c r="B210" s="147" t="s">
        <v>251</v>
      </c>
      <c r="C210" s="78"/>
      <c r="D210" s="79" t="s">
        <v>5</v>
      </c>
      <c r="E210" s="79"/>
      <c r="F210" s="79"/>
      <c r="G210" s="79"/>
      <c r="H210" s="79"/>
      <c r="I210" s="79"/>
      <c r="J210" s="79"/>
      <c r="K210" s="79"/>
      <c r="L210" s="80">
        <f>M210/M199</f>
        <v>4.7528413179006905E-2</v>
      </c>
      <c r="M210" s="148">
        <f>I221</f>
        <v>7837.6725000000015</v>
      </c>
      <c r="N210" s="92"/>
      <c r="O210" s="95">
        <f t="shared" si="0"/>
        <v>0</v>
      </c>
    </row>
    <row r="211" spans="1:20" s="41" customFormat="1" x14ac:dyDescent="0.2">
      <c r="A211" s="13"/>
      <c r="B211" s="77"/>
      <c r="C211" s="78"/>
      <c r="D211" s="79"/>
      <c r="E211" s="79"/>
      <c r="F211" s="79"/>
      <c r="G211" s="79"/>
      <c r="H211" s="79"/>
      <c r="I211" s="79"/>
      <c r="J211" s="79"/>
      <c r="K211" s="79"/>
      <c r="L211" s="79"/>
      <c r="M211" s="33"/>
      <c r="N211" s="92"/>
      <c r="O211" s="97"/>
    </row>
    <row r="212" spans="1:20" x14ac:dyDescent="0.2">
      <c r="A212" s="42"/>
      <c r="B212" s="43" t="s">
        <v>17</v>
      </c>
      <c r="C212" s="44"/>
      <c r="D212" s="45"/>
      <c r="E212" s="45"/>
      <c r="F212" s="45"/>
      <c r="G212" s="45"/>
      <c r="H212" s="45"/>
      <c r="I212" s="45"/>
      <c r="J212" s="45"/>
      <c r="K212" s="45"/>
      <c r="L212" s="45"/>
      <c r="M212" s="67">
        <f>SUM(M199:M211)</f>
        <v>188408.63655</v>
      </c>
      <c r="N212" s="93"/>
      <c r="O212" s="98">
        <f>SUM(O199:O211)</f>
        <v>0</v>
      </c>
      <c r="P212" s="17"/>
      <c r="Q212" s="17"/>
      <c r="R212" s="17"/>
      <c r="S212" s="17"/>
      <c r="T212" s="17"/>
    </row>
    <row r="213" spans="1:20" x14ac:dyDescent="0.2">
      <c r="A213" s="13"/>
      <c r="B213" s="18"/>
      <c r="C213" s="23"/>
      <c r="D213" s="35"/>
      <c r="E213" s="35"/>
      <c r="F213" s="35"/>
      <c r="G213" s="35"/>
      <c r="H213" s="35"/>
      <c r="I213" s="35"/>
      <c r="J213" s="35"/>
      <c r="K213" s="35"/>
      <c r="L213" s="35"/>
      <c r="M213" s="25"/>
      <c r="N213" s="87"/>
      <c r="O213" s="99"/>
      <c r="P213" s="17"/>
      <c r="Q213" s="17"/>
      <c r="R213" s="17"/>
      <c r="S213" s="17"/>
      <c r="T213" s="17"/>
    </row>
    <row r="214" spans="1:20" x14ac:dyDescent="0.2">
      <c r="A214" s="13"/>
      <c r="B214" s="18" t="s">
        <v>11</v>
      </c>
      <c r="C214" s="23"/>
      <c r="D214" s="35"/>
      <c r="E214" s="35"/>
      <c r="F214" s="35"/>
      <c r="G214" s="35"/>
      <c r="H214" s="35"/>
      <c r="I214" s="35"/>
      <c r="J214" s="35"/>
      <c r="K214" s="35"/>
      <c r="L214" s="76">
        <v>0.08</v>
      </c>
      <c r="M214" s="25">
        <f>M212*L214</f>
        <v>15072.690924</v>
      </c>
      <c r="N214" s="87"/>
      <c r="O214" s="99">
        <f>O212/M212*M214</f>
        <v>0</v>
      </c>
      <c r="P214" s="17"/>
      <c r="Q214" s="17"/>
      <c r="R214" s="17"/>
      <c r="S214" s="17"/>
      <c r="T214" s="17"/>
    </row>
    <row r="215" spans="1:20" x14ac:dyDescent="0.2">
      <c r="A215" s="46"/>
      <c r="B215" s="47"/>
      <c r="C215" s="48"/>
      <c r="D215" s="48"/>
      <c r="E215" s="48"/>
      <c r="F215" s="48"/>
      <c r="G215" s="48"/>
      <c r="H215" s="48"/>
      <c r="I215" s="48"/>
      <c r="J215" s="48"/>
      <c r="K215" s="48"/>
      <c r="L215" s="48"/>
      <c r="M215" s="68"/>
      <c r="N215" s="87"/>
      <c r="O215" s="99"/>
      <c r="P215" s="17"/>
      <c r="Q215" s="17"/>
      <c r="R215" s="17"/>
      <c r="S215" s="17"/>
      <c r="T215" s="17"/>
    </row>
    <row r="216" spans="1:20" ht="13.5" customHeight="1" x14ac:dyDescent="0.2">
      <c r="A216" s="49"/>
      <c r="B216" s="55" t="s">
        <v>53</v>
      </c>
      <c r="C216" s="50"/>
      <c r="D216" s="51"/>
      <c r="E216" s="51"/>
      <c r="F216" s="51"/>
      <c r="G216" s="51"/>
      <c r="H216" s="51"/>
      <c r="I216" s="51"/>
      <c r="J216" s="51"/>
      <c r="K216" s="51"/>
      <c r="L216" s="51"/>
      <c r="M216" s="69">
        <f>ROUNDUP(SUM(M212:M215),0)</f>
        <v>203482</v>
      </c>
      <c r="N216" s="133">
        <f>O216/M216</f>
        <v>0</v>
      </c>
      <c r="O216" s="102">
        <f>SUM(O212:O215)</f>
        <v>0</v>
      </c>
      <c r="P216" s="17"/>
      <c r="Q216" s="17"/>
      <c r="R216" s="17"/>
      <c r="S216" s="17"/>
      <c r="T216" s="17"/>
    </row>
    <row r="217" spans="1:20" x14ac:dyDescent="0.2">
      <c r="M217" s="52"/>
      <c r="N217" s="88"/>
      <c r="O217" s="100"/>
      <c r="P217" s="17"/>
      <c r="Q217" s="17"/>
      <c r="R217" s="17"/>
      <c r="S217" s="17"/>
      <c r="T217" s="17"/>
    </row>
    <row r="218" spans="1:20" x14ac:dyDescent="0.2">
      <c r="G218" s="297" t="s">
        <v>339</v>
      </c>
      <c r="H218" s="298"/>
      <c r="I218" s="298"/>
      <c r="J218" s="299"/>
      <c r="M218" s="52"/>
      <c r="N218" s="88"/>
      <c r="O218" s="100"/>
      <c r="P218" s="17"/>
      <c r="Q218" s="17"/>
      <c r="R218" s="17"/>
      <c r="S218" s="17"/>
      <c r="T218" s="17"/>
    </row>
    <row r="219" spans="1:20" x14ac:dyDescent="0.2">
      <c r="G219" s="300"/>
      <c r="H219" s="301" t="s">
        <v>338</v>
      </c>
      <c r="I219" s="302"/>
      <c r="J219" s="303"/>
      <c r="M219" s="52"/>
      <c r="N219" s="88"/>
      <c r="O219" s="100"/>
      <c r="P219" s="17"/>
      <c r="Q219" s="17"/>
      <c r="R219" s="17"/>
      <c r="S219" s="17"/>
      <c r="T219" s="17"/>
    </row>
    <row r="220" spans="1:20" x14ac:dyDescent="0.2">
      <c r="G220" s="300">
        <f>F198/8</f>
        <v>435.4262500000001</v>
      </c>
      <c r="H220" s="308">
        <v>1</v>
      </c>
      <c r="I220" s="302"/>
      <c r="J220" s="303"/>
      <c r="M220" s="52"/>
      <c r="N220" s="88"/>
      <c r="O220" s="100"/>
      <c r="P220" s="17"/>
      <c r="Q220" s="17"/>
      <c r="R220" s="17"/>
      <c r="S220" s="17"/>
      <c r="T220" s="17"/>
    </row>
    <row r="221" spans="1:20" x14ac:dyDescent="0.2">
      <c r="G221" s="300">
        <f>G220/H220</f>
        <v>435.4262500000001</v>
      </c>
      <c r="H221" s="304">
        <v>18</v>
      </c>
      <c r="I221" s="304">
        <f>G221*H221</f>
        <v>7837.6725000000015</v>
      </c>
      <c r="J221" s="303"/>
      <c r="M221" s="52"/>
      <c r="N221" s="88"/>
      <c r="O221" s="100"/>
      <c r="P221" s="17"/>
      <c r="Q221" s="17"/>
      <c r="R221" s="17"/>
      <c r="S221" s="17"/>
      <c r="T221" s="17"/>
    </row>
    <row r="222" spans="1:20" x14ac:dyDescent="0.2">
      <c r="G222" s="300"/>
      <c r="H222" s="302"/>
      <c r="I222" s="302"/>
      <c r="J222" s="303"/>
      <c r="M222" s="52"/>
      <c r="N222" s="88"/>
      <c r="O222" s="100"/>
      <c r="P222" s="17"/>
      <c r="Q222" s="17"/>
      <c r="R222" s="17"/>
      <c r="S222" s="17"/>
      <c r="T222" s="17"/>
    </row>
    <row r="223" spans="1:20" x14ac:dyDescent="0.2">
      <c r="G223" s="305"/>
      <c r="H223" s="306"/>
      <c r="I223" s="306"/>
      <c r="J223" s="307"/>
      <c r="M223" s="52"/>
      <c r="N223" s="88"/>
      <c r="O223" s="100"/>
      <c r="P223" s="17"/>
      <c r="Q223" s="17"/>
      <c r="R223" s="17"/>
      <c r="S223" s="17"/>
      <c r="T223" s="17"/>
    </row>
    <row r="224" spans="1:20" x14ac:dyDescent="0.2">
      <c r="F224" s="160"/>
      <c r="G224" s="160"/>
      <c r="H224" s="161"/>
      <c r="I224" s="162"/>
      <c r="M224" s="52"/>
      <c r="N224" s="88"/>
      <c r="O224" s="101"/>
      <c r="P224" s="17"/>
      <c r="Q224" s="17"/>
      <c r="R224" s="17"/>
      <c r="S224" s="17"/>
      <c r="T224" s="17"/>
    </row>
    <row r="225" spans="2:20" x14ac:dyDescent="0.2">
      <c r="F225" s="160"/>
      <c r="G225" s="160"/>
      <c r="H225" s="162"/>
      <c r="I225" s="162"/>
      <c r="M225" s="52"/>
      <c r="N225" s="88"/>
      <c r="O225" s="101"/>
      <c r="P225" s="17"/>
      <c r="Q225" s="17"/>
      <c r="R225" s="17"/>
      <c r="S225" s="17"/>
      <c r="T225" s="17"/>
    </row>
    <row r="226" spans="2:20" x14ac:dyDescent="0.2">
      <c r="H226" s="58"/>
      <c r="M226" s="52"/>
      <c r="N226" s="88"/>
      <c r="O226" s="101"/>
      <c r="P226" s="17"/>
      <c r="Q226" s="17"/>
      <c r="R226" s="17"/>
      <c r="S226" s="17"/>
      <c r="T226" s="17"/>
    </row>
    <row r="227" spans="2:20" ht="15" x14ac:dyDescent="0.25">
      <c r="B227" s="106" t="s">
        <v>29</v>
      </c>
      <c r="C227" s="107"/>
      <c r="D227" s="107"/>
      <c r="E227" s="107"/>
      <c r="F227" s="107"/>
      <c r="I227" s="106" t="s">
        <v>29</v>
      </c>
      <c r="J227" s="107"/>
      <c r="K227" s="107"/>
      <c r="L227" s="107"/>
      <c r="M227" s="107"/>
      <c r="O227" s="101"/>
    </row>
    <row r="228" spans="2:20" x14ac:dyDescent="0.2">
      <c r="B228" s="108" t="s">
        <v>42</v>
      </c>
      <c r="C228" s="109"/>
      <c r="D228" s="104"/>
      <c r="E228" s="104"/>
      <c r="F228" s="104"/>
      <c r="I228" s="108" t="s">
        <v>30</v>
      </c>
      <c r="J228" s="109"/>
      <c r="K228" s="104"/>
      <c r="L228" s="104"/>
      <c r="M228" s="104"/>
      <c r="O228" s="101"/>
    </row>
    <row r="229" spans="2:20" ht="15" x14ac:dyDescent="0.25">
      <c r="B229" s="108" t="s">
        <v>31</v>
      </c>
      <c r="C229" s="109" t="s">
        <v>32</v>
      </c>
      <c r="D229" s="104" t="s">
        <v>33</v>
      </c>
      <c r="E229" s="104" t="s">
        <v>34</v>
      </c>
      <c r="F229" s="107"/>
      <c r="I229" s="108" t="s">
        <v>31</v>
      </c>
      <c r="J229" s="109" t="s">
        <v>32</v>
      </c>
      <c r="K229" s="104" t="s">
        <v>33</v>
      </c>
      <c r="L229" s="104" t="s">
        <v>34</v>
      </c>
      <c r="M229" s="107"/>
      <c r="O229" s="101"/>
    </row>
    <row r="230" spans="2:20" x14ac:dyDescent="0.2">
      <c r="B230" s="110">
        <v>1</v>
      </c>
      <c r="C230" s="109">
        <v>55</v>
      </c>
      <c r="D230" s="104">
        <f>B230*C230</f>
        <v>55</v>
      </c>
      <c r="E230" s="104">
        <f>D230*F230</f>
        <v>110</v>
      </c>
      <c r="F230" s="111">
        <v>2</v>
      </c>
      <c r="I230" s="110">
        <v>4</v>
      </c>
      <c r="J230" s="109">
        <v>55</v>
      </c>
      <c r="K230" s="104">
        <f>I230*J230</f>
        <v>220</v>
      </c>
      <c r="L230" s="104">
        <f>K230*M230</f>
        <v>440</v>
      </c>
      <c r="M230" s="111">
        <v>2</v>
      </c>
      <c r="O230" s="101"/>
    </row>
    <row r="231" spans="2:20" x14ac:dyDescent="0.2">
      <c r="B231" s="108" t="s">
        <v>35</v>
      </c>
      <c r="C231" s="109"/>
      <c r="D231" s="104"/>
      <c r="E231" s="104" t="s">
        <v>36</v>
      </c>
      <c r="F231" s="104"/>
      <c r="I231" s="108" t="s">
        <v>35</v>
      </c>
      <c r="J231" s="109"/>
      <c r="K231" s="104"/>
      <c r="L231" s="104" t="s">
        <v>36</v>
      </c>
      <c r="M231" s="104"/>
      <c r="O231" s="101"/>
    </row>
    <row r="232" spans="2:20" ht="15" x14ac:dyDescent="0.25">
      <c r="B232" s="108">
        <v>0.7</v>
      </c>
      <c r="C232" s="112"/>
      <c r="D232" s="107"/>
      <c r="E232" s="104">
        <f>B232*C232</f>
        <v>0</v>
      </c>
      <c r="F232" s="104"/>
      <c r="I232" s="108">
        <v>0.7</v>
      </c>
      <c r="J232" s="112">
        <v>310</v>
      </c>
      <c r="K232" s="107"/>
      <c r="L232" s="104">
        <f>I232*J232</f>
        <v>217</v>
      </c>
      <c r="M232" s="104"/>
      <c r="O232" s="101"/>
    </row>
    <row r="233" spans="2:20" x14ac:dyDescent="0.2">
      <c r="B233" s="108" t="s">
        <v>37</v>
      </c>
      <c r="C233" s="109"/>
      <c r="D233" s="104"/>
      <c r="E233" s="104">
        <f>SUM(E230:E232)</f>
        <v>110</v>
      </c>
      <c r="F233" s="104"/>
      <c r="I233" s="108" t="s">
        <v>37</v>
      </c>
      <c r="J233" s="109"/>
      <c r="K233" s="104"/>
      <c r="L233" s="104">
        <f>SUM(L230:L232)</f>
        <v>657</v>
      </c>
      <c r="M233" s="104"/>
      <c r="O233" s="101"/>
    </row>
    <row r="234" spans="2:20" x14ac:dyDescent="0.2">
      <c r="B234" s="110">
        <v>2</v>
      </c>
      <c r="C234" s="109"/>
      <c r="D234" s="104"/>
      <c r="E234" s="104">
        <f>B234*E233</f>
        <v>220</v>
      </c>
      <c r="F234" s="104"/>
      <c r="I234" s="110">
        <v>1</v>
      </c>
      <c r="J234" s="109"/>
      <c r="K234" s="104"/>
      <c r="L234" s="104">
        <f>I234*L233</f>
        <v>657</v>
      </c>
      <c r="M234" s="104"/>
      <c r="O234" s="101"/>
    </row>
    <row r="235" spans="2:20" x14ac:dyDescent="0.2">
      <c r="B235" s="108" t="s">
        <v>38</v>
      </c>
      <c r="C235" s="109" t="s">
        <v>39</v>
      </c>
      <c r="D235" s="104"/>
      <c r="E235" s="104" t="s">
        <v>40</v>
      </c>
      <c r="F235" s="104"/>
      <c r="I235" s="108" t="s">
        <v>38</v>
      </c>
      <c r="J235" s="109" t="s">
        <v>39</v>
      </c>
      <c r="K235" s="104"/>
      <c r="L235" s="104" t="s">
        <v>40</v>
      </c>
      <c r="M235" s="104"/>
    </row>
    <row r="236" spans="2:20" x14ac:dyDescent="0.2">
      <c r="B236" s="110"/>
      <c r="C236" s="112"/>
      <c r="D236" s="104">
        <f>B236*C236</f>
        <v>0</v>
      </c>
      <c r="E236" s="104">
        <f>D236*F230</f>
        <v>0</v>
      </c>
      <c r="F236" s="104"/>
      <c r="I236" s="110">
        <v>125</v>
      </c>
      <c r="J236" s="112">
        <v>4</v>
      </c>
      <c r="K236" s="104">
        <f>I236*J236</f>
        <v>500</v>
      </c>
      <c r="L236" s="104">
        <f>K236*M230</f>
        <v>1000</v>
      </c>
      <c r="M236" s="104"/>
    </row>
    <row r="237" spans="2:20" x14ac:dyDescent="0.2">
      <c r="B237" s="108"/>
      <c r="C237" s="109"/>
      <c r="D237" s="104"/>
      <c r="E237" s="105">
        <f>SUM(E234:E236)</f>
        <v>220</v>
      </c>
      <c r="F237" s="104"/>
      <c r="I237" s="108"/>
      <c r="J237" s="109"/>
      <c r="K237" s="104"/>
      <c r="L237" s="105">
        <f>SUM(L234:L236)</f>
        <v>1657</v>
      </c>
      <c r="M237" s="104"/>
    </row>
  </sheetData>
  <pageMargins left="0.7" right="0.7" top="0.75" bottom="0.75" header="0.3" footer="0.3"/>
  <pageSetup paperSize="9" fitToHeight="0"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507A55-24E3-42FF-942A-7C58768E345A}">
  <sheetPr>
    <pageSetUpPr fitToPage="1"/>
  </sheetPr>
  <dimension ref="A1:AB133"/>
  <sheetViews>
    <sheetView topLeftCell="A72" zoomScale="85" zoomScaleNormal="85" workbookViewId="0">
      <selection activeCell="R94" sqref="R94"/>
    </sheetView>
  </sheetViews>
  <sheetFormatPr defaultRowHeight="12.75" x14ac:dyDescent="0.2"/>
  <cols>
    <col min="1" max="1" width="4.85546875" style="12" customWidth="1"/>
    <col min="2" max="2" width="42.42578125" style="12" customWidth="1"/>
    <col min="3" max="3" width="22" style="12" customWidth="1"/>
    <col min="4" max="4" width="12.140625" style="12" customWidth="1"/>
    <col min="5" max="5" width="8" style="12" customWidth="1"/>
    <col min="6" max="7" width="11.5703125" style="12" customWidth="1"/>
    <col min="8" max="8" width="15" style="12" customWidth="1"/>
    <col min="9" max="9" width="10.42578125" style="12" customWidth="1"/>
    <col min="10" max="12" width="11.5703125" style="12" customWidth="1"/>
    <col min="13" max="13" width="14.7109375" style="12" customWidth="1"/>
    <col min="14" max="14" width="11" style="84" customWidth="1"/>
    <col min="15" max="15" width="13.140625" style="12" customWidth="1"/>
    <col min="16" max="19" width="12.28515625" style="12" customWidth="1"/>
    <col min="20" max="20" width="9.140625" style="12"/>
    <col min="21" max="21" width="10.7109375" style="12" customWidth="1"/>
    <col min="22" max="16384" width="9.140625" style="12"/>
  </cols>
  <sheetData>
    <row r="1" spans="1:21" ht="15.75" x14ac:dyDescent="0.2">
      <c r="A1" s="11"/>
      <c r="B1" s="2" t="e">
        <f>Summary!#REF!</f>
        <v>#REF!</v>
      </c>
      <c r="C1" s="11"/>
      <c r="D1" s="11"/>
      <c r="E1" s="11"/>
      <c r="F1" s="11"/>
      <c r="G1" s="11"/>
      <c r="H1" s="11"/>
      <c r="I1" s="11"/>
      <c r="J1" s="11"/>
      <c r="K1" s="11"/>
      <c r="L1" s="11"/>
      <c r="M1" s="11"/>
    </row>
    <row r="2" spans="1:21" ht="15.75" x14ac:dyDescent="0.2">
      <c r="A2" s="11"/>
      <c r="B2" s="10" t="e">
        <f>Summary!#REF!</f>
        <v>#REF!</v>
      </c>
      <c r="C2" s="11"/>
      <c r="D2" s="11"/>
      <c r="E2" s="11"/>
      <c r="F2" s="11"/>
      <c r="G2" s="11"/>
      <c r="H2" s="11"/>
      <c r="I2" s="11"/>
      <c r="J2" s="11"/>
      <c r="K2" s="11"/>
      <c r="L2" s="11"/>
      <c r="M2" s="11"/>
    </row>
    <row r="3" spans="1:21" ht="15.75" x14ac:dyDescent="0.2">
      <c r="A3" s="11"/>
      <c r="B3" s="10" t="e">
        <f>Summary!#REF!</f>
        <v>#REF!</v>
      </c>
      <c r="C3" s="11"/>
      <c r="D3" s="11"/>
      <c r="E3" s="11"/>
      <c r="F3" s="11"/>
      <c r="G3" s="11"/>
      <c r="H3" s="11"/>
      <c r="I3" s="11"/>
      <c r="J3" s="11"/>
      <c r="K3" s="11"/>
      <c r="L3" s="11"/>
      <c r="M3" s="11"/>
    </row>
    <row r="4" spans="1:21" ht="15.75" x14ac:dyDescent="0.2">
      <c r="A4" s="11"/>
      <c r="B4" s="5"/>
      <c r="C4" s="11"/>
      <c r="D4" s="11"/>
      <c r="E4" s="11"/>
      <c r="F4" s="11"/>
      <c r="G4" s="11"/>
      <c r="H4" s="11"/>
      <c r="I4" s="11"/>
      <c r="J4" s="11"/>
      <c r="K4" s="11"/>
      <c r="L4" s="11"/>
      <c r="M4" s="11"/>
    </row>
    <row r="5" spans="1:21" ht="15.75" x14ac:dyDescent="0.2">
      <c r="A5" s="11"/>
      <c r="B5" s="5"/>
      <c r="C5" s="11"/>
      <c r="D5" s="11"/>
      <c r="E5" s="11"/>
      <c r="F5" s="11"/>
      <c r="G5" s="11"/>
      <c r="H5" s="11"/>
      <c r="I5" s="11"/>
      <c r="J5" s="11"/>
      <c r="K5" s="11"/>
      <c r="L5" s="11"/>
      <c r="M5" s="11"/>
    </row>
    <row r="6" spans="1:21" ht="15.75" x14ac:dyDescent="0.2">
      <c r="A6" s="11"/>
      <c r="B6" s="5">
        <v>45853</v>
      </c>
      <c r="C6" s="11"/>
      <c r="D6" s="11"/>
      <c r="E6" s="11"/>
      <c r="F6" s="11"/>
      <c r="G6" s="11"/>
      <c r="H6" s="11"/>
      <c r="I6" s="11"/>
      <c r="J6" s="11"/>
      <c r="K6" s="11"/>
      <c r="L6" s="11"/>
      <c r="M6" s="11"/>
    </row>
    <row r="7" spans="1:21" ht="15.75" x14ac:dyDescent="0.2">
      <c r="A7" s="11"/>
      <c r="B7" s="5"/>
      <c r="C7" s="11"/>
      <c r="D7" s="11"/>
      <c r="E7" s="11"/>
      <c r="F7" s="11"/>
      <c r="G7" s="11"/>
      <c r="H7" s="11"/>
      <c r="I7" s="11"/>
      <c r="J7" s="11"/>
      <c r="K7" s="11"/>
      <c r="L7" s="11"/>
      <c r="M7" s="11"/>
    </row>
    <row r="8" spans="1:21" ht="15.75" x14ac:dyDescent="0.2">
      <c r="A8" s="11"/>
      <c r="B8" s="128"/>
      <c r="C8" s="11"/>
      <c r="D8" s="11"/>
      <c r="E8" s="11"/>
      <c r="F8" s="11"/>
      <c r="G8" s="11"/>
      <c r="H8" s="11"/>
      <c r="I8" s="11"/>
      <c r="J8" s="11"/>
      <c r="K8" s="11"/>
      <c r="L8" s="11"/>
      <c r="M8" s="11"/>
    </row>
    <row r="9" spans="1:21" ht="23.25" customHeight="1" x14ac:dyDescent="0.2">
      <c r="A9" s="13"/>
      <c r="B9" s="54" t="s">
        <v>407</v>
      </c>
      <c r="C9" s="14"/>
      <c r="D9" s="13"/>
      <c r="E9" s="13"/>
      <c r="F9" s="13"/>
      <c r="G9" s="13"/>
      <c r="H9" s="13"/>
      <c r="I9" s="13"/>
      <c r="J9" s="13"/>
      <c r="K9" s="13"/>
      <c r="L9" s="13"/>
      <c r="M9" s="15"/>
      <c r="N9" s="85"/>
      <c r="O9" s="52"/>
      <c r="P9" s="17"/>
      <c r="Q9" s="17"/>
      <c r="R9" s="17"/>
      <c r="S9" s="17"/>
    </row>
    <row r="10" spans="1:21" ht="23.25" customHeight="1" x14ac:dyDescent="0.2">
      <c r="A10" s="13"/>
      <c r="B10" s="54"/>
      <c r="C10" s="14"/>
      <c r="D10" s="13"/>
      <c r="E10" s="13"/>
      <c r="F10" s="13"/>
      <c r="G10" s="13"/>
      <c r="H10" s="13"/>
      <c r="I10" s="13"/>
      <c r="J10" s="13"/>
      <c r="K10" s="13"/>
      <c r="L10" s="13"/>
      <c r="M10" s="15"/>
      <c r="N10" s="85"/>
      <c r="O10" s="52"/>
      <c r="P10" s="17"/>
      <c r="Q10" s="17"/>
      <c r="R10" s="17"/>
      <c r="S10" s="17"/>
    </row>
    <row r="11" spans="1:21" x14ac:dyDescent="0.2">
      <c r="A11" s="18"/>
      <c r="B11" s="19"/>
      <c r="C11" s="13"/>
      <c r="D11" s="13"/>
      <c r="F11" s="16"/>
      <c r="G11" s="16"/>
      <c r="H11" s="406">
        <v>52</v>
      </c>
      <c r="I11" s="56"/>
      <c r="M11" s="15"/>
      <c r="N11" s="85"/>
      <c r="O11" s="52"/>
      <c r="P11" s="17"/>
      <c r="Q11" s="17"/>
      <c r="R11" s="17"/>
      <c r="S11" s="17"/>
    </row>
    <row r="12" spans="1:21" ht="99" customHeight="1" x14ac:dyDescent="0.2">
      <c r="A12" s="20" t="s">
        <v>0</v>
      </c>
      <c r="B12" s="21" t="s">
        <v>1</v>
      </c>
      <c r="C12" s="89" t="s">
        <v>2</v>
      </c>
      <c r="D12" s="89" t="s">
        <v>3</v>
      </c>
      <c r="E12" s="73" t="s">
        <v>18</v>
      </c>
      <c r="F12" s="74" t="s">
        <v>25</v>
      </c>
      <c r="G12" s="74" t="s">
        <v>27</v>
      </c>
      <c r="H12" s="74" t="s">
        <v>20</v>
      </c>
      <c r="I12" s="74" t="s">
        <v>26</v>
      </c>
      <c r="J12" s="74" t="s">
        <v>19</v>
      </c>
      <c r="K12" s="73" t="s">
        <v>21</v>
      </c>
      <c r="L12" s="73" t="s">
        <v>22</v>
      </c>
      <c r="M12" s="90" t="s">
        <v>4</v>
      </c>
      <c r="N12" s="91" t="s">
        <v>24</v>
      </c>
      <c r="O12" s="94" t="s">
        <v>23</v>
      </c>
      <c r="P12" s="62"/>
      <c r="Q12" s="62"/>
      <c r="R12" s="62"/>
      <c r="S12" s="62"/>
      <c r="T12" s="62"/>
      <c r="U12" s="22"/>
    </row>
    <row r="13" spans="1:21" s="70" customFormat="1" ht="14.25" x14ac:dyDescent="0.2">
      <c r="A13" s="60"/>
      <c r="B13" s="114"/>
      <c r="C13" s="61"/>
      <c r="D13" s="72"/>
      <c r="E13" s="115"/>
      <c r="F13" s="116"/>
      <c r="G13" s="116"/>
      <c r="H13" s="116"/>
      <c r="I13" s="117"/>
      <c r="J13" s="115"/>
      <c r="K13" s="115"/>
      <c r="L13" s="115"/>
      <c r="M13" s="137"/>
      <c r="N13" s="138"/>
      <c r="O13" s="139"/>
      <c r="P13" s="62"/>
      <c r="Q13" s="62"/>
      <c r="R13" s="62"/>
      <c r="S13" s="62"/>
    </row>
    <row r="14" spans="1:21" s="70" customFormat="1" ht="17.25" customHeight="1" x14ac:dyDescent="0.2">
      <c r="A14" s="60"/>
      <c r="B14" s="150"/>
      <c r="C14" s="61"/>
      <c r="D14" s="72"/>
      <c r="E14" s="140"/>
      <c r="F14" s="141"/>
      <c r="G14" s="141"/>
      <c r="H14" s="141"/>
      <c r="I14" s="142"/>
      <c r="J14" s="140"/>
      <c r="K14" s="140"/>
      <c r="L14" s="140"/>
      <c r="M14" s="143"/>
      <c r="N14" s="144"/>
      <c r="O14" s="145"/>
      <c r="P14" s="62"/>
      <c r="Q14" s="62"/>
      <c r="R14" s="62"/>
      <c r="S14" s="62"/>
    </row>
    <row r="15" spans="1:21" s="70" customFormat="1" ht="17.25" customHeight="1" x14ac:dyDescent="0.2">
      <c r="A15" s="60"/>
      <c r="B15" s="169" t="s">
        <v>66</v>
      </c>
      <c r="C15" s="61"/>
      <c r="D15" s="72"/>
      <c r="E15" s="140"/>
      <c r="F15" s="141"/>
      <c r="G15" s="141"/>
      <c r="H15" s="141"/>
      <c r="I15" s="142"/>
      <c r="J15" s="140"/>
      <c r="K15" s="140"/>
      <c r="L15" s="140"/>
      <c r="M15" s="143"/>
      <c r="N15" s="144"/>
      <c r="O15" s="145"/>
      <c r="P15" s="62"/>
      <c r="Q15" s="62"/>
      <c r="R15" s="62"/>
      <c r="S15" s="62"/>
    </row>
    <row r="16" spans="1:21" s="70" customFormat="1" ht="14.25" x14ac:dyDescent="0.2">
      <c r="A16" s="60"/>
      <c r="B16" s="165"/>
      <c r="C16" s="61"/>
      <c r="D16" s="72"/>
      <c r="E16" s="140"/>
      <c r="F16" s="141"/>
      <c r="G16" s="141"/>
      <c r="H16" s="141"/>
      <c r="I16" s="142"/>
      <c r="J16" s="140"/>
      <c r="K16" s="140"/>
      <c r="L16" s="140"/>
      <c r="M16" s="143"/>
      <c r="N16" s="144"/>
      <c r="O16" s="145"/>
      <c r="P16" s="62"/>
      <c r="Q16" s="62"/>
      <c r="R16" s="62"/>
      <c r="S16" s="62"/>
    </row>
    <row r="17" spans="1:28" s="70" customFormat="1" ht="14.25" x14ac:dyDescent="0.2">
      <c r="A17" s="60"/>
      <c r="B17" s="146" t="s">
        <v>401</v>
      </c>
      <c r="C17" s="61">
        <v>135</v>
      </c>
      <c r="D17" s="72" t="s">
        <v>46</v>
      </c>
      <c r="E17" s="122">
        <v>0.2</v>
      </c>
      <c r="F17" s="122">
        <f>C17*E17</f>
        <v>27</v>
      </c>
      <c r="G17" s="122">
        <f>$H$11*E17</f>
        <v>10.4</v>
      </c>
      <c r="H17" s="123">
        <f>F17*$H$11</f>
        <v>1404</v>
      </c>
      <c r="I17" s="135">
        <v>7.06</v>
      </c>
      <c r="J17" s="123">
        <f>C17*I17</f>
        <v>953.09999999999991</v>
      </c>
      <c r="K17" s="124">
        <f>SUM(H17,J17)</f>
        <v>2357.1</v>
      </c>
      <c r="L17" s="123">
        <f>K17/C17</f>
        <v>17.46</v>
      </c>
      <c r="M17" s="125">
        <f>C17*L17</f>
        <v>2357.1</v>
      </c>
      <c r="N17" s="131">
        <v>0</v>
      </c>
      <c r="O17" s="118">
        <f>M17*N17</f>
        <v>0</v>
      </c>
      <c r="P17" s="62"/>
      <c r="Q17" s="62"/>
      <c r="R17" s="62"/>
      <c r="S17" s="62"/>
    </row>
    <row r="18" spans="1:28" s="70" customFormat="1" ht="14.25" x14ac:dyDescent="0.2">
      <c r="A18" s="60"/>
      <c r="B18" s="1" t="s">
        <v>397</v>
      </c>
      <c r="C18" s="170" t="s">
        <v>398</v>
      </c>
      <c r="D18" s="72"/>
      <c r="E18" s="122"/>
      <c r="F18" s="122"/>
      <c r="G18" s="122"/>
      <c r="H18" s="123"/>
      <c r="I18" s="135"/>
      <c r="J18" s="123"/>
      <c r="K18" s="124"/>
      <c r="L18" s="123"/>
      <c r="M18" s="125"/>
      <c r="N18" s="131"/>
      <c r="O18" s="118"/>
      <c r="P18" s="62"/>
      <c r="Q18" s="62"/>
      <c r="R18" s="62"/>
      <c r="S18" s="62"/>
    </row>
    <row r="19" spans="1:28" s="70" customFormat="1" ht="14.25" x14ac:dyDescent="0.2">
      <c r="A19" s="60"/>
      <c r="B19" s="151"/>
      <c r="C19" s="152"/>
      <c r="D19" s="153"/>
      <c r="E19" s="122"/>
      <c r="F19" s="122"/>
      <c r="G19" s="122"/>
      <c r="H19" s="123"/>
      <c r="I19" s="135"/>
      <c r="J19" s="123"/>
      <c r="K19" s="124"/>
      <c r="L19" s="123"/>
      <c r="M19" s="125"/>
      <c r="N19" s="131"/>
      <c r="O19" s="118"/>
      <c r="P19" s="450">
        <f>SUM(M14:M18)</f>
        <v>2357.1</v>
      </c>
      <c r="Q19" s="450">
        <f>P19*SUM($L$98:$L$102)</f>
        <v>223.92449999999999</v>
      </c>
      <c r="R19" s="450"/>
      <c r="S19" s="62"/>
      <c r="T19" s="103"/>
      <c r="U19" s="103"/>
    </row>
    <row r="20" spans="1:28" s="70" customFormat="1" ht="15" x14ac:dyDescent="0.2">
      <c r="A20" s="60"/>
      <c r="B20" s="267"/>
      <c r="C20" s="152"/>
      <c r="D20" s="153"/>
      <c r="E20" s="122"/>
      <c r="F20" s="122"/>
      <c r="G20" s="122"/>
      <c r="H20" s="123"/>
      <c r="I20" s="135"/>
      <c r="J20" s="123"/>
      <c r="K20" s="124"/>
      <c r="L20" s="123"/>
      <c r="M20" s="125"/>
      <c r="N20" s="131"/>
      <c r="O20" s="118"/>
      <c r="P20" s="451">
        <f>P19/$M$95</f>
        <v>7.0570641373688903E-2</v>
      </c>
      <c r="Q20" s="450">
        <f>P20*$M$106</f>
        <v>45.428086118277889</v>
      </c>
      <c r="R20" s="450">
        <f>SUM(P19,Q19,Q20)</f>
        <v>2626.4525861182778</v>
      </c>
      <c r="S20" s="450">
        <f>R20*1.08</f>
        <v>2836.5687930077402</v>
      </c>
      <c r="T20" s="103"/>
      <c r="U20" s="103"/>
      <c r="Y20" s="332">
        <v>0.5</v>
      </c>
    </row>
    <row r="21" spans="1:28" s="70" customFormat="1" ht="15" x14ac:dyDescent="0.2">
      <c r="A21" s="60"/>
      <c r="B21" s="267" t="s">
        <v>64</v>
      </c>
      <c r="C21" s="61"/>
      <c r="D21" s="72"/>
      <c r="E21" s="122"/>
      <c r="F21" s="122"/>
      <c r="G21" s="122"/>
      <c r="H21" s="123"/>
      <c r="I21" s="135"/>
      <c r="J21" s="123"/>
      <c r="K21" s="124"/>
      <c r="L21" s="123"/>
      <c r="M21" s="125"/>
      <c r="N21" s="131"/>
      <c r="O21" s="118"/>
      <c r="P21" s="62"/>
      <c r="Q21" s="62"/>
      <c r="R21" s="62"/>
      <c r="S21" s="62"/>
      <c r="T21" s="103"/>
      <c r="U21" s="103" t="s">
        <v>405</v>
      </c>
      <c r="V21" s="70" t="s">
        <v>403</v>
      </c>
      <c r="X21" s="331">
        <v>0.05</v>
      </c>
      <c r="Y21" s="70" t="s">
        <v>404</v>
      </c>
    </row>
    <row r="22" spans="1:28" s="70" customFormat="1" ht="14.25" x14ac:dyDescent="0.2">
      <c r="A22" s="60"/>
      <c r="B22" s="146" t="s">
        <v>401</v>
      </c>
      <c r="C22" s="61">
        <v>97</v>
      </c>
      <c r="D22" s="72" t="s">
        <v>46</v>
      </c>
      <c r="E22" s="122">
        <v>0.2</v>
      </c>
      <c r="F22" s="122">
        <f>C22*E22</f>
        <v>19.400000000000002</v>
      </c>
      <c r="G22" s="122">
        <f>$H$11*E22</f>
        <v>10.4</v>
      </c>
      <c r="H22" s="123">
        <f>F22*$H$11</f>
        <v>1008.8000000000001</v>
      </c>
      <c r="I22" s="135">
        <f>Z22</f>
        <v>7.0625</v>
      </c>
      <c r="J22" s="123">
        <f>C22*I22</f>
        <v>685.0625</v>
      </c>
      <c r="K22" s="124">
        <f>SUM(H22,J22)</f>
        <v>1693.8625000000002</v>
      </c>
      <c r="L22" s="123">
        <f>K22/C22</f>
        <v>17.462500000000002</v>
      </c>
      <c r="M22" s="125">
        <f>C22*L22</f>
        <v>1693.8625000000002</v>
      </c>
      <c r="N22" s="131">
        <v>0</v>
      </c>
      <c r="O22" s="118">
        <f>M22*N22</f>
        <v>0</v>
      </c>
      <c r="P22" s="62"/>
      <c r="Q22" s="62"/>
      <c r="R22" s="62"/>
      <c r="S22" s="62"/>
      <c r="T22" s="103">
        <v>5</v>
      </c>
      <c r="U22" s="103">
        <v>0.5</v>
      </c>
      <c r="V22" s="70">
        <v>0.75</v>
      </c>
      <c r="W22" s="59">
        <f>SUM(T22:V22)</f>
        <v>6.25</v>
      </c>
      <c r="X22" s="59">
        <f>W22*1.05</f>
        <v>6.5625</v>
      </c>
      <c r="Y22" s="59">
        <f>$Y$20</f>
        <v>0.5</v>
      </c>
      <c r="Z22" s="59">
        <f>SUM(X22:Y22)</f>
        <v>7.0625</v>
      </c>
      <c r="AA22" s="70">
        <f>C22*Y22</f>
        <v>48.5</v>
      </c>
    </row>
    <row r="23" spans="1:28" s="70" customFormat="1" ht="14.25" x14ac:dyDescent="0.2">
      <c r="A23" s="60"/>
      <c r="B23" s="1" t="s">
        <v>397</v>
      </c>
      <c r="C23" s="170" t="s">
        <v>398</v>
      </c>
      <c r="D23" s="72"/>
      <c r="E23" s="122"/>
      <c r="F23" s="122"/>
      <c r="G23" s="122"/>
      <c r="H23" s="123"/>
      <c r="I23" s="135"/>
      <c r="J23" s="123"/>
      <c r="K23" s="124"/>
      <c r="L23" s="123"/>
      <c r="M23" s="125"/>
      <c r="N23" s="131"/>
      <c r="O23" s="118"/>
      <c r="P23" s="62"/>
      <c r="Q23" s="62"/>
      <c r="R23" s="62"/>
      <c r="S23" s="62"/>
      <c r="T23" s="103"/>
      <c r="U23" s="103"/>
      <c r="W23" s="59"/>
      <c r="X23" s="59"/>
      <c r="Y23" s="59"/>
      <c r="Z23" s="59"/>
    </row>
    <row r="24" spans="1:28" s="70" customFormat="1" ht="14.25" x14ac:dyDescent="0.2">
      <c r="A24" s="60"/>
      <c r="B24" s="151" t="s">
        <v>402</v>
      </c>
      <c r="C24" s="61">
        <v>27</v>
      </c>
      <c r="D24" s="72" t="s">
        <v>46</v>
      </c>
      <c r="E24" s="122">
        <v>0.25</v>
      </c>
      <c r="F24" s="122">
        <f>C24*E24</f>
        <v>6.75</v>
      </c>
      <c r="G24" s="122">
        <f>$H$11*E24</f>
        <v>13</v>
      </c>
      <c r="H24" s="123">
        <f>F24*$H$11</f>
        <v>351</v>
      </c>
      <c r="I24" s="135">
        <f>Z24</f>
        <v>19.8095</v>
      </c>
      <c r="J24" s="123">
        <f>C24*I24</f>
        <v>534.85649999999998</v>
      </c>
      <c r="K24" s="124">
        <f>SUM(H24,J24)</f>
        <v>885.85649999999998</v>
      </c>
      <c r="L24" s="123">
        <f>K24/C24</f>
        <v>32.8095</v>
      </c>
      <c r="M24" s="125">
        <f>C24*L24</f>
        <v>885.85649999999998</v>
      </c>
      <c r="N24" s="131">
        <v>0</v>
      </c>
      <c r="O24" s="118">
        <f>M24*N24</f>
        <v>0</v>
      </c>
      <c r="P24" s="62"/>
      <c r="Q24" s="62"/>
      <c r="R24" s="62"/>
      <c r="S24" s="62"/>
      <c r="T24" s="59">
        <v>14.17</v>
      </c>
      <c r="U24" s="59">
        <v>2.72</v>
      </c>
      <c r="V24" s="59">
        <v>1.5</v>
      </c>
      <c r="W24" s="59">
        <f>SUM(T24:V24)</f>
        <v>18.39</v>
      </c>
      <c r="X24" s="59">
        <f>W24*1.05</f>
        <v>19.3095</v>
      </c>
      <c r="Y24" s="59">
        <f>$Y$20</f>
        <v>0.5</v>
      </c>
      <c r="Z24" s="59">
        <f>SUM(X24:Y24)</f>
        <v>19.8095</v>
      </c>
      <c r="AA24" s="70">
        <f>C24*Y24</f>
        <v>13.5</v>
      </c>
    </row>
    <row r="25" spans="1:28" s="70" customFormat="1" ht="14.25" x14ac:dyDescent="0.2">
      <c r="A25" s="60"/>
      <c r="B25" s="146" t="s">
        <v>400</v>
      </c>
      <c r="C25" s="113">
        <v>15</v>
      </c>
      <c r="D25" s="72" t="s">
        <v>46</v>
      </c>
      <c r="E25" s="122">
        <v>0.25</v>
      </c>
      <c r="F25" s="122">
        <f>C25*E25</f>
        <v>3.75</v>
      </c>
      <c r="G25" s="122">
        <f>$H$11*E25</f>
        <v>13</v>
      </c>
      <c r="H25" s="123">
        <f>F25*$H$11</f>
        <v>195</v>
      </c>
      <c r="I25" s="135">
        <f>Z25</f>
        <v>19.8095</v>
      </c>
      <c r="J25" s="123">
        <f>C25*I25</f>
        <v>297.14249999999998</v>
      </c>
      <c r="K25" s="124">
        <f>SUM(H25,J25)</f>
        <v>492.14249999999998</v>
      </c>
      <c r="L25" s="123">
        <f>K25/C25</f>
        <v>32.8095</v>
      </c>
      <c r="M25" s="125">
        <f>C25*L25</f>
        <v>492.14249999999998</v>
      </c>
      <c r="N25" s="131">
        <v>0</v>
      </c>
      <c r="O25" s="118">
        <f>M25*N25</f>
        <v>0</v>
      </c>
      <c r="P25" s="62"/>
      <c r="Q25" s="62"/>
      <c r="R25" s="62"/>
      <c r="S25" s="62"/>
      <c r="T25" s="59">
        <v>14.17</v>
      </c>
      <c r="U25" s="59">
        <v>2.72</v>
      </c>
      <c r="V25" s="59">
        <v>1.5</v>
      </c>
      <c r="W25" s="59">
        <f>SUM(T25:V25)</f>
        <v>18.39</v>
      </c>
      <c r="X25" s="59">
        <f>W25*1.05</f>
        <v>19.3095</v>
      </c>
      <c r="Y25" s="59">
        <f>$Y$20</f>
        <v>0.5</v>
      </c>
      <c r="Z25" s="59">
        <f>SUM(X25:Y25)</f>
        <v>19.8095</v>
      </c>
      <c r="AA25" s="70">
        <f>C25*Y25</f>
        <v>7.5</v>
      </c>
    </row>
    <row r="26" spans="1:28" s="70" customFormat="1" ht="14.25" x14ac:dyDescent="0.2">
      <c r="A26" s="60"/>
      <c r="B26" s="151" t="s">
        <v>399</v>
      </c>
      <c r="C26" s="152">
        <v>21</v>
      </c>
      <c r="D26" s="153" t="s">
        <v>46</v>
      </c>
      <c r="E26" s="122">
        <v>0.25</v>
      </c>
      <c r="F26" s="122">
        <f>C26*E26</f>
        <v>5.25</v>
      </c>
      <c r="G26" s="122">
        <f>$H$11*E26</f>
        <v>13</v>
      </c>
      <c r="H26" s="123">
        <f>F26*$H$11</f>
        <v>273</v>
      </c>
      <c r="I26" s="135">
        <f>Z26</f>
        <v>14.433500000000002</v>
      </c>
      <c r="J26" s="123">
        <f>C26*I26</f>
        <v>303.10350000000005</v>
      </c>
      <c r="K26" s="124">
        <f>SUM(H26,J26)</f>
        <v>576.10350000000005</v>
      </c>
      <c r="L26" s="123">
        <f>K26/C26</f>
        <v>27.433500000000002</v>
      </c>
      <c r="M26" s="125">
        <f>C26*L26</f>
        <v>576.10350000000005</v>
      </c>
      <c r="N26" s="131">
        <v>0</v>
      </c>
      <c r="O26" s="118">
        <f>M26*N26</f>
        <v>0</v>
      </c>
      <c r="P26" s="62"/>
      <c r="Q26" s="62"/>
      <c r="R26" s="62"/>
      <c r="S26" s="62"/>
      <c r="T26" s="59">
        <v>9.8000000000000007</v>
      </c>
      <c r="U26" s="59">
        <v>2.72</v>
      </c>
      <c r="V26" s="59">
        <v>0.75</v>
      </c>
      <c r="W26" s="59">
        <f>SUM(T26:V26)</f>
        <v>13.270000000000001</v>
      </c>
      <c r="X26" s="59">
        <f>W26*1.05</f>
        <v>13.933500000000002</v>
      </c>
      <c r="Y26" s="59">
        <f>$Y$20</f>
        <v>0.5</v>
      </c>
      <c r="Z26" s="59">
        <f>SUM(X26:Y26)</f>
        <v>14.433500000000002</v>
      </c>
      <c r="AA26" s="70">
        <f>C26*Y26</f>
        <v>10.5</v>
      </c>
      <c r="AB26" s="70">
        <f>SUM(AA22:AA26)</f>
        <v>80</v>
      </c>
    </row>
    <row r="27" spans="1:28" s="70" customFormat="1" ht="14.25" x14ac:dyDescent="0.2">
      <c r="A27" s="60"/>
      <c r="B27" s="151"/>
      <c r="C27" s="152"/>
      <c r="D27" s="153"/>
      <c r="E27" s="122"/>
      <c r="F27" s="122"/>
      <c r="G27" s="122"/>
      <c r="H27" s="123"/>
      <c r="I27" s="135"/>
      <c r="J27" s="123"/>
      <c r="K27" s="124"/>
      <c r="L27" s="123"/>
      <c r="M27" s="125"/>
      <c r="N27" s="131"/>
      <c r="O27" s="118"/>
      <c r="P27" s="62"/>
      <c r="Q27" s="62"/>
      <c r="R27" s="62"/>
      <c r="S27" s="62"/>
      <c r="T27" s="59"/>
      <c r="U27" s="59"/>
      <c r="V27" s="59"/>
      <c r="W27" s="59"/>
      <c r="X27" s="59"/>
      <c r="Y27" s="59"/>
      <c r="Z27" s="59"/>
    </row>
    <row r="28" spans="1:28" s="70" customFormat="1" ht="14.25" x14ac:dyDescent="0.2">
      <c r="A28" s="60"/>
      <c r="B28" s="151" t="s">
        <v>408</v>
      </c>
      <c r="C28" s="152">
        <v>3</v>
      </c>
      <c r="D28" s="153" t="s">
        <v>60</v>
      </c>
      <c r="E28" s="122">
        <v>0.5</v>
      </c>
      <c r="F28" s="122">
        <f>C28*E28</f>
        <v>1.5</v>
      </c>
      <c r="G28" s="122">
        <f>$H$11*E28</f>
        <v>26</v>
      </c>
      <c r="H28" s="123">
        <f>F28*$H$11</f>
        <v>78</v>
      </c>
      <c r="I28" s="135">
        <v>58</v>
      </c>
      <c r="J28" s="123">
        <f>C28*I28</f>
        <v>174</v>
      </c>
      <c r="K28" s="124">
        <f>SUM(H28,J28)</f>
        <v>252</v>
      </c>
      <c r="L28" s="123">
        <f>K28/C28</f>
        <v>84</v>
      </c>
      <c r="M28" s="125">
        <f>C28*L28</f>
        <v>252</v>
      </c>
      <c r="N28" s="131">
        <v>0</v>
      </c>
      <c r="O28" s="118">
        <f>M28*N28</f>
        <v>0</v>
      </c>
      <c r="P28" s="62"/>
      <c r="Q28" s="62"/>
      <c r="R28" s="62"/>
      <c r="S28" s="62"/>
      <c r="T28" s="59"/>
      <c r="U28" s="59"/>
      <c r="V28" s="59"/>
      <c r="W28" s="59"/>
      <c r="X28" s="59"/>
      <c r="Y28" s="59"/>
      <c r="Z28" s="59"/>
    </row>
    <row r="29" spans="1:28" s="70" customFormat="1" ht="14.25" x14ac:dyDescent="0.2">
      <c r="A29" s="60"/>
      <c r="B29" s="151" t="s">
        <v>409</v>
      </c>
      <c r="C29" s="152">
        <v>13</v>
      </c>
      <c r="D29" s="153" t="s">
        <v>60</v>
      </c>
      <c r="E29" s="122">
        <v>0.5</v>
      </c>
      <c r="F29" s="122">
        <f>C29*E29</f>
        <v>6.5</v>
      </c>
      <c r="G29" s="122">
        <f>$H$11*E29</f>
        <v>26</v>
      </c>
      <c r="H29" s="123">
        <f>F29*$H$11</f>
        <v>338</v>
      </c>
      <c r="I29" s="135">
        <v>48</v>
      </c>
      <c r="J29" s="123">
        <f>C29*I29</f>
        <v>624</v>
      </c>
      <c r="K29" s="124">
        <f>SUM(H29,J29)</f>
        <v>962</v>
      </c>
      <c r="L29" s="123">
        <f>K29/C29</f>
        <v>74</v>
      </c>
      <c r="M29" s="125">
        <f>C29*L29</f>
        <v>962</v>
      </c>
      <c r="N29" s="131">
        <v>0</v>
      </c>
      <c r="O29" s="118">
        <f>M29*N29</f>
        <v>0</v>
      </c>
      <c r="P29" s="62"/>
      <c r="Q29" s="62"/>
      <c r="R29" s="62"/>
      <c r="S29" s="62"/>
      <c r="T29" s="103"/>
      <c r="U29" s="103"/>
    </row>
    <row r="30" spans="1:28" s="70" customFormat="1" ht="14.25" x14ac:dyDescent="0.2">
      <c r="A30" s="60"/>
      <c r="B30" s="151"/>
      <c r="C30" s="152"/>
      <c r="D30" s="153"/>
      <c r="E30" s="122"/>
      <c r="F30" s="122"/>
      <c r="G30" s="122"/>
      <c r="H30" s="123"/>
      <c r="I30" s="135"/>
      <c r="J30" s="123"/>
      <c r="K30" s="124"/>
      <c r="L30" s="123"/>
      <c r="M30" s="125"/>
      <c r="N30" s="131"/>
      <c r="O30" s="118"/>
      <c r="P30" s="450">
        <f>SUM(M22:M29)</f>
        <v>4861.9650000000001</v>
      </c>
      <c r="Q30" s="450">
        <f>P30*SUM($L$98:$L$102)</f>
        <v>461.88667500000003</v>
      </c>
      <c r="R30" s="450"/>
      <c r="S30" s="62"/>
      <c r="T30" s="103"/>
      <c r="U30" s="103"/>
    </row>
    <row r="31" spans="1:28" s="70" customFormat="1" ht="15" x14ac:dyDescent="0.2">
      <c r="A31" s="60"/>
      <c r="B31" s="267" t="s">
        <v>67</v>
      </c>
      <c r="C31" s="152" t="s">
        <v>28</v>
      </c>
      <c r="D31" s="153"/>
      <c r="E31" s="122"/>
      <c r="F31" s="122"/>
      <c r="G31" s="122"/>
      <c r="H31" s="123"/>
      <c r="I31" s="135"/>
      <c r="J31" s="123"/>
      <c r="K31" s="124"/>
      <c r="L31" s="123"/>
      <c r="M31" s="125"/>
      <c r="N31" s="131"/>
      <c r="O31" s="118"/>
      <c r="P31" s="451">
        <f>P30/$M$95</f>
        <v>0.14556530838166704</v>
      </c>
      <c r="Q31" s="450">
        <f>P31*$M$106</f>
        <v>93.704028137988615</v>
      </c>
      <c r="R31" s="450">
        <f>SUM(P30,Q30,Q31)</f>
        <v>5417.5557031379885</v>
      </c>
      <c r="S31" s="450">
        <f>R31*1.08</f>
        <v>5850.9601593890284</v>
      </c>
      <c r="T31" s="103"/>
      <c r="U31" s="103"/>
    </row>
    <row r="32" spans="1:28" s="70" customFormat="1" ht="14.25" x14ac:dyDescent="0.2">
      <c r="A32" s="60"/>
      <c r="B32" s="146" t="s">
        <v>401</v>
      </c>
      <c r="C32" s="61">
        <v>28</v>
      </c>
      <c r="D32" s="72" t="s">
        <v>46</v>
      </c>
      <c r="E32" s="122">
        <v>0.2</v>
      </c>
      <c r="F32" s="122">
        <f>C32*E32</f>
        <v>5.6000000000000005</v>
      </c>
      <c r="G32" s="122">
        <f>$H$11*E32</f>
        <v>10.4</v>
      </c>
      <c r="H32" s="123">
        <f>F32*$H$11</f>
        <v>291.20000000000005</v>
      </c>
      <c r="I32" s="135">
        <v>7.06</v>
      </c>
      <c r="J32" s="123">
        <f>C32*I32</f>
        <v>197.67999999999998</v>
      </c>
      <c r="K32" s="124">
        <f>SUM(H32,J32)</f>
        <v>488.88</v>
      </c>
      <c r="L32" s="123">
        <f>K32/C32</f>
        <v>17.46</v>
      </c>
      <c r="M32" s="125">
        <f>C32*L32</f>
        <v>488.88</v>
      </c>
      <c r="N32" s="131">
        <v>0</v>
      </c>
      <c r="O32" s="118">
        <f>M32*N32</f>
        <v>0</v>
      </c>
      <c r="P32" s="62"/>
      <c r="Q32" s="62"/>
      <c r="R32" s="62"/>
      <c r="S32" s="62"/>
      <c r="T32" s="103"/>
      <c r="U32" s="103"/>
    </row>
    <row r="33" spans="1:21" s="70" customFormat="1" ht="14.25" x14ac:dyDescent="0.2">
      <c r="A33" s="60"/>
      <c r="B33" s="1" t="s">
        <v>397</v>
      </c>
      <c r="C33" s="170" t="s">
        <v>398</v>
      </c>
      <c r="D33" s="72"/>
      <c r="E33" s="122"/>
      <c r="F33" s="122"/>
      <c r="G33" s="122"/>
      <c r="H33" s="123"/>
      <c r="I33" s="135"/>
      <c r="J33" s="123"/>
      <c r="K33" s="124"/>
      <c r="L33" s="123"/>
      <c r="M33" s="125"/>
      <c r="N33" s="131"/>
      <c r="O33" s="118"/>
      <c r="P33" s="62"/>
      <c r="Q33" s="62"/>
      <c r="R33" s="62"/>
      <c r="S33" s="62"/>
      <c r="T33" s="103"/>
      <c r="U33" s="103"/>
    </row>
    <row r="34" spans="1:21" s="70" customFormat="1" ht="14.25" x14ac:dyDescent="0.2">
      <c r="A34" s="60"/>
      <c r="B34" s="151" t="s">
        <v>402</v>
      </c>
      <c r="C34" s="61">
        <v>9</v>
      </c>
      <c r="D34" s="72" t="s">
        <v>46</v>
      </c>
      <c r="E34" s="122">
        <v>0.25</v>
      </c>
      <c r="F34" s="122">
        <f>C34*E34</f>
        <v>2.25</v>
      </c>
      <c r="G34" s="122">
        <f>$H$11*E34</f>
        <v>13</v>
      </c>
      <c r="H34" s="123">
        <f>F34*$H$11</f>
        <v>117</v>
      </c>
      <c r="I34" s="135">
        <v>19.809999999999999</v>
      </c>
      <c r="J34" s="123">
        <f>C34*I34</f>
        <v>178.29</v>
      </c>
      <c r="K34" s="124">
        <f>SUM(H34,J34)</f>
        <v>295.28999999999996</v>
      </c>
      <c r="L34" s="123">
        <f>K34/C34</f>
        <v>32.809999999999995</v>
      </c>
      <c r="M34" s="125">
        <f>C34*L34</f>
        <v>295.28999999999996</v>
      </c>
      <c r="N34" s="131">
        <v>0</v>
      </c>
      <c r="O34" s="118">
        <f>M34*N34</f>
        <v>0</v>
      </c>
      <c r="P34" s="62"/>
      <c r="Q34" s="62"/>
      <c r="R34" s="62"/>
      <c r="S34" s="62"/>
      <c r="T34" s="103"/>
      <c r="U34" s="103"/>
    </row>
    <row r="35" spans="1:21" s="70" customFormat="1" ht="14.25" x14ac:dyDescent="0.2">
      <c r="A35" s="60"/>
      <c r="B35" s="146" t="s">
        <v>400</v>
      </c>
      <c r="C35" s="170" t="s">
        <v>89</v>
      </c>
      <c r="D35" s="72"/>
      <c r="E35" s="122"/>
      <c r="F35" s="122"/>
      <c r="G35" s="122"/>
      <c r="H35" s="123"/>
      <c r="I35" s="135"/>
      <c r="J35" s="123"/>
      <c r="K35" s="124"/>
      <c r="L35" s="123"/>
      <c r="M35" s="125"/>
      <c r="N35" s="131"/>
      <c r="O35" s="118"/>
      <c r="P35" s="62"/>
      <c r="Q35" s="62"/>
      <c r="R35" s="62"/>
      <c r="S35" s="62"/>
      <c r="T35" s="103"/>
      <c r="U35" s="103"/>
    </row>
    <row r="36" spans="1:21" s="70" customFormat="1" ht="14.25" x14ac:dyDescent="0.2">
      <c r="A36" s="60"/>
      <c r="B36" s="151" t="s">
        <v>399</v>
      </c>
      <c r="C36" s="152">
        <v>83</v>
      </c>
      <c r="D36" s="153" t="s">
        <v>46</v>
      </c>
      <c r="E36" s="122">
        <v>0.25</v>
      </c>
      <c r="F36" s="122">
        <f>C36*E36</f>
        <v>20.75</v>
      </c>
      <c r="G36" s="122">
        <f>$H$11*E36</f>
        <v>13</v>
      </c>
      <c r="H36" s="123">
        <f>F36*$H$11</f>
        <v>1079</v>
      </c>
      <c r="I36" s="135">
        <v>14.43</v>
      </c>
      <c r="J36" s="123">
        <f>C36*I36</f>
        <v>1197.69</v>
      </c>
      <c r="K36" s="124">
        <f>SUM(H36,J36)</f>
        <v>2276.69</v>
      </c>
      <c r="L36" s="123">
        <f>K36/C36</f>
        <v>27.43</v>
      </c>
      <c r="M36" s="125">
        <f>C36*L36</f>
        <v>2276.69</v>
      </c>
      <c r="N36" s="131">
        <v>0</v>
      </c>
      <c r="O36" s="118">
        <f>M36*N36</f>
        <v>0</v>
      </c>
      <c r="P36" s="62"/>
      <c r="Q36" s="62"/>
      <c r="R36" s="62"/>
      <c r="S36" s="62"/>
      <c r="T36" s="103"/>
      <c r="U36" s="103"/>
    </row>
    <row r="37" spans="1:21" s="70" customFormat="1" ht="14.25" x14ac:dyDescent="0.2">
      <c r="A37" s="60"/>
      <c r="B37" s="151"/>
      <c r="C37" s="152"/>
      <c r="D37" s="153"/>
      <c r="E37" s="122"/>
      <c r="F37" s="122"/>
      <c r="G37" s="122"/>
      <c r="H37" s="123"/>
      <c r="I37" s="135"/>
      <c r="J37" s="123"/>
      <c r="K37" s="124"/>
      <c r="L37" s="123"/>
      <c r="M37" s="125"/>
      <c r="N37" s="131"/>
      <c r="O37" s="118"/>
      <c r="P37" s="62"/>
      <c r="Q37" s="62"/>
      <c r="R37" s="62"/>
      <c r="S37" s="62"/>
      <c r="T37" s="103"/>
      <c r="U37" s="103"/>
    </row>
    <row r="38" spans="1:21" s="70" customFormat="1" ht="14.25" x14ac:dyDescent="0.2">
      <c r="A38" s="60"/>
      <c r="B38" s="151" t="s">
        <v>409</v>
      </c>
      <c r="C38" s="152">
        <v>20</v>
      </c>
      <c r="D38" s="153" t="s">
        <v>60</v>
      </c>
      <c r="E38" s="122">
        <v>0.5</v>
      </c>
      <c r="F38" s="122">
        <f>C38*E38</f>
        <v>10</v>
      </c>
      <c r="G38" s="122">
        <f>$H$11*E38</f>
        <v>26</v>
      </c>
      <c r="H38" s="123">
        <f>F38*$H$11</f>
        <v>520</v>
      </c>
      <c r="I38" s="135">
        <v>58</v>
      </c>
      <c r="J38" s="123">
        <f>C38*I38</f>
        <v>1160</v>
      </c>
      <c r="K38" s="124">
        <f>SUM(H38,J38)</f>
        <v>1680</v>
      </c>
      <c r="L38" s="123">
        <f>K38/C38</f>
        <v>84</v>
      </c>
      <c r="M38" s="125">
        <f>C38*L38</f>
        <v>1680</v>
      </c>
      <c r="N38" s="131">
        <v>0</v>
      </c>
      <c r="O38" s="118">
        <f>M38*N38</f>
        <v>0</v>
      </c>
      <c r="P38" s="62"/>
      <c r="Q38" s="62"/>
      <c r="R38" s="62"/>
      <c r="S38" s="62"/>
      <c r="T38" s="103"/>
      <c r="U38" s="103"/>
    </row>
    <row r="39" spans="1:21" s="70" customFormat="1" ht="14.25" x14ac:dyDescent="0.2">
      <c r="A39" s="60"/>
      <c r="B39" s="168"/>
      <c r="C39" s="152"/>
      <c r="D39" s="153"/>
      <c r="E39" s="122"/>
      <c r="F39" s="122"/>
      <c r="G39" s="122"/>
      <c r="H39" s="123"/>
      <c r="I39" s="135"/>
      <c r="J39" s="123"/>
      <c r="K39" s="124"/>
      <c r="L39" s="123"/>
      <c r="M39" s="125"/>
      <c r="N39" s="131"/>
      <c r="O39" s="118"/>
      <c r="P39" s="450">
        <f>SUM(M32:M38)</f>
        <v>4740.8600000000006</v>
      </c>
      <c r="Q39" s="450">
        <f>P39*SUM($L$98:$L$102)</f>
        <v>450.38170000000008</v>
      </c>
      <c r="R39" s="450"/>
      <c r="S39" s="62"/>
      <c r="T39" s="103"/>
      <c r="U39" s="103"/>
    </row>
    <row r="40" spans="1:21" s="70" customFormat="1" ht="14.25" x14ac:dyDescent="0.2">
      <c r="A40" s="60"/>
      <c r="B40" s="151"/>
      <c r="C40" s="152"/>
      <c r="D40" s="153"/>
      <c r="E40" s="122"/>
      <c r="F40" s="122"/>
      <c r="G40" s="122"/>
      <c r="H40" s="123"/>
      <c r="I40" s="135"/>
      <c r="J40" s="123"/>
      <c r="K40" s="124"/>
      <c r="L40" s="123"/>
      <c r="M40" s="125"/>
      <c r="N40" s="131"/>
      <c r="O40" s="118"/>
      <c r="P40" s="451">
        <f>P39/$M$95</f>
        <v>0.14193947259889983</v>
      </c>
      <c r="Q40" s="450">
        <f>P40*$M$106</f>
        <v>91.369986998726802</v>
      </c>
      <c r="R40" s="450">
        <f>SUM(P39,Q39,Q40)</f>
        <v>5282.6116869987272</v>
      </c>
      <c r="S40" s="450">
        <f>R40*1.08</f>
        <v>5705.220621958626</v>
      </c>
      <c r="T40" s="103"/>
      <c r="U40" s="103"/>
    </row>
    <row r="41" spans="1:21" s="70" customFormat="1" ht="15" x14ac:dyDescent="0.2">
      <c r="A41" s="60"/>
      <c r="B41" s="267" t="s">
        <v>68</v>
      </c>
      <c r="C41" s="152"/>
      <c r="D41" s="153"/>
      <c r="E41" s="122"/>
      <c r="F41" s="122"/>
      <c r="G41" s="122"/>
      <c r="H41" s="123"/>
      <c r="I41" s="135"/>
      <c r="J41" s="123"/>
      <c r="K41" s="124"/>
      <c r="L41" s="123"/>
      <c r="M41" s="125"/>
      <c r="N41" s="131"/>
      <c r="O41" s="118"/>
      <c r="P41" s="62"/>
      <c r="Q41" s="62"/>
      <c r="R41" s="62"/>
      <c r="S41" s="62"/>
      <c r="T41" s="103"/>
      <c r="U41" s="103"/>
    </row>
    <row r="42" spans="1:21" s="70" customFormat="1" ht="14.25" x14ac:dyDescent="0.2">
      <c r="A42" s="60"/>
      <c r="B42" s="146" t="s">
        <v>401</v>
      </c>
      <c r="C42" s="61">
        <v>28</v>
      </c>
      <c r="D42" s="72" t="s">
        <v>46</v>
      </c>
      <c r="E42" s="122">
        <v>0.2</v>
      </c>
      <c r="F42" s="122">
        <f>C42*E42</f>
        <v>5.6000000000000005</v>
      </c>
      <c r="G42" s="122">
        <f>$H$11*E42</f>
        <v>10.4</v>
      </c>
      <c r="H42" s="123">
        <f>F42*$H$11</f>
        <v>291.20000000000005</v>
      </c>
      <c r="I42" s="135">
        <v>7.06</v>
      </c>
      <c r="J42" s="123">
        <f>C42*I42</f>
        <v>197.67999999999998</v>
      </c>
      <c r="K42" s="124">
        <f>SUM(H42,J42)</f>
        <v>488.88</v>
      </c>
      <c r="L42" s="123">
        <f>K42/C42</f>
        <v>17.46</v>
      </c>
      <c r="M42" s="125">
        <f>C42*L42</f>
        <v>488.88</v>
      </c>
      <c r="N42" s="131">
        <v>0</v>
      </c>
      <c r="O42" s="118">
        <f>M42*N42</f>
        <v>0</v>
      </c>
      <c r="P42" s="62"/>
      <c r="Q42" s="62"/>
      <c r="R42" s="62"/>
      <c r="S42" s="62"/>
      <c r="T42" s="103"/>
      <c r="U42" s="103"/>
    </row>
    <row r="43" spans="1:21" s="70" customFormat="1" ht="14.25" x14ac:dyDescent="0.2">
      <c r="A43" s="60"/>
      <c r="B43" s="1" t="s">
        <v>397</v>
      </c>
      <c r="C43" s="170" t="s">
        <v>398</v>
      </c>
      <c r="D43" s="72"/>
      <c r="E43" s="122"/>
      <c r="F43" s="122"/>
      <c r="G43" s="122"/>
      <c r="H43" s="123"/>
      <c r="I43" s="135"/>
      <c r="J43" s="123"/>
      <c r="K43" s="124"/>
      <c r="L43" s="123"/>
      <c r="M43" s="125"/>
      <c r="N43" s="131"/>
      <c r="O43" s="118"/>
      <c r="P43" s="62"/>
      <c r="Q43" s="62"/>
      <c r="R43" s="62"/>
      <c r="S43" s="62"/>
      <c r="T43" s="103"/>
      <c r="U43" s="103"/>
    </row>
    <row r="44" spans="1:21" s="70" customFormat="1" ht="14.25" x14ac:dyDescent="0.2">
      <c r="A44" s="60"/>
      <c r="B44" s="151" t="s">
        <v>402</v>
      </c>
      <c r="C44" s="61">
        <v>9</v>
      </c>
      <c r="D44" s="72" t="s">
        <v>46</v>
      </c>
      <c r="E44" s="122">
        <v>0.25</v>
      </c>
      <c r="F44" s="122">
        <f>C44*E44</f>
        <v>2.25</v>
      </c>
      <c r="G44" s="122">
        <f>$H$11*E44</f>
        <v>13</v>
      </c>
      <c r="H44" s="123">
        <f>F44*$H$11</f>
        <v>117</v>
      </c>
      <c r="I44" s="135">
        <v>19.809999999999999</v>
      </c>
      <c r="J44" s="123">
        <f>C44*I44</f>
        <v>178.29</v>
      </c>
      <c r="K44" s="124">
        <f>SUM(H44,J44)</f>
        <v>295.28999999999996</v>
      </c>
      <c r="L44" s="123">
        <f>K44/C44</f>
        <v>32.809999999999995</v>
      </c>
      <c r="M44" s="125">
        <f>C44*L44</f>
        <v>295.28999999999996</v>
      </c>
      <c r="N44" s="131">
        <v>0</v>
      </c>
      <c r="O44" s="118">
        <f>M44*N44</f>
        <v>0</v>
      </c>
      <c r="P44" s="62"/>
      <c r="Q44" s="62"/>
      <c r="R44" s="62"/>
      <c r="S44" s="62"/>
      <c r="T44" s="103"/>
      <c r="U44" s="103"/>
    </row>
    <row r="45" spans="1:21" s="70" customFormat="1" ht="14.25" x14ac:dyDescent="0.2">
      <c r="A45" s="60"/>
      <c r="B45" s="146" t="s">
        <v>400</v>
      </c>
      <c r="C45" s="170" t="s">
        <v>89</v>
      </c>
      <c r="D45" s="72"/>
      <c r="E45" s="122"/>
      <c r="F45" s="122"/>
      <c r="G45" s="122"/>
      <c r="H45" s="123"/>
      <c r="I45" s="135"/>
      <c r="J45" s="123"/>
      <c r="K45" s="124"/>
      <c r="L45" s="123"/>
      <c r="M45" s="125"/>
      <c r="N45" s="131"/>
      <c r="O45" s="118"/>
      <c r="P45" s="62"/>
      <c r="Q45" s="62"/>
      <c r="R45" s="62"/>
      <c r="S45" s="62"/>
      <c r="T45" s="103"/>
      <c r="U45" s="103"/>
    </row>
    <row r="46" spans="1:21" s="70" customFormat="1" ht="14.25" x14ac:dyDescent="0.2">
      <c r="A46" s="60"/>
      <c r="B46" s="151" t="s">
        <v>399</v>
      </c>
      <c r="C46" s="152">
        <v>83</v>
      </c>
      <c r="D46" s="153" t="s">
        <v>46</v>
      </c>
      <c r="E46" s="122">
        <v>0.25</v>
      </c>
      <c r="F46" s="122">
        <f>C46*E46</f>
        <v>20.75</v>
      </c>
      <c r="G46" s="122">
        <f>$H$11*E46</f>
        <v>13</v>
      </c>
      <c r="H46" s="123">
        <f>F46*$H$11</f>
        <v>1079</v>
      </c>
      <c r="I46" s="135">
        <v>14.43</v>
      </c>
      <c r="J46" s="123">
        <f>C46*I46</f>
        <v>1197.69</v>
      </c>
      <c r="K46" s="124">
        <f>SUM(H46,J46)</f>
        <v>2276.69</v>
      </c>
      <c r="L46" s="123">
        <f>K46/C46</f>
        <v>27.43</v>
      </c>
      <c r="M46" s="125">
        <f>C46*L46</f>
        <v>2276.69</v>
      </c>
      <c r="N46" s="131">
        <v>0</v>
      </c>
      <c r="O46" s="118">
        <f>M46*N46</f>
        <v>0</v>
      </c>
      <c r="P46" s="62"/>
      <c r="Q46" s="62"/>
      <c r="R46" s="62"/>
      <c r="S46" s="62"/>
      <c r="T46" s="103"/>
      <c r="U46" s="103"/>
    </row>
    <row r="47" spans="1:21" s="70" customFormat="1" ht="14.25" x14ac:dyDescent="0.2">
      <c r="A47" s="60"/>
      <c r="B47" s="151"/>
      <c r="C47" s="152"/>
      <c r="D47" s="153"/>
      <c r="E47" s="122"/>
      <c r="F47" s="122"/>
      <c r="G47" s="122"/>
      <c r="H47" s="123"/>
      <c r="I47" s="135"/>
      <c r="J47" s="123"/>
      <c r="K47" s="124"/>
      <c r="L47" s="123"/>
      <c r="M47" s="125"/>
      <c r="N47" s="131"/>
      <c r="O47" s="118"/>
      <c r="P47" s="62"/>
      <c r="Q47" s="62"/>
      <c r="R47" s="62"/>
      <c r="S47" s="62"/>
      <c r="T47" s="103"/>
      <c r="U47" s="103"/>
    </row>
    <row r="48" spans="1:21" s="70" customFormat="1" ht="14.25" x14ac:dyDescent="0.2">
      <c r="A48" s="60"/>
      <c r="B48" s="151" t="s">
        <v>409</v>
      </c>
      <c r="C48" s="152">
        <v>20</v>
      </c>
      <c r="D48" s="153" t="s">
        <v>60</v>
      </c>
      <c r="E48" s="122">
        <v>0.5</v>
      </c>
      <c r="F48" s="122">
        <f>C48*E48</f>
        <v>10</v>
      </c>
      <c r="G48" s="122">
        <f>$H$11*E48</f>
        <v>26</v>
      </c>
      <c r="H48" s="123">
        <f>F48*$H$11</f>
        <v>520</v>
      </c>
      <c r="I48" s="135">
        <v>58</v>
      </c>
      <c r="J48" s="123">
        <f>C48*I48</f>
        <v>1160</v>
      </c>
      <c r="K48" s="124">
        <f>SUM(H48,J48)</f>
        <v>1680</v>
      </c>
      <c r="L48" s="123">
        <f>K48/C48</f>
        <v>84</v>
      </c>
      <c r="M48" s="125">
        <f>C48*L48</f>
        <v>1680</v>
      </c>
      <c r="N48" s="131">
        <v>0</v>
      </c>
      <c r="O48" s="118">
        <f>M48*N48</f>
        <v>0</v>
      </c>
      <c r="P48" s="62"/>
      <c r="Q48" s="62"/>
      <c r="R48" s="62"/>
      <c r="S48" s="62"/>
      <c r="T48" s="103"/>
      <c r="U48" s="103"/>
    </row>
    <row r="49" spans="1:21" s="70" customFormat="1" ht="14.25" x14ac:dyDescent="0.2">
      <c r="A49" s="60"/>
      <c r="B49" s="151"/>
      <c r="C49" s="152"/>
      <c r="D49" s="153"/>
      <c r="E49" s="122"/>
      <c r="F49" s="122"/>
      <c r="G49" s="122"/>
      <c r="H49" s="123"/>
      <c r="I49" s="135"/>
      <c r="J49" s="123"/>
      <c r="K49" s="124"/>
      <c r="L49" s="123"/>
      <c r="M49" s="125"/>
      <c r="N49" s="131"/>
      <c r="O49" s="118"/>
      <c r="P49" s="450">
        <f>SUM(M42:M48)</f>
        <v>4740.8600000000006</v>
      </c>
      <c r="Q49" s="450">
        <f>P49*SUM($L$98:$L$102)</f>
        <v>450.38170000000008</v>
      </c>
      <c r="R49" s="450"/>
      <c r="S49" s="62"/>
      <c r="T49" s="103"/>
      <c r="U49" s="103"/>
    </row>
    <row r="50" spans="1:21" s="70" customFormat="1" ht="14.25" x14ac:dyDescent="0.2">
      <c r="A50" s="60"/>
      <c r="B50" s="168"/>
      <c r="C50" s="152"/>
      <c r="D50" s="153"/>
      <c r="E50" s="122"/>
      <c r="F50" s="122"/>
      <c r="G50" s="122"/>
      <c r="H50" s="123"/>
      <c r="I50" s="135"/>
      <c r="J50" s="123"/>
      <c r="K50" s="124"/>
      <c r="L50" s="123"/>
      <c r="M50" s="125"/>
      <c r="N50" s="131"/>
      <c r="O50" s="118"/>
      <c r="P50" s="451">
        <f>P49/$M$95</f>
        <v>0.14193947259889983</v>
      </c>
      <c r="Q50" s="450">
        <f>P50*$M$106</f>
        <v>91.369986998726802</v>
      </c>
      <c r="R50" s="450">
        <f>SUM(P49,Q49,Q50)</f>
        <v>5282.6116869987272</v>
      </c>
      <c r="S50" s="450">
        <f>R50*1.08</f>
        <v>5705.220621958626</v>
      </c>
      <c r="T50" s="103"/>
      <c r="U50" s="103"/>
    </row>
    <row r="51" spans="1:21" s="70" customFormat="1" ht="15" x14ac:dyDescent="0.2">
      <c r="A51" s="60"/>
      <c r="B51" s="267" t="s">
        <v>69</v>
      </c>
      <c r="C51" s="152"/>
      <c r="D51" s="153"/>
      <c r="E51" s="122"/>
      <c r="F51" s="122"/>
      <c r="G51" s="122"/>
      <c r="H51" s="123"/>
      <c r="I51" s="135"/>
      <c r="J51" s="123"/>
      <c r="K51" s="124"/>
      <c r="L51" s="123"/>
      <c r="M51" s="125"/>
      <c r="N51" s="131"/>
      <c r="O51" s="118"/>
      <c r="P51" s="62"/>
      <c r="Q51" s="62"/>
      <c r="R51" s="62"/>
      <c r="S51" s="62"/>
      <c r="T51" s="103"/>
      <c r="U51" s="103"/>
    </row>
    <row r="52" spans="1:21" s="70" customFormat="1" ht="14.25" x14ac:dyDescent="0.2">
      <c r="A52" s="60"/>
      <c r="B52" s="146" t="s">
        <v>401</v>
      </c>
      <c r="C52" s="61">
        <v>28</v>
      </c>
      <c r="D52" s="72" t="s">
        <v>46</v>
      </c>
      <c r="E52" s="122">
        <v>0.2</v>
      </c>
      <c r="F52" s="122">
        <f>C52*E52</f>
        <v>5.6000000000000005</v>
      </c>
      <c r="G52" s="122">
        <f>$H$11*E52</f>
        <v>10.4</v>
      </c>
      <c r="H52" s="123">
        <f>F52*$H$11</f>
        <v>291.20000000000005</v>
      </c>
      <c r="I52" s="135">
        <v>7.06</v>
      </c>
      <c r="J52" s="123">
        <f>C52*I52</f>
        <v>197.67999999999998</v>
      </c>
      <c r="K52" s="124">
        <f>SUM(H52,J52)</f>
        <v>488.88</v>
      </c>
      <c r="L52" s="123">
        <f>K52/C52</f>
        <v>17.46</v>
      </c>
      <c r="M52" s="125">
        <f>C52*L52</f>
        <v>488.88</v>
      </c>
      <c r="N52" s="131">
        <v>0</v>
      </c>
      <c r="O52" s="118">
        <f>M52*N52</f>
        <v>0</v>
      </c>
      <c r="P52" s="62"/>
      <c r="Q52" s="62"/>
      <c r="R52" s="62"/>
      <c r="S52" s="62"/>
      <c r="T52" s="103"/>
      <c r="U52" s="103"/>
    </row>
    <row r="53" spans="1:21" s="70" customFormat="1" ht="14.25" x14ac:dyDescent="0.2">
      <c r="A53" s="60"/>
      <c r="B53" s="1" t="s">
        <v>397</v>
      </c>
      <c r="C53" s="170" t="s">
        <v>398</v>
      </c>
      <c r="D53" s="72"/>
      <c r="E53" s="122"/>
      <c r="F53" s="122"/>
      <c r="G53" s="122"/>
      <c r="H53" s="123"/>
      <c r="I53" s="135"/>
      <c r="J53" s="123"/>
      <c r="K53" s="124"/>
      <c r="L53" s="123"/>
      <c r="M53" s="125"/>
      <c r="N53" s="131"/>
      <c r="O53" s="118"/>
      <c r="P53" s="62"/>
      <c r="Q53" s="62"/>
      <c r="R53" s="62"/>
      <c r="S53" s="62"/>
      <c r="T53" s="103"/>
      <c r="U53" s="103"/>
    </row>
    <row r="54" spans="1:21" s="70" customFormat="1" ht="14.25" x14ac:dyDescent="0.2">
      <c r="A54" s="60"/>
      <c r="B54" s="151" t="s">
        <v>402</v>
      </c>
      <c r="C54" s="61">
        <v>9</v>
      </c>
      <c r="D54" s="72" t="s">
        <v>46</v>
      </c>
      <c r="E54" s="122">
        <v>0.25</v>
      </c>
      <c r="F54" s="122">
        <f>C54*E54</f>
        <v>2.25</v>
      </c>
      <c r="G54" s="122">
        <f>$H$11*E54</f>
        <v>13</v>
      </c>
      <c r="H54" s="123">
        <f>F54*$H$11</f>
        <v>117</v>
      </c>
      <c r="I54" s="135">
        <v>19.809999999999999</v>
      </c>
      <c r="J54" s="123">
        <f>C54*I54</f>
        <v>178.29</v>
      </c>
      <c r="K54" s="124">
        <f>SUM(H54,J54)</f>
        <v>295.28999999999996</v>
      </c>
      <c r="L54" s="123">
        <f>K54/C54</f>
        <v>32.809999999999995</v>
      </c>
      <c r="M54" s="125">
        <f>C54*L54</f>
        <v>295.28999999999996</v>
      </c>
      <c r="N54" s="131">
        <v>0</v>
      </c>
      <c r="O54" s="118">
        <f>M54*N54</f>
        <v>0</v>
      </c>
      <c r="P54" s="62"/>
      <c r="Q54" s="62"/>
      <c r="R54" s="62"/>
      <c r="S54" s="62"/>
      <c r="T54" s="103"/>
      <c r="U54" s="103"/>
    </row>
    <row r="55" spans="1:21" s="70" customFormat="1" ht="14.25" x14ac:dyDescent="0.2">
      <c r="A55" s="60"/>
      <c r="B55" s="146" t="s">
        <v>400</v>
      </c>
      <c r="C55" s="170" t="s">
        <v>89</v>
      </c>
      <c r="D55" s="72"/>
      <c r="E55" s="122"/>
      <c r="F55" s="122"/>
      <c r="G55" s="122"/>
      <c r="H55" s="123"/>
      <c r="I55" s="135"/>
      <c r="J55" s="123"/>
      <c r="K55" s="124"/>
      <c r="L55" s="123"/>
      <c r="M55" s="125"/>
      <c r="N55" s="131"/>
      <c r="O55" s="118"/>
      <c r="P55" s="62"/>
      <c r="Q55" s="62"/>
      <c r="R55" s="62"/>
      <c r="S55" s="62"/>
      <c r="T55" s="103"/>
      <c r="U55" s="103"/>
    </row>
    <row r="56" spans="1:21" s="70" customFormat="1" ht="14.25" x14ac:dyDescent="0.2">
      <c r="A56" s="60"/>
      <c r="B56" s="151" t="s">
        <v>399</v>
      </c>
      <c r="C56" s="152">
        <v>83</v>
      </c>
      <c r="D56" s="153" t="s">
        <v>46</v>
      </c>
      <c r="E56" s="122">
        <v>0.25</v>
      </c>
      <c r="F56" s="122">
        <f>C56*E56</f>
        <v>20.75</v>
      </c>
      <c r="G56" s="122">
        <f>$H$11*E56</f>
        <v>13</v>
      </c>
      <c r="H56" s="123">
        <f>F56*$H$11</f>
        <v>1079</v>
      </c>
      <c r="I56" s="135">
        <v>14.43</v>
      </c>
      <c r="J56" s="123">
        <f>C56*I56</f>
        <v>1197.69</v>
      </c>
      <c r="K56" s="124">
        <f>SUM(H56,J56)</f>
        <v>2276.69</v>
      </c>
      <c r="L56" s="123">
        <f>K56/C56</f>
        <v>27.43</v>
      </c>
      <c r="M56" s="125">
        <f>C56*L56</f>
        <v>2276.69</v>
      </c>
      <c r="N56" s="131">
        <v>0</v>
      </c>
      <c r="O56" s="118">
        <f>M56*N56</f>
        <v>0</v>
      </c>
      <c r="P56" s="62"/>
      <c r="Q56" s="62"/>
      <c r="R56" s="62"/>
      <c r="S56" s="62"/>
      <c r="T56" s="103"/>
      <c r="U56" s="103"/>
    </row>
    <row r="57" spans="1:21" s="70" customFormat="1" ht="14.25" x14ac:dyDescent="0.2">
      <c r="A57" s="60"/>
      <c r="B57" s="151"/>
      <c r="C57" s="152"/>
      <c r="D57" s="153"/>
      <c r="E57" s="122"/>
      <c r="F57" s="122"/>
      <c r="G57" s="122"/>
      <c r="H57" s="123"/>
      <c r="I57" s="135"/>
      <c r="J57" s="123"/>
      <c r="K57" s="124"/>
      <c r="L57" s="123"/>
      <c r="M57" s="125"/>
      <c r="N57" s="131"/>
      <c r="O57" s="118"/>
      <c r="P57" s="62"/>
      <c r="Q57" s="62"/>
      <c r="R57" s="62"/>
      <c r="S57" s="62"/>
      <c r="T57" s="103"/>
      <c r="U57" s="103"/>
    </row>
    <row r="58" spans="1:21" s="70" customFormat="1" ht="14.25" x14ac:dyDescent="0.2">
      <c r="A58" s="60"/>
      <c r="B58" s="151" t="s">
        <v>409</v>
      </c>
      <c r="C58" s="152">
        <v>20</v>
      </c>
      <c r="D58" s="153" t="s">
        <v>60</v>
      </c>
      <c r="E58" s="122">
        <v>0.5</v>
      </c>
      <c r="F58" s="122">
        <f>C58*E58</f>
        <v>10</v>
      </c>
      <c r="G58" s="122">
        <f>$H$11*E58</f>
        <v>26</v>
      </c>
      <c r="H58" s="123">
        <f>F58*$H$11</f>
        <v>520</v>
      </c>
      <c r="I58" s="135">
        <v>58</v>
      </c>
      <c r="J58" s="123">
        <f>C58*I58</f>
        <v>1160</v>
      </c>
      <c r="K58" s="124">
        <f>SUM(H58,J58)</f>
        <v>1680</v>
      </c>
      <c r="L58" s="123">
        <f>K58/C58</f>
        <v>84</v>
      </c>
      <c r="M58" s="125">
        <f>C58*L58</f>
        <v>1680</v>
      </c>
      <c r="N58" s="131">
        <v>0</v>
      </c>
      <c r="O58" s="118">
        <f>M58*N58</f>
        <v>0</v>
      </c>
      <c r="P58" s="62"/>
      <c r="Q58" s="62"/>
      <c r="R58" s="62"/>
      <c r="S58" s="62"/>
      <c r="T58" s="103"/>
      <c r="U58" s="103"/>
    </row>
    <row r="59" spans="1:21" s="70" customFormat="1" ht="14.25" x14ac:dyDescent="0.2">
      <c r="A59" s="60"/>
      <c r="B59" s="151"/>
      <c r="C59" s="152"/>
      <c r="D59" s="153"/>
      <c r="E59" s="122"/>
      <c r="F59" s="122"/>
      <c r="G59" s="122"/>
      <c r="H59" s="123"/>
      <c r="I59" s="135"/>
      <c r="J59" s="123"/>
      <c r="K59" s="124"/>
      <c r="L59" s="123"/>
      <c r="M59" s="125"/>
      <c r="N59" s="131"/>
      <c r="O59" s="118"/>
      <c r="P59" s="450">
        <f>SUM(M52:M58)</f>
        <v>4740.8600000000006</v>
      </c>
      <c r="Q59" s="450">
        <f>P59*SUM($L$98:$L$102)</f>
        <v>450.38170000000008</v>
      </c>
      <c r="R59" s="450"/>
      <c r="S59" s="62"/>
      <c r="T59" s="103"/>
      <c r="U59" s="103"/>
    </row>
    <row r="60" spans="1:21" s="70" customFormat="1" ht="14.25" x14ac:dyDescent="0.2">
      <c r="A60" s="60"/>
      <c r="B60" s="151"/>
      <c r="C60" s="152"/>
      <c r="D60" s="153"/>
      <c r="E60" s="122"/>
      <c r="F60" s="122"/>
      <c r="G60" s="122"/>
      <c r="H60" s="123"/>
      <c r="I60" s="135"/>
      <c r="J60" s="123"/>
      <c r="K60" s="124"/>
      <c r="L60" s="123"/>
      <c r="M60" s="125"/>
      <c r="N60" s="131"/>
      <c r="O60" s="118"/>
      <c r="P60" s="451">
        <f>P59/$M$95</f>
        <v>0.14193947259889983</v>
      </c>
      <c r="Q60" s="450">
        <f>P60*$M$106</f>
        <v>91.369986998726802</v>
      </c>
      <c r="R60" s="450">
        <f>SUM(P59,Q59,Q60)</f>
        <v>5282.6116869987272</v>
      </c>
      <c r="S60" s="450">
        <f>R60*1.08</f>
        <v>5705.220621958626</v>
      </c>
      <c r="T60" s="103"/>
      <c r="U60" s="103"/>
    </row>
    <row r="61" spans="1:21" s="70" customFormat="1" ht="15" x14ac:dyDescent="0.2">
      <c r="A61" s="60"/>
      <c r="B61" s="267" t="s">
        <v>70</v>
      </c>
      <c r="C61" s="152"/>
      <c r="D61" s="153"/>
      <c r="E61" s="122"/>
      <c r="F61" s="122"/>
      <c r="G61" s="122"/>
      <c r="H61" s="123"/>
      <c r="I61" s="135"/>
      <c r="J61" s="123"/>
      <c r="K61" s="124"/>
      <c r="L61" s="123"/>
      <c r="M61" s="125"/>
      <c r="N61" s="131"/>
      <c r="O61" s="118"/>
      <c r="P61" s="62"/>
      <c r="Q61" s="62"/>
      <c r="R61" s="62"/>
      <c r="S61" s="62"/>
      <c r="T61" s="103"/>
      <c r="U61" s="103"/>
    </row>
    <row r="62" spans="1:21" s="70" customFormat="1" ht="14.25" x14ac:dyDescent="0.2">
      <c r="A62" s="60"/>
      <c r="B62" s="146" t="s">
        <v>401</v>
      </c>
      <c r="C62" s="61">
        <v>29</v>
      </c>
      <c r="D62" s="72" t="s">
        <v>46</v>
      </c>
      <c r="E62" s="122">
        <v>0.2</v>
      </c>
      <c r="F62" s="122">
        <f>C62*E62</f>
        <v>5.8000000000000007</v>
      </c>
      <c r="G62" s="122">
        <f>$H$11*E62</f>
        <v>10.4</v>
      </c>
      <c r="H62" s="123">
        <f>F62*$H$11</f>
        <v>301.60000000000002</v>
      </c>
      <c r="I62" s="135">
        <v>7.06</v>
      </c>
      <c r="J62" s="123">
        <f>C62*I62</f>
        <v>204.73999999999998</v>
      </c>
      <c r="K62" s="124">
        <f>SUM(H62,J62)</f>
        <v>506.34000000000003</v>
      </c>
      <c r="L62" s="123">
        <f>K62/C62</f>
        <v>17.46</v>
      </c>
      <c r="M62" s="125">
        <f>C62*L62</f>
        <v>506.34000000000003</v>
      </c>
      <c r="N62" s="131">
        <v>0</v>
      </c>
      <c r="O62" s="118">
        <f>M62*N62</f>
        <v>0</v>
      </c>
      <c r="P62" s="62"/>
      <c r="Q62" s="62"/>
      <c r="R62" s="62"/>
      <c r="S62" s="62"/>
      <c r="T62" s="103"/>
      <c r="U62" s="103"/>
    </row>
    <row r="63" spans="1:21" s="70" customFormat="1" ht="14.25" x14ac:dyDescent="0.2">
      <c r="A63" s="60"/>
      <c r="B63" s="1" t="s">
        <v>397</v>
      </c>
      <c r="C63" s="170" t="s">
        <v>398</v>
      </c>
      <c r="D63" s="72"/>
      <c r="E63" s="122"/>
      <c r="F63" s="122"/>
      <c r="G63" s="122"/>
      <c r="H63" s="123"/>
      <c r="I63" s="135"/>
      <c r="J63" s="123"/>
      <c r="K63" s="124"/>
      <c r="L63" s="123"/>
      <c r="M63" s="125"/>
      <c r="N63" s="131"/>
      <c r="O63" s="118"/>
      <c r="P63" s="62"/>
      <c r="Q63" s="62"/>
      <c r="R63" s="62"/>
      <c r="S63" s="62"/>
      <c r="T63" s="103"/>
      <c r="U63" s="103"/>
    </row>
    <row r="64" spans="1:21" s="70" customFormat="1" ht="14.25" x14ac:dyDescent="0.2">
      <c r="A64" s="60"/>
      <c r="B64" s="151" t="s">
        <v>402</v>
      </c>
      <c r="C64" s="61">
        <v>40</v>
      </c>
      <c r="D64" s="72" t="s">
        <v>46</v>
      </c>
      <c r="E64" s="122">
        <v>0.25</v>
      </c>
      <c r="F64" s="122">
        <f>C64*E64</f>
        <v>10</v>
      </c>
      <c r="G64" s="122">
        <f>$H$11*E64</f>
        <v>13</v>
      </c>
      <c r="H64" s="123">
        <f>F64*$H$11</f>
        <v>520</v>
      </c>
      <c r="I64" s="135">
        <v>19.809999999999999</v>
      </c>
      <c r="J64" s="123">
        <f>C64*I64</f>
        <v>792.4</v>
      </c>
      <c r="K64" s="124">
        <f>SUM(H64,J64)</f>
        <v>1312.4</v>
      </c>
      <c r="L64" s="123">
        <f>K64/C64</f>
        <v>32.81</v>
      </c>
      <c r="M64" s="125">
        <f>C64*L64</f>
        <v>1312.4</v>
      </c>
      <c r="N64" s="131">
        <v>0</v>
      </c>
      <c r="O64" s="118">
        <f>M64*N64</f>
        <v>0</v>
      </c>
      <c r="P64" s="62"/>
      <c r="Q64" s="62"/>
      <c r="R64" s="62"/>
      <c r="S64" s="62"/>
      <c r="T64" s="103"/>
      <c r="U64" s="103"/>
    </row>
    <row r="65" spans="1:21" s="70" customFormat="1" ht="14.25" x14ac:dyDescent="0.2">
      <c r="A65" s="60"/>
      <c r="B65" s="146" t="s">
        <v>400</v>
      </c>
      <c r="C65" s="170" t="s">
        <v>89</v>
      </c>
      <c r="D65" s="72"/>
      <c r="E65" s="122"/>
      <c r="F65" s="122"/>
      <c r="G65" s="122"/>
      <c r="H65" s="123"/>
      <c r="I65" s="135"/>
      <c r="J65" s="123"/>
      <c r="K65" s="124"/>
      <c r="L65" s="123"/>
      <c r="M65" s="125"/>
      <c r="N65" s="131"/>
      <c r="O65" s="118"/>
      <c r="P65" s="62"/>
      <c r="Q65" s="62"/>
      <c r="R65" s="62"/>
      <c r="S65" s="62"/>
      <c r="T65" s="103"/>
      <c r="U65" s="103"/>
    </row>
    <row r="66" spans="1:21" s="70" customFormat="1" ht="14.25" x14ac:dyDescent="0.2">
      <c r="A66" s="60"/>
      <c r="B66" s="151" t="s">
        <v>399</v>
      </c>
      <c r="C66" s="152">
        <v>52</v>
      </c>
      <c r="D66" s="153" t="s">
        <v>46</v>
      </c>
      <c r="E66" s="122">
        <v>0.25</v>
      </c>
      <c r="F66" s="122">
        <f>C66*E66</f>
        <v>13</v>
      </c>
      <c r="G66" s="122">
        <f>$H$11*E66</f>
        <v>13</v>
      </c>
      <c r="H66" s="123">
        <f>F66*$H$11</f>
        <v>676</v>
      </c>
      <c r="I66" s="135">
        <v>14.43</v>
      </c>
      <c r="J66" s="123">
        <f>C66*I66</f>
        <v>750.36</v>
      </c>
      <c r="K66" s="124">
        <f>SUM(H66,J66)</f>
        <v>1426.3600000000001</v>
      </c>
      <c r="L66" s="123">
        <f>K66/C66</f>
        <v>27.430000000000003</v>
      </c>
      <c r="M66" s="125">
        <f>C66*L66</f>
        <v>1426.3600000000001</v>
      </c>
      <c r="N66" s="131">
        <v>0</v>
      </c>
      <c r="O66" s="118">
        <f>M66*N66</f>
        <v>0</v>
      </c>
      <c r="P66" s="62"/>
      <c r="Q66" s="62"/>
      <c r="R66" s="62"/>
      <c r="S66" s="62"/>
      <c r="T66" s="103"/>
      <c r="U66" s="103"/>
    </row>
    <row r="67" spans="1:21" s="70" customFormat="1" ht="14.25" x14ac:dyDescent="0.2">
      <c r="A67" s="60"/>
      <c r="B67" s="151"/>
      <c r="C67" s="152"/>
      <c r="D67" s="153"/>
      <c r="E67" s="122"/>
      <c r="F67" s="122"/>
      <c r="G67" s="122"/>
      <c r="H67" s="123"/>
      <c r="I67" s="135"/>
      <c r="J67" s="123"/>
      <c r="K67" s="124"/>
      <c r="L67" s="123"/>
      <c r="M67" s="125"/>
      <c r="N67" s="131"/>
      <c r="O67" s="118"/>
      <c r="P67" s="62"/>
      <c r="Q67" s="62"/>
      <c r="R67" s="62"/>
      <c r="S67" s="62"/>
      <c r="T67" s="103"/>
      <c r="U67" s="103"/>
    </row>
    <row r="68" spans="1:21" s="70" customFormat="1" ht="14.25" x14ac:dyDescent="0.2">
      <c r="A68" s="60"/>
      <c r="B68" s="151" t="s">
        <v>409</v>
      </c>
      <c r="C68" s="152">
        <v>18</v>
      </c>
      <c r="D68" s="153" t="s">
        <v>60</v>
      </c>
      <c r="E68" s="122">
        <v>0.5</v>
      </c>
      <c r="F68" s="122">
        <f>C68*E68</f>
        <v>9</v>
      </c>
      <c r="G68" s="122">
        <f>$H$11*E68</f>
        <v>26</v>
      </c>
      <c r="H68" s="123">
        <f>F68*$H$11</f>
        <v>468</v>
      </c>
      <c r="I68" s="135">
        <v>58</v>
      </c>
      <c r="J68" s="123">
        <f>C68*I68</f>
        <v>1044</v>
      </c>
      <c r="K68" s="124">
        <f>SUM(H68,J68)</f>
        <v>1512</v>
      </c>
      <c r="L68" s="123">
        <f>K68/C68</f>
        <v>84</v>
      </c>
      <c r="M68" s="125">
        <f>C68*L68</f>
        <v>1512</v>
      </c>
      <c r="N68" s="131">
        <v>0</v>
      </c>
      <c r="O68" s="118">
        <f>M68*N68</f>
        <v>0</v>
      </c>
      <c r="P68" s="62"/>
      <c r="Q68" s="62"/>
      <c r="R68" s="62"/>
      <c r="S68" s="62"/>
      <c r="T68" s="103"/>
      <c r="U68" s="103"/>
    </row>
    <row r="69" spans="1:21" s="70" customFormat="1" ht="14.25" x14ac:dyDescent="0.2">
      <c r="A69" s="60"/>
      <c r="B69" s="168"/>
      <c r="C69" s="152"/>
      <c r="D69" s="153"/>
      <c r="E69" s="122"/>
      <c r="F69" s="122"/>
      <c r="G69" s="122"/>
      <c r="H69" s="123"/>
      <c r="I69" s="135"/>
      <c r="J69" s="123"/>
      <c r="K69" s="124"/>
      <c r="L69" s="123"/>
      <c r="M69" s="125"/>
      <c r="N69" s="131"/>
      <c r="O69" s="118"/>
      <c r="P69" s="450">
        <f>SUM(M62:M68)</f>
        <v>4757.1000000000004</v>
      </c>
      <c r="Q69" s="450">
        <f>P69*SUM($L$98:$L$102)</f>
        <v>451.92450000000002</v>
      </c>
      <c r="R69" s="450"/>
      <c r="S69" s="62"/>
      <c r="T69" s="103"/>
      <c r="U69" s="103"/>
    </row>
    <row r="70" spans="1:21" s="70" customFormat="1" ht="14.25" x14ac:dyDescent="0.2">
      <c r="A70" s="60"/>
      <c r="B70" s="168"/>
      <c r="C70" s="152"/>
      <c r="D70" s="153"/>
      <c r="E70" s="122"/>
      <c r="F70" s="122"/>
      <c r="G70" s="122"/>
      <c r="H70" s="123"/>
      <c r="I70" s="135"/>
      <c r="J70" s="123"/>
      <c r="K70" s="124"/>
      <c r="L70" s="123"/>
      <c r="M70" s="125"/>
      <c r="N70" s="131"/>
      <c r="O70" s="118"/>
      <c r="P70" s="451">
        <f>P69/$M$95</f>
        <v>0.14242569177327033</v>
      </c>
      <c r="Q70" s="450">
        <f>P70*$M$106</f>
        <v>91.682978436748442</v>
      </c>
      <c r="R70" s="450">
        <f>SUM(P69,Q69,Q70)</f>
        <v>5300.7074784367487</v>
      </c>
      <c r="S70" s="450">
        <f>R70*1.08</f>
        <v>5724.7640767116891</v>
      </c>
      <c r="T70" s="103"/>
      <c r="U70" s="103"/>
    </row>
    <row r="71" spans="1:21" s="70" customFormat="1" ht="15" x14ac:dyDescent="0.2">
      <c r="A71" s="60"/>
      <c r="B71" s="267" t="s">
        <v>71</v>
      </c>
      <c r="C71" s="152"/>
      <c r="D71" s="153"/>
      <c r="E71" s="122"/>
      <c r="F71" s="122"/>
      <c r="G71" s="122"/>
      <c r="H71" s="123"/>
      <c r="I71" s="135"/>
      <c r="J71" s="123"/>
      <c r="K71" s="124"/>
      <c r="L71" s="123"/>
      <c r="M71" s="125"/>
      <c r="N71" s="131"/>
      <c r="O71" s="118"/>
      <c r="P71" s="62"/>
      <c r="Q71" s="62"/>
      <c r="R71" s="62"/>
      <c r="S71" s="62"/>
      <c r="T71" s="103"/>
      <c r="U71" s="103"/>
    </row>
    <row r="72" spans="1:21" s="70" customFormat="1" ht="14.25" x14ac:dyDescent="0.2">
      <c r="A72" s="60"/>
      <c r="B72" s="146" t="s">
        <v>401</v>
      </c>
      <c r="C72" s="61">
        <v>29</v>
      </c>
      <c r="D72" s="72" t="s">
        <v>46</v>
      </c>
      <c r="E72" s="122">
        <v>0.2</v>
      </c>
      <c r="F72" s="122">
        <f>C72*E72</f>
        <v>5.8000000000000007</v>
      </c>
      <c r="G72" s="122">
        <f>$H$11*E72</f>
        <v>10.4</v>
      </c>
      <c r="H72" s="123">
        <f>F72*$H$11</f>
        <v>301.60000000000002</v>
      </c>
      <c r="I72" s="135">
        <v>7.06</v>
      </c>
      <c r="J72" s="123">
        <f>C72*I72</f>
        <v>204.73999999999998</v>
      </c>
      <c r="K72" s="124">
        <f>SUM(H72,J72)</f>
        <v>506.34000000000003</v>
      </c>
      <c r="L72" s="123">
        <f>K72/C72</f>
        <v>17.46</v>
      </c>
      <c r="M72" s="125">
        <f>C72*L72</f>
        <v>506.34000000000003</v>
      </c>
      <c r="N72" s="131">
        <v>0</v>
      </c>
      <c r="O72" s="118">
        <f>M72*N72</f>
        <v>0</v>
      </c>
      <c r="P72" s="62"/>
      <c r="Q72" s="62"/>
      <c r="R72" s="62"/>
      <c r="S72" s="62"/>
      <c r="T72" s="103"/>
      <c r="U72" s="103"/>
    </row>
    <row r="73" spans="1:21" s="70" customFormat="1" ht="14.25" x14ac:dyDescent="0.2">
      <c r="A73" s="60"/>
      <c r="B73" s="1" t="s">
        <v>397</v>
      </c>
      <c r="C73" s="170" t="s">
        <v>398</v>
      </c>
      <c r="D73" s="72"/>
      <c r="E73" s="122"/>
      <c r="F73" s="122"/>
      <c r="G73" s="122"/>
      <c r="H73" s="123"/>
      <c r="I73" s="135"/>
      <c r="J73" s="123"/>
      <c r="K73" s="124"/>
      <c r="L73" s="123"/>
      <c r="M73" s="125"/>
      <c r="N73" s="131"/>
      <c r="O73" s="118"/>
      <c r="P73" s="62"/>
      <c r="Q73" s="62"/>
      <c r="R73" s="62"/>
      <c r="S73" s="62"/>
      <c r="T73" s="103"/>
      <c r="U73" s="103"/>
    </row>
    <row r="74" spans="1:21" s="70" customFormat="1" ht="14.25" x14ac:dyDescent="0.2">
      <c r="A74" s="60"/>
      <c r="B74" s="151" t="s">
        <v>402</v>
      </c>
      <c r="C74" s="61">
        <v>40</v>
      </c>
      <c r="D74" s="72" t="s">
        <v>46</v>
      </c>
      <c r="E74" s="122">
        <v>0.25</v>
      </c>
      <c r="F74" s="122">
        <f>C74*E74</f>
        <v>10</v>
      </c>
      <c r="G74" s="122">
        <f>$H$11*E74</f>
        <v>13</v>
      </c>
      <c r="H74" s="123">
        <f>F74*$H$11</f>
        <v>520</v>
      </c>
      <c r="I74" s="135">
        <v>19.809999999999999</v>
      </c>
      <c r="J74" s="123">
        <f>C74*I74</f>
        <v>792.4</v>
      </c>
      <c r="K74" s="124">
        <f>SUM(H74,J74)</f>
        <v>1312.4</v>
      </c>
      <c r="L74" s="123">
        <f>K74/C74</f>
        <v>32.81</v>
      </c>
      <c r="M74" s="125">
        <f>C74*L74</f>
        <v>1312.4</v>
      </c>
      <c r="N74" s="131">
        <v>0</v>
      </c>
      <c r="O74" s="118">
        <f>M74*N74</f>
        <v>0</v>
      </c>
      <c r="P74" s="62"/>
      <c r="Q74" s="62"/>
      <c r="R74" s="62"/>
      <c r="S74" s="62"/>
      <c r="T74" s="103"/>
      <c r="U74" s="103"/>
    </row>
    <row r="75" spans="1:21" s="70" customFormat="1" ht="14.25" x14ac:dyDescent="0.2">
      <c r="A75" s="60"/>
      <c r="B75" s="146" t="s">
        <v>400</v>
      </c>
      <c r="C75" s="170" t="s">
        <v>89</v>
      </c>
      <c r="D75" s="72"/>
      <c r="E75" s="122"/>
      <c r="F75" s="122"/>
      <c r="G75" s="122"/>
      <c r="H75" s="123"/>
      <c r="I75" s="135"/>
      <c r="J75" s="123"/>
      <c r="K75" s="124"/>
      <c r="L75" s="123"/>
      <c r="M75" s="125"/>
      <c r="N75" s="131"/>
      <c r="O75" s="118"/>
      <c r="P75" s="62"/>
      <c r="Q75" s="62"/>
      <c r="R75" s="62"/>
      <c r="S75" s="62"/>
      <c r="T75" s="103"/>
      <c r="U75" s="103"/>
    </row>
    <row r="76" spans="1:21" s="70" customFormat="1" ht="14.25" x14ac:dyDescent="0.2">
      <c r="A76" s="60"/>
      <c r="B76" s="151" t="s">
        <v>399</v>
      </c>
      <c r="C76" s="152">
        <v>52</v>
      </c>
      <c r="D76" s="153" t="s">
        <v>46</v>
      </c>
      <c r="E76" s="122">
        <v>0.25</v>
      </c>
      <c r="F76" s="122">
        <f>C76*E76</f>
        <v>13</v>
      </c>
      <c r="G76" s="122">
        <f>$H$11*E76</f>
        <v>13</v>
      </c>
      <c r="H76" s="123">
        <f>F76*$H$11</f>
        <v>676</v>
      </c>
      <c r="I76" s="135">
        <v>14.43</v>
      </c>
      <c r="J76" s="123">
        <f>C76*I76</f>
        <v>750.36</v>
      </c>
      <c r="K76" s="124">
        <f>SUM(H76,J76)</f>
        <v>1426.3600000000001</v>
      </c>
      <c r="L76" s="123">
        <f>K76/C76</f>
        <v>27.430000000000003</v>
      </c>
      <c r="M76" s="125">
        <f>C76*L76</f>
        <v>1426.3600000000001</v>
      </c>
      <c r="N76" s="131">
        <v>0</v>
      </c>
      <c r="O76" s="118">
        <f>M76*N76</f>
        <v>0</v>
      </c>
      <c r="P76" s="62"/>
      <c r="Q76" s="62"/>
      <c r="R76" s="62"/>
      <c r="S76" s="62"/>
      <c r="T76" s="103"/>
      <c r="U76" s="103"/>
    </row>
    <row r="77" spans="1:21" s="70" customFormat="1" ht="14.25" x14ac:dyDescent="0.2">
      <c r="A77" s="60"/>
      <c r="B77" s="151"/>
      <c r="C77" s="152"/>
      <c r="D77" s="153"/>
      <c r="E77" s="122"/>
      <c r="F77" s="122"/>
      <c r="G77" s="122"/>
      <c r="H77" s="123"/>
      <c r="I77" s="135"/>
      <c r="J77" s="123"/>
      <c r="K77" s="124"/>
      <c r="L77" s="123"/>
      <c r="M77" s="125"/>
      <c r="N77" s="131"/>
      <c r="O77" s="118"/>
      <c r="P77" s="62"/>
      <c r="Q77" s="62"/>
      <c r="R77" s="62"/>
      <c r="S77" s="62"/>
      <c r="T77" s="103"/>
      <c r="U77" s="103"/>
    </row>
    <row r="78" spans="1:21" s="70" customFormat="1" ht="14.25" x14ac:dyDescent="0.2">
      <c r="A78" s="60"/>
      <c r="B78" s="151" t="s">
        <v>409</v>
      </c>
      <c r="C78" s="152">
        <v>20</v>
      </c>
      <c r="D78" s="153" t="s">
        <v>60</v>
      </c>
      <c r="E78" s="122">
        <v>0.5</v>
      </c>
      <c r="F78" s="122">
        <v>1.5</v>
      </c>
      <c r="G78" s="122">
        <v>27.5</v>
      </c>
      <c r="H78" s="123">
        <v>82.5</v>
      </c>
      <c r="I78" s="135">
        <v>58</v>
      </c>
      <c r="J78" s="123">
        <v>180</v>
      </c>
      <c r="K78" s="124">
        <v>262.5</v>
      </c>
      <c r="L78" s="123">
        <v>87.5</v>
      </c>
      <c r="M78" s="125">
        <v>262.5</v>
      </c>
      <c r="N78" s="131">
        <v>0</v>
      </c>
      <c r="O78" s="118">
        <v>0</v>
      </c>
      <c r="P78" s="62"/>
      <c r="Q78" s="62"/>
      <c r="R78" s="62"/>
      <c r="S78" s="62"/>
      <c r="T78" s="103"/>
      <c r="U78" s="103"/>
    </row>
    <row r="79" spans="1:21" s="70" customFormat="1" ht="14.25" x14ac:dyDescent="0.2">
      <c r="A79" s="60"/>
      <c r="B79" s="151"/>
      <c r="C79" s="152"/>
      <c r="D79" s="153"/>
      <c r="E79" s="122"/>
      <c r="F79" s="122"/>
      <c r="G79" s="122"/>
      <c r="H79" s="123"/>
      <c r="I79" s="135"/>
      <c r="J79" s="123"/>
      <c r="K79" s="124"/>
      <c r="L79" s="123"/>
      <c r="M79" s="125"/>
      <c r="N79" s="131"/>
      <c r="O79" s="118"/>
      <c r="P79" s="450">
        <f>SUM(M72:M78)</f>
        <v>3507.6000000000004</v>
      </c>
      <c r="Q79" s="450">
        <f>P79*SUM($L$98:$L$102)</f>
        <v>333.22200000000004</v>
      </c>
      <c r="R79" s="450"/>
      <c r="S79" s="450"/>
      <c r="T79" s="103"/>
      <c r="U79" s="103"/>
    </row>
    <row r="80" spans="1:21" s="70" customFormat="1" ht="14.25" x14ac:dyDescent="0.2">
      <c r="A80" s="60"/>
      <c r="B80" s="151"/>
      <c r="C80" s="152"/>
      <c r="D80" s="153"/>
      <c r="E80" s="122"/>
      <c r="F80" s="122"/>
      <c r="G80" s="122"/>
      <c r="H80" s="123"/>
      <c r="I80" s="135"/>
      <c r="J80" s="123"/>
      <c r="K80" s="124"/>
      <c r="L80" s="123"/>
      <c r="M80" s="125"/>
      <c r="N80" s="131"/>
      <c r="O80" s="118"/>
      <c r="P80" s="451">
        <f>P79/$M$95</f>
        <v>0.10501615615898825</v>
      </c>
      <c r="Q80" s="450">
        <f>P80*$M$106</f>
        <v>67.601525123444716</v>
      </c>
      <c r="R80" s="450">
        <f>SUM(P79,Q79,Q80)</f>
        <v>3908.4235251234454</v>
      </c>
      <c r="S80" s="450">
        <f>R80*1.08</f>
        <v>4221.0974071333212</v>
      </c>
      <c r="T80" s="103"/>
      <c r="U80" s="103"/>
    </row>
    <row r="81" spans="1:21" s="70" customFormat="1" ht="15" x14ac:dyDescent="0.2">
      <c r="A81" s="60"/>
      <c r="B81" s="267" t="s">
        <v>62</v>
      </c>
      <c r="C81" s="152"/>
      <c r="D81" s="153"/>
      <c r="E81" s="122"/>
      <c r="F81" s="122"/>
      <c r="G81" s="122"/>
      <c r="H81" s="123"/>
      <c r="I81" s="135"/>
      <c r="J81" s="123"/>
      <c r="K81" s="124"/>
      <c r="L81" s="123"/>
      <c r="M81" s="125"/>
      <c r="N81" s="131"/>
      <c r="O81" s="118"/>
      <c r="P81" s="62"/>
      <c r="Q81" s="62"/>
      <c r="R81" s="62"/>
      <c r="S81" s="62"/>
      <c r="T81" s="103"/>
      <c r="U81" s="103"/>
    </row>
    <row r="82" spans="1:21" s="70" customFormat="1" ht="14.25" x14ac:dyDescent="0.2">
      <c r="A82" s="60"/>
      <c r="B82" s="146" t="s">
        <v>401</v>
      </c>
      <c r="C82" s="61">
        <v>29</v>
      </c>
      <c r="D82" s="72" t="s">
        <v>46</v>
      </c>
      <c r="E82" s="122">
        <v>0.2</v>
      </c>
      <c r="F82" s="122">
        <f>C82*E82</f>
        <v>5.8000000000000007</v>
      </c>
      <c r="G82" s="122">
        <f>$H$11*E82</f>
        <v>10.4</v>
      </c>
      <c r="H82" s="123">
        <f>F82*$H$11</f>
        <v>301.60000000000002</v>
      </c>
      <c r="I82" s="135">
        <v>7.06</v>
      </c>
      <c r="J82" s="123">
        <f>C82*I82</f>
        <v>204.73999999999998</v>
      </c>
      <c r="K82" s="124">
        <f>SUM(H82,J82)</f>
        <v>506.34000000000003</v>
      </c>
      <c r="L82" s="123">
        <f>K82/C82</f>
        <v>17.46</v>
      </c>
      <c r="M82" s="125">
        <f>C82*L82</f>
        <v>506.34000000000003</v>
      </c>
      <c r="N82" s="131">
        <v>0</v>
      </c>
      <c r="O82" s="118">
        <f>M82*N82</f>
        <v>0</v>
      </c>
      <c r="P82" s="62"/>
      <c r="Q82" s="62"/>
      <c r="R82" s="62"/>
      <c r="S82" s="62"/>
      <c r="T82" s="103"/>
      <c r="U82" s="103"/>
    </row>
    <row r="83" spans="1:21" s="70" customFormat="1" ht="14.25" x14ac:dyDescent="0.2">
      <c r="A83" s="60"/>
      <c r="B83" s="1" t="s">
        <v>397</v>
      </c>
      <c r="C83" s="170" t="s">
        <v>398</v>
      </c>
      <c r="D83" s="72"/>
      <c r="E83" s="122"/>
      <c r="F83" s="122"/>
      <c r="G83" s="122"/>
      <c r="H83" s="123"/>
      <c r="I83" s="135"/>
      <c r="J83" s="123"/>
      <c r="K83" s="124"/>
      <c r="L83" s="123"/>
      <c r="M83" s="125"/>
      <c r="N83" s="131"/>
      <c r="O83" s="118"/>
      <c r="P83" s="62"/>
      <c r="Q83" s="62"/>
      <c r="R83" s="62"/>
      <c r="S83" s="62"/>
      <c r="T83" s="103"/>
      <c r="U83" s="103"/>
    </row>
    <row r="84" spans="1:21" s="70" customFormat="1" ht="14.25" x14ac:dyDescent="0.2">
      <c r="A84" s="60"/>
      <c r="B84" s="151" t="s">
        <v>402</v>
      </c>
      <c r="C84" s="61">
        <v>39</v>
      </c>
      <c r="D84" s="72" t="s">
        <v>46</v>
      </c>
      <c r="E84" s="122">
        <v>0.25</v>
      </c>
      <c r="F84" s="122">
        <f>C84*E84</f>
        <v>9.75</v>
      </c>
      <c r="G84" s="122">
        <f>$H$11*E84</f>
        <v>13</v>
      </c>
      <c r="H84" s="123">
        <f>F84*$H$11</f>
        <v>507</v>
      </c>
      <c r="I84" s="135">
        <v>19.809999999999999</v>
      </c>
      <c r="J84" s="123">
        <f>C84*I84</f>
        <v>772.58999999999992</v>
      </c>
      <c r="K84" s="124">
        <f>SUM(H84,J84)</f>
        <v>1279.5899999999999</v>
      </c>
      <c r="L84" s="123">
        <f>K84/C84</f>
        <v>32.809999999999995</v>
      </c>
      <c r="M84" s="125">
        <f>C84*L84</f>
        <v>1279.5899999999999</v>
      </c>
      <c r="N84" s="131">
        <v>0</v>
      </c>
      <c r="O84" s="118">
        <f>M84*N84</f>
        <v>0</v>
      </c>
      <c r="P84" s="62"/>
      <c r="Q84" s="62"/>
      <c r="R84" s="62"/>
      <c r="S84" s="62"/>
      <c r="T84" s="103"/>
      <c r="U84" s="103"/>
    </row>
    <row r="85" spans="1:21" s="70" customFormat="1" ht="14.25" x14ac:dyDescent="0.2">
      <c r="A85" s="60"/>
      <c r="B85" s="146" t="s">
        <v>400</v>
      </c>
      <c r="C85" s="170" t="s">
        <v>89</v>
      </c>
      <c r="D85" s="72"/>
      <c r="E85" s="122"/>
      <c r="F85" s="122"/>
      <c r="G85" s="122"/>
      <c r="H85" s="123"/>
      <c r="I85" s="135"/>
      <c r="J85" s="123"/>
      <c r="K85" s="124"/>
      <c r="L85" s="123"/>
      <c r="M85" s="125"/>
      <c r="N85" s="131"/>
      <c r="O85" s="118"/>
      <c r="P85" s="62"/>
      <c r="Q85" s="62"/>
      <c r="R85" s="62"/>
      <c r="S85" s="62"/>
      <c r="T85" s="103"/>
      <c r="U85" s="103"/>
    </row>
    <row r="86" spans="1:21" s="70" customFormat="1" ht="14.25" x14ac:dyDescent="0.2">
      <c r="A86" s="60"/>
      <c r="B86" s="151" t="s">
        <v>399</v>
      </c>
      <c r="C86" s="152">
        <v>60</v>
      </c>
      <c r="D86" s="153" t="s">
        <v>46</v>
      </c>
      <c r="E86" s="122">
        <v>0.25</v>
      </c>
      <c r="F86" s="122">
        <f>C86*E86</f>
        <v>15</v>
      </c>
      <c r="G86" s="122">
        <f>$H$11*E86</f>
        <v>13</v>
      </c>
      <c r="H86" s="123">
        <f>F86*$H$11</f>
        <v>780</v>
      </c>
      <c r="I86" s="135">
        <v>14.43</v>
      </c>
      <c r="J86" s="123">
        <f>C86*I86</f>
        <v>865.8</v>
      </c>
      <c r="K86" s="124">
        <f>SUM(H86,J86)</f>
        <v>1645.8</v>
      </c>
      <c r="L86" s="123">
        <f>K86/C86</f>
        <v>27.43</v>
      </c>
      <c r="M86" s="125">
        <f>C86*L86</f>
        <v>1645.8</v>
      </c>
      <c r="N86" s="131">
        <v>0</v>
      </c>
      <c r="O86" s="118">
        <f>M86*N86</f>
        <v>0</v>
      </c>
      <c r="P86" s="62"/>
      <c r="Q86" s="62"/>
      <c r="R86" s="62"/>
      <c r="S86" s="62"/>
      <c r="T86" s="103"/>
      <c r="U86" s="103"/>
    </row>
    <row r="87" spans="1:21" s="70" customFormat="1" ht="14.25" x14ac:dyDescent="0.2">
      <c r="A87" s="60"/>
      <c r="B87" s="151"/>
      <c r="C87" s="152"/>
      <c r="D87" s="153"/>
      <c r="E87" s="122"/>
      <c r="F87" s="122"/>
      <c r="G87" s="122"/>
      <c r="H87" s="123"/>
      <c r="I87" s="135"/>
      <c r="J87" s="123"/>
      <c r="K87" s="124"/>
      <c r="L87" s="123"/>
      <c r="M87" s="125"/>
      <c r="N87" s="131"/>
      <c r="O87" s="118"/>
      <c r="P87" s="62"/>
      <c r="Q87" s="62"/>
      <c r="R87" s="62"/>
      <c r="S87" s="62"/>
      <c r="T87" s="103"/>
      <c r="U87" s="103"/>
    </row>
    <row r="88" spans="1:21" s="70" customFormat="1" ht="14.25" x14ac:dyDescent="0.2">
      <c r="A88" s="60"/>
      <c r="B88" s="151" t="s">
        <v>409</v>
      </c>
      <c r="C88" s="152">
        <v>18</v>
      </c>
      <c r="D88" s="153" t="s">
        <v>60</v>
      </c>
      <c r="E88" s="122">
        <v>0.5</v>
      </c>
      <c r="F88" s="122">
        <v>1.5</v>
      </c>
      <c r="G88" s="122">
        <v>27.5</v>
      </c>
      <c r="H88" s="123">
        <v>82.5</v>
      </c>
      <c r="I88" s="135">
        <v>58</v>
      </c>
      <c r="J88" s="123">
        <v>180</v>
      </c>
      <c r="K88" s="124">
        <v>262.5</v>
      </c>
      <c r="L88" s="123">
        <v>87.5</v>
      </c>
      <c r="M88" s="125">
        <v>262.5</v>
      </c>
      <c r="N88" s="131">
        <v>0</v>
      </c>
      <c r="O88" s="118">
        <v>0</v>
      </c>
      <c r="P88" s="62"/>
      <c r="Q88" s="62"/>
      <c r="R88" s="62"/>
      <c r="S88" s="62"/>
      <c r="T88" s="103"/>
      <c r="U88" s="103"/>
    </row>
    <row r="89" spans="1:21" s="70" customFormat="1" ht="14.25" x14ac:dyDescent="0.2">
      <c r="A89" s="60"/>
      <c r="B89" s="151"/>
      <c r="C89" s="152"/>
      <c r="D89" s="153"/>
      <c r="E89" s="122"/>
      <c r="F89" s="122"/>
      <c r="G89" s="122"/>
      <c r="H89" s="123"/>
      <c r="I89" s="135"/>
      <c r="J89" s="123"/>
      <c r="K89" s="124"/>
      <c r="L89" s="123"/>
      <c r="M89" s="125"/>
      <c r="N89" s="131"/>
      <c r="O89" s="118"/>
      <c r="P89" s="450">
        <f>SUM(M82:M88)</f>
        <v>3694.2299999999996</v>
      </c>
      <c r="Q89" s="450">
        <f>P89*SUM($L$98:$L$102)</f>
        <v>350.95184999999998</v>
      </c>
      <c r="R89" s="450"/>
      <c r="S89" s="450"/>
      <c r="T89" s="103"/>
      <c r="U89" s="103"/>
    </row>
    <row r="90" spans="1:21" s="70" customFormat="1" ht="14.25" x14ac:dyDescent="0.2">
      <c r="A90" s="60"/>
      <c r="B90" s="151"/>
      <c r="C90" s="152"/>
      <c r="D90" s="153"/>
      <c r="E90" s="122"/>
      <c r="F90" s="122"/>
      <c r="G90" s="122"/>
      <c r="H90" s="123"/>
      <c r="I90" s="135"/>
      <c r="J90" s="123"/>
      <c r="K90" s="124"/>
      <c r="L90" s="123"/>
      <c r="M90" s="125"/>
      <c r="N90" s="131"/>
      <c r="O90" s="118"/>
      <c r="P90" s="451">
        <f>P89/$M$95</f>
        <v>0.11060378451568569</v>
      </c>
      <c r="Q90" s="450">
        <f>P90*$M$106</f>
        <v>71.19842118735977</v>
      </c>
      <c r="R90" s="450">
        <f>SUM(P89,Q89,Q90)</f>
        <v>4116.3802711873595</v>
      </c>
      <c r="S90" s="450">
        <f>R90*1.08</f>
        <v>4445.6906928823482</v>
      </c>
      <c r="T90" s="103">
        <f>SUM(C88,C78,C68,C58,C48,C38,C29)</f>
        <v>129</v>
      </c>
      <c r="U90" s="103"/>
    </row>
    <row r="91" spans="1:21" s="70" customFormat="1" ht="15" x14ac:dyDescent="0.2">
      <c r="A91" s="60"/>
      <c r="B91" s="169" t="s">
        <v>97</v>
      </c>
      <c r="C91" s="157" t="s">
        <v>89</v>
      </c>
      <c r="D91" s="153"/>
      <c r="E91" s="122"/>
      <c r="F91" s="122"/>
      <c r="G91" s="122"/>
      <c r="H91" s="123"/>
      <c r="I91" s="135"/>
      <c r="J91" s="123"/>
      <c r="K91" s="124"/>
      <c r="L91" s="123"/>
      <c r="M91" s="125"/>
      <c r="N91" s="131"/>
      <c r="O91" s="118"/>
      <c r="P91" s="62"/>
      <c r="Q91" s="62"/>
      <c r="R91" s="62"/>
      <c r="S91" s="62"/>
      <c r="T91" s="103"/>
      <c r="U91" s="103"/>
    </row>
    <row r="92" spans="1:21" s="70" customFormat="1" ht="14.25" x14ac:dyDescent="0.2">
      <c r="A92" s="60"/>
      <c r="B92" s="151"/>
      <c r="C92" s="152"/>
      <c r="D92" s="153"/>
      <c r="E92" s="122"/>
      <c r="F92" s="122"/>
      <c r="G92" s="122"/>
      <c r="H92" s="123"/>
      <c r="I92" s="135"/>
      <c r="J92" s="123"/>
      <c r="K92" s="124"/>
      <c r="L92" s="123"/>
      <c r="M92" s="125"/>
      <c r="N92" s="131"/>
      <c r="O92" s="118"/>
      <c r="P92" s="62"/>
      <c r="Q92" s="62"/>
      <c r="R92" s="62"/>
      <c r="S92" s="62"/>
      <c r="T92" s="103"/>
      <c r="U92" s="103"/>
    </row>
    <row r="93" spans="1:21" ht="14.25" x14ac:dyDescent="0.2">
      <c r="A93" s="60"/>
      <c r="B93" s="120"/>
      <c r="C93" s="126"/>
      <c r="D93" s="130"/>
      <c r="E93" s="121"/>
      <c r="F93" s="122"/>
      <c r="G93" s="122"/>
      <c r="H93" s="123"/>
      <c r="I93" s="123"/>
      <c r="J93" s="123"/>
      <c r="K93" s="124"/>
      <c r="L93" s="123"/>
      <c r="M93" s="125"/>
      <c r="N93" s="119"/>
      <c r="O93" s="118"/>
      <c r="P93" s="62"/>
      <c r="Q93" s="62"/>
      <c r="R93" s="62"/>
      <c r="S93" s="62"/>
      <c r="T93" s="17"/>
      <c r="U93" s="17"/>
    </row>
    <row r="94" spans="1:21" ht="24" customHeight="1" x14ac:dyDescent="0.2">
      <c r="A94" s="29"/>
      <c r="B94" s="30"/>
      <c r="C94" s="31"/>
      <c r="D94" s="32"/>
      <c r="E94" s="32"/>
      <c r="F94" s="32">
        <f>SUM(F13:F93)</f>
        <v>286.10000000000002</v>
      </c>
      <c r="G94" s="32"/>
      <c r="H94" s="83">
        <f>SUM(H13:H93)</f>
        <v>14886.2</v>
      </c>
      <c r="I94" s="32"/>
      <c r="J94" s="75">
        <f>SUM(J13:J93)</f>
        <v>18514.375000000004</v>
      </c>
      <c r="K94" s="32"/>
      <c r="L94" s="32"/>
      <c r="M94" s="66"/>
      <c r="N94" s="86"/>
      <c r="O94" s="96"/>
      <c r="P94" s="62"/>
      <c r="Q94" s="62"/>
      <c r="R94" s="452">
        <f>SUM(R13:R93)</f>
        <v>37217.354624999993</v>
      </c>
      <c r="S94" s="452">
        <f>SUM(S13:S93)</f>
        <v>40194.742995000008</v>
      </c>
      <c r="T94" s="17"/>
      <c r="U94" s="17"/>
    </row>
    <row r="95" spans="1:21" ht="15" customHeight="1" x14ac:dyDescent="0.2">
      <c r="A95" s="13"/>
      <c r="B95" s="27" t="s">
        <v>16</v>
      </c>
      <c r="C95" s="23"/>
      <c r="D95" s="24"/>
      <c r="E95" s="24"/>
      <c r="F95" s="24"/>
      <c r="G95" s="24"/>
      <c r="H95" s="24"/>
      <c r="I95" s="24"/>
      <c r="J95" s="24"/>
      <c r="K95" s="24"/>
      <c r="L95" s="24"/>
      <c r="M95" s="25">
        <f>SUM(M13:M93)</f>
        <v>33400.575000000012</v>
      </c>
      <c r="N95" s="92"/>
      <c r="O95" s="95">
        <f>SUM(O13:O93)</f>
        <v>0</v>
      </c>
      <c r="P95" s="62"/>
      <c r="Q95" s="62"/>
      <c r="R95" s="62"/>
      <c r="S95" s="62"/>
      <c r="T95" s="17"/>
      <c r="U95" s="17"/>
    </row>
    <row r="96" spans="1:21" x14ac:dyDescent="0.2">
      <c r="A96" s="11"/>
      <c r="B96" s="34" t="s">
        <v>12</v>
      </c>
      <c r="C96" s="23"/>
      <c r="D96" s="35"/>
      <c r="E96" s="35"/>
      <c r="F96" s="35"/>
      <c r="G96" s="35"/>
      <c r="H96" s="35"/>
      <c r="I96" s="35"/>
      <c r="J96" s="35"/>
      <c r="K96" s="35"/>
      <c r="L96" s="35"/>
      <c r="M96" s="25"/>
      <c r="N96" s="92"/>
      <c r="O96" s="95"/>
      <c r="P96" s="62"/>
      <c r="Q96" s="62"/>
      <c r="R96" s="62"/>
      <c r="S96" s="62"/>
      <c r="T96" s="17"/>
      <c r="U96" s="17"/>
    </row>
    <row r="97" spans="1:21" ht="12.75" customHeight="1" x14ac:dyDescent="0.2">
      <c r="A97" s="11"/>
      <c r="B97" s="36"/>
      <c r="C97" s="23"/>
      <c r="D97" s="35"/>
      <c r="E97" s="35"/>
      <c r="F97" s="35"/>
      <c r="G97" s="35"/>
      <c r="H97" s="35"/>
      <c r="I97" s="35"/>
      <c r="J97" s="35"/>
      <c r="K97" s="35"/>
      <c r="L97" s="35"/>
      <c r="M97" s="25"/>
      <c r="N97" s="92"/>
      <c r="O97" s="95"/>
      <c r="P97" s="17"/>
      <c r="Q97" s="17"/>
      <c r="R97" s="17"/>
      <c r="S97" s="17"/>
      <c r="T97" s="17"/>
      <c r="U97" s="17"/>
    </row>
    <row r="98" spans="1:21" ht="12.75" customHeight="1" x14ac:dyDescent="0.2">
      <c r="A98" s="13"/>
      <c r="B98" s="11" t="s">
        <v>8</v>
      </c>
      <c r="C98" s="23"/>
      <c r="D98" s="35" t="s">
        <v>5</v>
      </c>
      <c r="E98" s="35"/>
      <c r="F98" s="35"/>
      <c r="G98" s="35"/>
      <c r="H98" s="35"/>
      <c r="I98" s="35"/>
      <c r="J98" s="35"/>
      <c r="K98" s="35"/>
      <c r="L98" s="76">
        <v>0.06</v>
      </c>
      <c r="M98" s="81">
        <f>M95*L98</f>
        <v>2004.0345000000007</v>
      </c>
      <c r="N98" s="156"/>
      <c r="O98" s="95">
        <f>($O$95/$M$95)*M98</f>
        <v>0</v>
      </c>
      <c r="P98" s="17"/>
      <c r="Q98" s="17"/>
      <c r="R98" s="17"/>
      <c r="S98" s="17"/>
    </row>
    <row r="99" spans="1:21" ht="12.75" customHeight="1" x14ac:dyDescent="0.2">
      <c r="A99" s="37"/>
      <c r="B99" s="11"/>
      <c r="C99" s="23"/>
      <c r="D99" s="35"/>
      <c r="E99" s="35"/>
      <c r="F99" s="35"/>
      <c r="G99" s="35"/>
      <c r="H99" s="35"/>
      <c r="I99" s="35"/>
      <c r="J99" s="35"/>
      <c r="K99" s="35"/>
      <c r="L99" s="35"/>
      <c r="M99" s="25"/>
      <c r="N99" s="92"/>
      <c r="O99" s="95"/>
      <c r="P99" s="17"/>
      <c r="Q99" s="17"/>
      <c r="R99" s="17"/>
      <c r="S99" s="17"/>
    </row>
    <row r="100" spans="1:21" s="41" customFormat="1" x14ac:dyDescent="0.2">
      <c r="A100" s="13"/>
      <c r="B100" s="38" t="s">
        <v>9</v>
      </c>
      <c r="C100" s="39"/>
      <c r="D100" s="40" t="s">
        <v>5</v>
      </c>
      <c r="E100" s="40"/>
      <c r="F100" s="40"/>
      <c r="G100" s="40"/>
      <c r="H100" s="40"/>
      <c r="I100" s="40"/>
      <c r="J100" s="40"/>
      <c r="K100" s="40"/>
      <c r="L100" s="76">
        <v>0.03</v>
      </c>
      <c r="M100" s="33">
        <f>M95*L100</f>
        <v>1002.0172500000003</v>
      </c>
      <c r="N100" s="92"/>
      <c r="O100" s="95">
        <f t="shared" ref="O100:O106" si="0">($O$95/$M$95)*M100</f>
        <v>0</v>
      </c>
    </row>
    <row r="101" spans="1:21" s="41" customFormat="1" x14ac:dyDescent="0.2">
      <c r="A101" s="13"/>
      <c r="B101" s="38"/>
      <c r="C101" s="39"/>
      <c r="D101" s="40"/>
      <c r="E101" s="40"/>
      <c r="F101" s="40"/>
      <c r="G101" s="40"/>
      <c r="H101" s="40"/>
      <c r="I101" s="40"/>
      <c r="J101" s="40"/>
      <c r="K101" s="40"/>
      <c r="L101" s="40"/>
      <c r="M101" s="33"/>
      <c r="N101" s="92"/>
      <c r="O101" s="95"/>
    </row>
    <row r="102" spans="1:21" s="41" customFormat="1" x14ac:dyDescent="0.2">
      <c r="A102" s="13"/>
      <c r="B102" s="38" t="s">
        <v>10</v>
      </c>
      <c r="C102" s="39"/>
      <c r="D102" s="40" t="s">
        <v>5</v>
      </c>
      <c r="E102" s="40"/>
      <c r="F102" s="40"/>
      <c r="G102" s="40"/>
      <c r="H102" s="40"/>
      <c r="I102" s="40"/>
      <c r="J102" s="40"/>
      <c r="K102" s="40"/>
      <c r="L102" s="76">
        <v>5.0000000000000001E-3</v>
      </c>
      <c r="M102" s="33">
        <f>M95*L102</f>
        <v>167.00287500000007</v>
      </c>
      <c r="N102" s="92"/>
      <c r="O102" s="95">
        <f t="shared" si="0"/>
        <v>0</v>
      </c>
    </row>
    <row r="103" spans="1:21" s="41" customFormat="1" x14ac:dyDescent="0.2">
      <c r="A103" s="13"/>
      <c r="B103" s="77"/>
      <c r="C103" s="78"/>
      <c r="D103" s="79"/>
      <c r="E103" s="79"/>
      <c r="F103" s="79"/>
      <c r="G103" s="79"/>
      <c r="H103" s="79"/>
      <c r="I103" s="79"/>
      <c r="J103" s="79"/>
      <c r="K103" s="79"/>
      <c r="L103" s="79"/>
      <c r="M103" s="82"/>
      <c r="N103" s="92"/>
      <c r="O103" s="95"/>
    </row>
    <row r="104" spans="1:21" s="41" customFormat="1" x14ac:dyDescent="0.2">
      <c r="A104" s="28"/>
      <c r="B104" s="129" t="s">
        <v>250</v>
      </c>
      <c r="C104" s="78"/>
      <c r="D104" s="79" t="s">
        <v>5</v>
      </c>
      <c r="E104" s="79"/>
      <c r="F104" s="79"/>
      <c r="G104" s="79"/>
      <c r="H104" s="79"/>
      <c r="I104" s="79"/>
      <c r="J104" s="79"/>
      <c r="K104" s="79"/>
      <c r="L104" s="80"/>
      <c r="M104" s="82"/>
      <c r="N104" s="92"/>
      <c r="O104" s="95"/>
    </row>
    <row r="105" spans="1:21" s="41" customFormat="1" x14ac:dyDescent="0.2">
      <c r="A105" s="28"/>
      <c r="B105" s="77"/>
      <c r="C105" s="78"/>
      <c r="D105" s="79"/>
      <c r="E105" s="79"/>
      <c r="F105" s="79"/>
      <c r="G105" s="79"/>
      <c r="H105" s="79"/>
      <c r="I105" s="79"/>
      <c r="J105" s="79"/>
      <c r="K105" s="79"/>
      <c r="L105" s="79"/>
      <c r="M105" s="82"/>
      <c r="N105" s="92"/>
      <c r="O105" s="95"/>
    </row>
    <row r="106" spans="1:21" s="41" customFormat="1" x14ac:dyDescent="0.2">
      <c r="A106" s="28"/>
      <c r="B106" s="147" t="s">
        <v>251</v>
      </c>
      <c r="C106" s="78"/>
      <c r="D106" s="79" t="s">
        <v>5</v>
      </c>
      <c r="E106" s="79"/>
      <c r="F106" s="79"/>
      <c r="G106" s="79"/>
      <c r="H106" s="79"/>
      <c r="I106" s="79"/>
      <c r="J106" s="79"/>
      <c r="K106" s="79"/>
      <c r="L106" s="80">
        <f>M106/M95</f>
        <v>1.9272871799362729E-2</v>
      </c>
      <c r="M106" s="148">
        <f>I117</f>
        <v>643.72500000000002</v>
      </c>
      <c r="N106" s="92"/>
      <c r="O106" s="95">
        <f t="shared" si="0"/>
        <v>0</v>
      </c>
    </row>
    <row r="107" spans="1:21" s="41" customFormat="1" x14ac:dyDescent="0.2">
      <c r="A107" s="13"/>
      <c r="B107" s="77"/>
      <c r="C107" s="78"/>
      <c r="D107" s="79"/>
      <c r="E107" s="79"/>
      <c r="F107" s="79"/>
      <c r="G107" s="79"/>
      <c r="H107" s="79"/>
      <c r="I107" s="79"/>
      <c r="J107" s="79"/>
      <c r="K107" s="79"/>
      <c r="L107" s="79"/>
      <c r="M107" s="33"/>
      <c r="N107" s="92"/>
      <c r="O107" s="97"/>
    </row>
    <row r="108" spans="1:21" x14ac:dyDescent="0.2">
      <c r="A108" s="42"/>
      <c r="B108" s="43" t="s">
        <v>17</v>
      </c>
      <c r="C108" s="44"/>
      <c r="D108" s="45"/>
      <c r="E108" s="45"/>
      <c r="F108" s="45"/>
      <c r="G108" s="45"/>
      <c r="H108" s="45"/>
      <c r="I108" s="45"/>
      <c r="J108" s="45"/>
      <c r="K108" s="45"/>
      <c r="L108" s="45"/>
      <c r="M108" s="67">
        <f>SUM(M95:M107)</f>
        <v>37217.354625000007</v>
      </c>
      <c r="N108" s="93"/>
      <c r="O108" s="98">
        <f>SUM(O95:O107)</f>
        <v>0</v>
      </c>
      <c r="P108" s="17"/>
      <c r="Q108" s="17"/>
      <c r="R108" s="17"/>
      <c r="S108" s="17"/>
    </row>
    <row r="109" spans="1:21" x14ac:dyDescent="0.2">
      <c r="A109" s="13"/>
      <c r="B109" s="18"/>
      <c r="C109" s="23"/>
      <c r="D109" s="35"/>
      <c r="E109" s="35"/>
      <c r="F109" s="35"/>
      <c r="G109" s="35"/>
      <c r="H109" s="35"/>
      <c r="I109" s="35"/>
      <c r="J109" s="35"/>
      <c r="K109" s="35"/>
      <c r="L109" s="35"/>
      <c r="M109" s="25"/>
      <c r="N109" s="87"/>
      <c r="O109" s="99"/>
      <c r="P109" s="17"/>
      <c r="Q109" s="17"/>
      <c r="R109" s="17"/>
      <c r="S109" s="17"/>
    </row>
    <row r="110" spans="1:21" x14ac:dyDescent="0.2">
      <c r="A110" s="13"/>
      <c r="B110" s="18" t="s">
        <v>11</v>
      </c>
      <c r="C110" s="23"/>
      <c r="D110" s="35"/>
      <c r="E110" s="35"/>
      <c r="F110" s="35"/>
      <c r="G110" s="35"/>
      <c r="H110" s="35"/>
      <c r="I110" s="35"/>
      <c r="J110" s="35"/>
      <c r="K110" s="35"/>
      <c r="L110" s="76">
        <v>0.08</v>
      </c>
      <c r="M110" s="25">
        <f>M108*L110</f>
        <v>2977.3883700000006</v>
      </c>
      <c r="N110" s="87"/>
      <c r="O110" s="99">
        <f>O108/M108*M110</f>
        <v>0</v>
      </c>
      <c r="P110" s="17"/>
      <c r="Q110" s="17"/>
      <c r="R110" s="17"/>
      <c r="S110" s="17"/>
    </row>
    <row r="111" spans="1:21" x14ac:dyDescent="0.2">
      <c r="A111" s="46"/>
      <c r="B111" s="47"/>
      <c r="C111" s="48"/>
      <c r="D111" s="48"/>
      <c r="E111" s="48"/>
      <c r="F111" s="48"/>
      <c r="G111" s="48"/>
      <c r="H111" s="48"/>
      <c r="I111" s="48"/>
      <c r="J111" s="48"/>
      <c r="K111" s="48"/>
      <c r="L111" s="48"/>
      <c r="M111" s="68"/>
      <c r="N111" s="87"/>
      <c r="O111" s="99"/>
      <c r="P111" s="17"/>
      <c r="Q111" s="17"/>
      <c r="R111" s="17"/>
      <c r="S111" s="17"/>
    </row>
    <row r="112" spans="1:21" ht="13.5" customHeight="1" x14ac:dyDescent="0.2">
      <c r="A112" s="49"/>
      <c r="B112" s="55" t="s">
        <v>406</v>
      </c>
      <c r="C112" s="50"/>
      <c r="D112" s="51"/>
      <c r="E112" s="51"/>
      <c r="F112" s="51"/>
      <c r="G112" s="51"/>
      <c r="H112" s="51"/>
      <c r="I112" s="51"/>
      <c r="J112" s="51"/>
      <c r="K112" s="51"/>
      <c r="L112" s="51"/>
      <c r="M112" s="69">
        <f>ROUNDUP(SUM(M108:M111),0)</f>
        <v>40195</v>
      </c>
      <c r="N112" s="133">
        <f>O112/M112</f>
        <v>0</v>
      </c>
      <c r="O112" s="102">
        <f>SUM(O108:O111)</f>
        <v>0</v>
      </c>
      <c r="P112" s="17"/>
      <c r="Q112" s="17"/>
      <c r="R112" s="17"/>
      <c r="S112" s="17"/>
    </row>
    <row r="113" spans="2:19" x14ac:dyDescent="0.2">
      <c r="M113" s="52"/>
      <c r="N113" s="88"/>
      <c r="O113" s="100"/>
      <c r="P113" s="17"/>
      <c r="Q113" s="17"/>
      <c r="R113" s="17"/>
      <c r="S113" s="17"/>
    </row>
    <row r="114" spans="2:19" x14ac:dyDescent="0.2">
      <c r="G114" s="297" t="s">
        <v>339</v>
      </c>
      <c r="H114" s="298"/>
      <c r="I114" s="298"/>
      <c r="J114" s="299"/>
      <c r="M114" s="52"/>
      <c r="N114" s="88"/>
      <c r="O114" s="100"/>
      <c r="P114" s="17"/>
      <c r="Q114" s="17"/>
      <c r="R114" s="17"/>
      <c r="S114" s="17"/>
    </row>
    <row r="115" spans="2:19" x14ac:dyDescent="0.2">
      <c r="G115" s="300"/>
      <c r="H115" s="301" t="s">
        <v>338</v>
      </c>
      <c r="I115" s="302"/>
      <c r="J115" s="303"/>
      <c r="M115" s="52"/>
      <c r="N115" s="88"/>
      <c r="O115" s="100"/>
      <c r="P115" s="17"/>
      <c r="Q115" s="17"/>
      <c r="R115" s="17"/>
      <c r="S115" s="17"/>
    </row>
    <row r="116" spans="2:19" x14ac:dyDescent="0.2">
      <c r="G116" s="300">
        <f>F94/8</f>
        <v>35.762500000000003</v>
      </c>
      <c r="H116" s="308">
        <v>1</v>
      </c>
      <c r="I116" s="302"/>
      <c r="J116" s="303"/>
      <c r="M116" s="52"/>
      <c r="N116" s="88"/>
      <c r="O116" s="100"/>
      <c r="P116" s="17"/>
      <c r="Q116" s="17"/>
      <c r="R116" s="17"/>
      <c r="S116" s="17"/>
    </row>
    <row r="117" spans="2:19" x14ac:dyDescent="0.2">
      <c r="G117" s="300">
        <f>G116/H116</f>
        <v>35.762500000000003</v>
      </c>
      <c r="H117" s="304">
        <v>18</v>
      </c>
      <c r="I117" s="304">
        <f>G117*H117</f>
        <v>643.72500000000002</v>
      </c>
      <c r="J117" s="303"/>
      <c r="M117" s="52"/>
      <c r="N117" s="88"/>
      <c r="O117" s="100"/>
      <c r="P117" s="17"/>
      <c r="Q117" s="17"/>
      <c r="R117" s="17"/>
      <c r="S117" s="17"/>
    </row>
    <row r="118" spans="2:19" x14ac:dyDescent="0.2">
      <c r="G118" s="300"/>
      <c r="H118" s="302"/>
      <c r="I118" s="302"/>
      <c r="J118" s="303"/>
      <c r="M118" s="52"/>
      <c r="N118" s="88"/>
      <c r="O118" s="100"/>
      <c r="P118" s="17"/>
      <c r="Q118" s="17"/>
      <c r="R118" s="17"/>
      <c r="S118" s="17"/>
    </row>
    <row r="119" spans="2:19" x14ac:dyDescent="0.2">
      <c r="G119" s="305"/>
      <c r="H119" s="306"/>
      <c r="I119" s="306"/>
      <c r="J119" s="307"/>
      <c r="M119" s="52"/>
      <c r="N119" s="88"/>
      <c r="O119" s="100"/>
      <c r="P119" s="17"/>
      <c r="Q119" s="17"/>
      <c r="R119" s="17"/>
      <c r="S119" s="17"/>
    </row>
    <row r="120" spans="2:19" x14ac:dyDescent="0.2">
      <c r="F120" s="160"/>
      <c r="G120" s="160"/>
      <c r="H120" s="161"/>
      <c r="I120" s="162"/>
      <c r="M120" s="52"/>
      <c r="N120" s="88"/>
      <c r="O120" s="101"/>
      <c r="P120" s="17"/>
      <c r="Q120" s="17"/>
      <c r="R120" s="17"/>
      <c r="S120" s="17"/>
    </row>
    <row r="121" spans="2:19" x14ac:dyDescent="0.2">
      <c r="F121" s="160"/>
      <c r="G121" s="160"/>
      <c r="H121" s="162"/>
      <c r="I121" s="162"/>
      <c r="M121" s="52"/>
      <c r="N121" s="88"/>
      <c r="O121" s="101"/>
      <c r="P121" s="17"/>
      <c r="Q121" s="17"/>
      <c r="R121" s="17"/>
      <c r="S121" s="17"/>
    </row>
    <row r="122" spans="2:19" x14ac:dyDescent="0.2">
      <c r="H122" s="58"/>
      <c r="M122" s="52"/>
      <c r="N122" s="88"/>
      <c r="O122" s="101"/>
      <c r="P122" s="17"/>
      <c r="Q122" s="17"/>
      <c r="R122" s="17"/>
      <c r="S122" s="17"/>
    </row>
    <row r="123" spans="2:19" ht="15" x14ac:dyDescent="0.25">
      <c r="B123" s="106" t="s">
        <v>29</v>
      </c>
      <c r="C123" s="107"/>
      <c r="D123" s="107"/>
      <c r="E123" s="107"/>
      <c r="F123" s="107"/>
      <c r="I123" s="106" t="s">
        <v>29</v>
      </c>
      <c r="J123" s="107"/>
      <c r="K123" s="107"/>
      <c r="L123" s="107"/>
      <c r="M123" s="107"/>
      <c r="O123" s="101"/>
    </row>
    <row r="124" spans="2:19" x14ac:dyDescent="0.2">
      <c r="B124" s="108" t="s">
        <v>42</v>
      </c>
      <c r="C124" s="109"/>
      <c r="D124" s="104"/>
      <c r="E124" s="104"/>
      <c r="F124" s="104"/>
      <c r="I124" s="108" t="s">
        <v>30</v>
      </c>
      <c r="J124" s="109"/>
      <c r="K124" s="104"/>
      <c r="L124" s="104"/>
      <c r="M124" s="104"/>
      <c r="O124" s="101"/>
    </row>
    <row r="125" spans="2:19" ht="15" x14ac:dyDescent="0.25">
      <c r="B125" s="108" t="s">
        <v>31</v>
      </c>
      <c r="C125" s="109" t="s">
        <v>32</v>
      </c>
      <c r="D125" s="104" t="s">
        <v>33</v>
      </c>
      <c r="E125" s="104" t="s">
        <v>34</v>
      </c>
      <c r="F125" s="107"/>
      <c r="I125" s="108" t="s">
        <v>31</v>
      </c>
      <c r="J125" s="109" t="s">
        <v>32</v>
      </c>
      <c r="K125" s="104" t="s">
        <v>33</v>
      </c>
      <c r="L125" s="104" t="s">
        <v>34</v>
      </c>
      <c r="M125" s="107"/>
      <c r="O125" s="101"/>
    </row>
    <row r="126" spans="2:19" x14ac:dyDescent="0.2">
      <c r="B126" s="110">
        <v>1</v>
      </c>
      <c r="C126" s="109">
        <v>55</v>
      </c>
      <c r="D126" s="104">
        <f>B126*C126</f>
        <v>55</v>
      </c>
      <c r="E126" s="104">
        <f>D126*F126</f>
        <v>110</v>
      </c>
      <c r="F126" s="111">
        <v>2</v>
      </c>
      <c r="I126" s="110">
        <v>4</v>
      </c>
      <c r="J126" s="109">
        <v>55</v>
      </c>
      <c r="K126" s="104">
        <f>I126*J126</f>
        <v>220</v>
      </c>
      <c r="L126" s="104">
        <f>K126*M126</f>
        <v>440</v>
      </c>
      <c r="M126" s="111">
        <v>2</v>
      </c>
      <c r="O126" s="101"/>
    </row>
    <row r="127" spans="2:19" x14ac:dyDescent="0.2">
      <c r="B127" s="108" t="s">
        <v>35</v>
      </c>
      <c r="C127" s="109"/>
      <c r="D127" s="104"/>
      <c r="E127" s="104" t="s">
        <v>36</v>
      </c>
      <c r="F127" s="104"/>
      <c r="I127" s="108" t="s">
        <v>35</v>
      </c>
      <c r="J127" s="109"/>
      <c r="K127" s="104"/>
      <c r="L127" s="104" t="s">
        <v>36</v>
      </c>
      <c r="M127" s="104"/>
      <c r="O127" s="101"/>
    </row>
    <row r="128" spans="2:19" ht="15" x14ac:dyDescent="0.25">
      <c r="B128" s="108">
        <v>0.7</v>
      </c>
      <c r="C128" s="112"/>
      <c r="D128" s="107"/>
      <c r="E128" s="104">
        <f>B128*C128</f>
        <v>0</v>
      </c>
      <c r="F128" s="104"/>
      <c r="I128" s="108">
        <v>0.7</v>
      </c>
      <c r="J128" s="112">
        <v>310</v>
      </c>
      <c r="K128" s="107"/>
      <c r="L128" s="104">
        <f>I128*J128</f>
        <v>217</v>
      </c>
      <c r="M128" s="104"/>
      <c r="O128" s="101"/>
    </row>
    <row r="129" spans="2:15" x14ac:dyDescent="0.2">
      <c r="B129" s="108" t="s">
        <v>37</v>
      </c>
      <c r="C129" s="109"/>
      <c r="D129" s="104"/>
      <c r="E129" s="104">
        <f>SUM(E126:E128)</f>
        <v>110</v>
      </c>
      <c r="F129" s="104"/>
      <c r="I129" s="108" t="s">
        <v>37</v>
      </c>
      <c r="J129" s="109"/>
      <c r="K129" s="104"/>
      <c r="L129" s="104">
        <f>SUM(L126:L128)</f>
        <v>657</v>
      </c>
      <c r="M129" s="104"/>
      <c r="O129" s="101"/>
    </row>
    <row r="130" spans="2:15" x14ac:dyDescent="0.2">
      <c r="B130" s="110">
        <v>2</v>
      </c>
      <c r="C130" s="109"/>
      <c r="D130" s="104"/>
      <c r="E130" s="104">
        <f>B130*E129</f>
        <v>220</v>
      </c>
      <c r="F130" s="104"/>
      <c r="I130" s="110">
        <v>1</v>
      </c>
      <c r="J130" s="109"/>
      <c r="K130" s="104"/>
      <c r="L130" s="104">
        <f>I130*L129</f>
        <v>657</v>
      </c>
      <c r="M130" s="104"/>
      <c r="O130" s="101"/>
    </row>
    <row r="131" spans="2:15" x14ac:dyDescent="0.2">
      <c r="B131" s="108" t="s">
        <v>38</v>
      </c>
      <c r="C131" s="109" t="s">
        <v>39</v>
      </c>
      <c r="D131" s="104"/>
      <c r="E131" s="104" t="s">
        <v>40</v>
      </c>
      <c r="F131" s="104"/>
      <c r="I131" s="108" t="s">
        <v>38</v>
      </c>
      <c r="J131" s="109" t="s">
        <v>39</v>
      </c>
      <c r="K131" s="104"/>
      <c r="L131" s="104" t="s">
        <v>40</v>
      </c>
      <c r="M131" s="104"/>
    </row>
    <row r="132" spans="2:15" x14ac:dyDescent="0.2">
      <c r="B132" s="110"/>
      <c r="C132" s="112"/>
      <c r="D132" s="104">
        <f>B132*C132</f>
        <v>0</v>
      </c>
      <c r="E132" s="104">
        <f>D132*F126</f>
        <v>0</v>
      </c>
      <c r="F132" s="104"/>
      <c r="I132" s="110">
        <v>125</v>
      </c>
      <c r="J132" s="112">
        <v>4</v>
      </c>
      <c r="K132" s="104">
        <f>I132*J132</f>
        <v>500</v>
      </c>
      <c r="L132" s="104">
        <f>K132*M126</f>
        <v>1000</v>
      </c>
      <c r="M132" s="104"/>
    </row>
    <row r="133" spans="2:15" x14ac:dyDescent="0.2">
      <c r="B133" s="108"/>
      <c r="C133" s="109"/>
      <c r="D133" s="104"/>
      <c r="E133" s="105">
        <f>SUM(E130:E132)</f>
        <v>220</v>
      </c>
      <c r="F133" s="104"/>
      <c r="I133" s="108"/>
      <c r="J133" s="109"/>
      <c r="K133" s="104"/>
      <c r="L133" s="105">
        <f>SUM(L130:L132)</f>
        <v>1657</v>
      </c>
      <c r="M133" s="104"/>
    </row>
  </sheetData>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BC0641-E7D1-4EA2-ABF5-D230D7F50A99}">
  <sheetPr>
    <pageSetUpPr fitToPage="1"/>
  </sheetPr>
  <dimension ref="A1:U56"/>
  <sheetViews>
    <sheetView topLeftCell="A9" zoomScale="85" zoomScaleNormal="85" workbookViewId="0">
      <selection activeCell="U16" sqref="U16:U22"/>
    </sheetView>
  </sheetViews>
  <sheetFormatPr defaultRowHeight="12.75" x14ac:dyDescent="0.2"/>
  <cols>
    <col min="1" max="1" width="4.85546875" style="12" customWidth="1"/>
    <col min="2" max="2" width="42.42578125" style="12" customWidth="1"/>
    <col min="3" max="3" width="22" style="12" customWidth="1"/>
    <col min="4" max="4" width="12.140625" style="12" customWidth="1"/>
    <col min="5" max="5" width="8" style="12" customWidth="1"/>
    <col min="6" max="7" width="11.5703125" style="12" customWidth="1"/>
    <col min="8" max="8" width="15" style="12" customWidth="1"/>
    <col min="9" max="9" width="10.42578125" style="12" customWidth="1"/>
    <col min="10" max="12" width="11.5703125" style="12" customWidth="1"/>
    <col min="13" max="13" width="14.7109375" style="12" customWidth="1"/>
    <col min="14" max="14" width="22.5703125" style="84" customWidth="1"/>
    <col min="15" max="15" width="13.140625" style="12" customWidth="1"/>
    <col min="16" max="16" width="9.140625" style="12"/>
    <col min="17" max="18" width="11.5703125" style="12" bestFit="1" customWidth="1"/>
    <col min="19" max="19" width="12.140625" style="12" customWidth="1"/>
    <col min="20" max="16384" width="9.140625" style="12"/>
  </cols>
  <sheetData>
    <row r="1" spans="1:21" ht="15.75" x14ac:dyDescent="0.2">
      <c r="A1" s="11"/>
      <c r="B1" s="2" t="e">
        <f>Summary!#REF!</f>
        <v>#REF!</v>
      </c>
      <c r="C1" s="11"/>
      <c r="D1" s="11"/>
      <c r="E1" s="11"/>
      <c r="F1" s="11"/>
      <c r="G1" s="11"/>
      <c r="H1" s="11"/>
      <c r="I1" s="11"/>
      <c r="J1" s="11"/>
      <c r="K1" s="11"/>
      <c r="L1" s="11"/>
      <c r="M1" s="11"/>
    </row>
    <row r="2" spans="1:21" ht="15.75" x14ac:dyDescent="0.2">
      <c r="A2" s="11"/>
      <c r="B2" s="10" t="e">
        <f>Summary!#REF!</f>
        <v>#REF!</v>
      </c>
      <c r="C2" s="11"/>
      <c r="D2" s="11"/>
      <c r="E2" s="11"/>
      <c r="F2" s="11"/>
      <c r="G2" s="11"/>
      <c r="H2" s="11"/>
      <c r="I2" s="11"/>
      <c r="J2" s="11"/>
      <c r="K2" s="11"/>
      <c r="L2" s="11"/>
      <c r="M2" s="11"/>
    </row>
    <row r="3" spans="1:21" ht="15.75" x14ac:dyDescent="0.2">
      <c r="A3" s="11"/>
      <c r="B3" s="10" t="e">
        <f>Summary!#REF!</f>
        <v>#REF!</v>
      </c>
      <c r="C3" s="11"/>
      <c r="D3" s="11"/>
      <c r="E3" s="11"/>
      <c r="F3" s="11"/>
      <c r="G3" s="11"/>
      <c r="H3" s="11"/>
      <c r="I3" s="11"/>
      <c r="J3" s="11"/>
      <c r="K3" s="11"/>
      <c r="L3" s="11"/>
      <c r="M3" s="11"/>
    </row>
    <row r="4" spans="1:21" ht="15.75" x14ac:dyDescent="0.2">
      <c r="A4" s="11"/>
      <c r="B4" s="5"/>
      <c r="C4" s="11"/>
      <c r="D4" s="11"/>
      <c r="E4" s="11"/>
      <c r="F4" s="11"/>
      <c r="G4" s="11"/>
      <c r="H4" s="11"/>
      <c r="I4" s="11"/>
      <c r="J4" s="11"/>
      <c r="K4" s="11"/>
      <c r="L4" s="11"/>
      <c r="M4" s="11"/>
    </row>
    <row r="5" spans="1:21" ht="15.75" x14ac:dyDescent="0.2">
      <c r="A5" s="11"/>
      <c r="B5" s="5"/>
      <c r="C5" s="11"/>
      <c r="D5" s="11"/>
      <c r="E5" s="11"/>
      <c r="F5" s="11"/>
      <c r="G5" s="11"/>
      <c r="H5" s="11"/>
      <c r="I5" s="11"/>
      <c r="J5" s="11"/>
      <c r="K5" s="11"/>
      <c r="L5" s="11"/>
      <c r="M5" s="11"/>
    </row>
    <row r="6" spans="1:21" ht="15.75" hidden="1" x14ac:dyDescent="0.2">
      <c r="A6" s="11"/>
      <c r="B6" s="5" t="e">
        <f>Summary!#REF!</f>
        <v>#REF!</v>
      </c>
      <c r="C6" s="11"/>
      <c r="D6" s="11"/>
      <c r="E6" s="11"/>
      <c r="F6" s="11"/>
      <c r="G6" s="11"/>
      <c r="H6" s="11"/>
      <c r="I6" s="11"/>
      <c r="J6" s="11"/>
      <c r="K6" s="11"/>
      <c r="L6" s="11"/>
      <c r="M6" s="11"/>
    </row>
    <row r="7" spans="1:21" ht="15.75" x14ac:dyDescent="0.2">
      <c r="A7" s="11"/>
      <c r="B7" s="5"/>
      <c r="C7" s="11"/>
      <c r="D7" s="11"/>
      <c r="E7" s="11"/>
      <c r="F7" s="11"/>
      <c r="G7" s="11"/>
      <c r="H7" s="11"/>
      <c r="I7" s="11"/>
      <c r="J7" s="11"/>
      <c r="K7" s="11"/>
      <c r="L7" s="11"/>
      <c r="M7" s="11"/>
    </row>
    <row r="8" spans="1:21" ht="15.75" x14ac:dyDescent="0.2">
      <c r="A8" s="11"/>
      <c r="B8" s="128"/>
      <c r="C8" s="11"/>
      <c r="D8" s="11"/>
      <c r="E8" s="11"/>
      <c r="F8" s="11"/>
      <c r="G8" s="11"/>
      <c r="H8" s="11"/>
      <c r="I8" s="11"/>
      <c r="J8" s="11"/>
      <c r="K8" s="11"/>
      <c r="L8" s="11"/>
      <c r="M8" s="11"/>
    </row>
    <row r="9" spans="1:21" ht="53.25" customHeight="1" x14ac:dyDescent="0.2">
      <c r="A9" s="13"/>
      <c r="B9" s="167" t="s">
        <v>476</v>
      </c>
      <c r="C9" s="14"/>
      <c r="D9" s="13"/>
      <c r="E9" s="13"/>
      <c r="F9" s="13"/>
      <c r="G9" s="13"/>
      <c r="H9" s="13"/>
      <c r="I9" s="13"/>
      <c r="J9" s="13"/>
      <c r="K9" s="13"/>
      <c r="L9" s="13"/>
      <c r="M9" s="15"/>
      <c r="N9" s="85"/>
      <c r="O9" s="52"/>
    </row>
    <row r="10" spans="1:21" ht="23.25" customHeight="1" x14ac:dyDescent="0.2">
      <c r="A10" s="13"/>
      <c r="B10" s="54"/>
      <c r="C10" s="14"/>
      <c r="D10" s="13"/>
      <c r="E10" s="13"/>
      <c r="F10" s="13"/>
      <c r="G10" s="13"/>
      <c r="H10" s="13"/>
      <c r="I10" s="13"/>
      <c r="J10" s="13"/>
      <c r="K10" s="13"/>
      <c r="L10" s="13"/>
      <c r="M10" s="15"/>
      <c r="N10" s="85"/>
      <c r="O10" s="52"/>
    </row>
    <row r="11" spans="1:21" x14ac:dyDescent="0.2">
      <c r="A11" s="18"/>
      <c r="B11" s="19"/>
      <c r="C11" s="13"/>
      <c r="D11" s="13"/>
      <c r="F11" s="16"/>
      <c r="G11" s="16"/>
      <c r="H11" s="406">
        <v>52</v>
      </c>
      <c r="I11" s="56"/>
      <c r="M11" s="15"/>
      <c r="N11" s="85"/>
      <c r="O11" s="52"/>
    </row>
    <row r="12" spans="1:21" ht="99" customHeight="1" x14ac:dyDescent="0.2">
      <c r="A12" s="20" t="s">
        <v>0</v>
      </c>
      <c r="B12" s="21" t="s">
        <v>1</v>
      </c>
      <c r="C12" s="89" t="s">
        <v>2</v>
      </c>
      <c r="D12" s="89" t="s">
        <v>3</v>
      </c>
      <c r="E12" s="73" t="s">
        <v>18</v>
      </c>
      <c r="F12" s="74" t="s">
        <v>25</v>
      </c>
      <c r="G12" s="74" t="s">
        <v>27</v>
      </c>
      <c r="H12" s="74" t="s">
        <v>20</v>
      </c>
      <c r="I12" s="74" t="s">
        <v>26</v>
      </c>
      <c r="J12" s="74" t="s">
        <v>19</v>
      </c>
      <c r="K12" s="73" t="s">
        <v>21</v>
      </c>
      <c r="L12" s="73" t="s">
        <v>22</v>
      </c>
      <c r="M12" s="90" t="s">
        <v>4</v>
      </c>
      <c r="N12" s="90" t="s">
        <v>4</v>
      </c>
      <c r="O12" s="94" t="s">
        <v>23</v>
      </c>
      <c r="P12" s="62"/>
      <c r="Q12" s="22"/>
    </row>
    <row r="13" spans="1:21" s="70" customFormat="1" ht="14.25" x14ac:dyDescent="0.2">
      <c r="A13" s="60"/>
      <c r="B13" s="114"/>
      <c r="C13" s="61"/>
      <c r="D13" s="72"/>
      <c r="E13" s="115"/>
      <c r="F13" s="116"/>
      <c r="G13" s="116"/>
      <c r="H13" s="116"/>
      <c r="I13" s="117"/>
      <c r="J13" s="115"/>
      <c r="K13" s="115"/>
      <c r="L13" s="115"/>
      <c r="M13" s="137"/>
      <c r="N13" s="138"/>
      <c r="O13" s="139"/>
      <c r="Q13" s="70">
        <v>1.06</v>
      </c>
      <c r="R13" s="70">
        <v>1.08</v>
      </c>
    </row>
    <row r="14" spans="1:21" s="70" customFormat="1" ht="17.25" customHeight="1" x14ac:dyDescent="0.2">
      <c r="A14" s="60"/>
      <c r="B14" s="150"/>
      <c r="C14" s="61"/>
      <c r="D14" s="72"/>
      <c r="E14" s="140"/>
      <c r="F14" s="141"/>
      <c r="G14" s="141"/>
      <c r="H14" s="141"/>
      <c r="I14" s="142"/>
      <c r="J14" s="140"/>
      <c r="K14" s="140"/>
      <c r="L14" s="140"/>
      <c r="M14" s="143"/>
      <c r="N14" s="144"/>
      <c r="O14" s="145"/>
    </row>
    <row r="15" spans="1:21" s="70" customFormat="1" ht="14.25" x14ac:dyDescent="0.2">
      <c r="A15" s="60"/>
      <c r="B15" s="146" t="s">
        <v>153</v>
      </c>
      <c r="C15" s="170" t="s">
        <v>471</v>
      </c>
      <c r="D15" s="72"/>
      <c r="E15" s="414"/>
      <c r="F15" s="414"/>
      <c r="G15" s="414"/>
      <c r="H15" s="415"/>
      <c r="I15" s="416"/>
      <c r="J15" s="415"/>
      <c r="K15" s="417"/>
      <c r="L15" s="415"/>
      <c r="M15" s="418"/>
      <c r="N15" s="419"/>
      <c r="O15" s="118"/>
      <c r="Q15" s="175">
        <f>M15*$Q$13</f>
        <v>0</v>
      </c>
      <c r="R15" s="175">
        <f>Q15*$R$13</f>
        <v>0</v>
      </c>
      <c r="S15" s="59">
        <v>13250</v>
      </c>
    </row>
    <row r="16" spans="1:21" s="70" customFormat="1" ht="14.25" x14ac:dyDescent="0.2">
      <c r="A16" s="60"/>
      <c r="B16" s="151" t="s">
        <v>152</v>
      </c>
      <c r="C16" s="152">
        <v>1</v>
      </c>
      <c r="D16" s="153" t="s">
        <v>59</v>
      </c>
      <c r="E16" s="122"/>
      <c r="F16" s="122">
        <f>C16*E16</f>
        <v>0</v>
      </c>
      <c r="G16" s="122">
        <f>$H$11*E16</f>
        <v>0</v>
      </c>
      <c r="H16" s="123">
        <f>F16*$H$11</f>
        <v>0</v>
      </c>
      <c r="I16" s="135">
        <v>2904</v>
      </c>
      <c r="J16" s="123">
        <f>C16*I16</f>
        <v>2904</v>
      </c>
      <c r="K16" s="124">
        <f>SUM(H16,J16)</f>
        <v>2904</v>
      </c>
      <c r="L16" s="123">
        <f>K16/C16</f>
        <v>2904</v>
      </c>
      <c r="M16" s="125">
        <f>C16*L16</f>
        <v>2904</v>
      </c>
      <c r="N16" s="381">
        <v>3500</v>
      </c>
      <c r="O16" s="118"/>
      <c r="P16" s="103"/>
      <c r="Q16" s="175">
        <f>M16*$Q$13</f>
        <v>3078.2400000000002</v>
      </c>
      <c r="R16" s="175">
        <f>Q16*$R$13</f>
        <v>3324.4992000000007</v>
      </c>
      <c r="S16" s="59">
        <v>3500</v>
      </c>
      <c r="U16" s="59">
        <v>2950</v>
      </c>
    </row>
    <row r="17" spans="1:21" s="70" customFormat="1" ht="14.25" x14ac:dyDescent="0.2">
      <c r="A17" s="60"/>
      <c r="B17" s="146" t="s">
        <v>61</v>
      </c>
      <c r="C17" s="152">
        <v>8</v>
      </c>
      <c r="D17" s="153" t="s">
        <v>60</v>
      </c>
      <c r="E17" s="122"/>
      <c r="F17" s="122">
        <f>C17*E17</f>
        <v>0</v>
      </c>
      <c r="G17" s="122">
        <f>$H$11*E17</f>
        <v>0</v>
      </c>
      <c r="H17" s="123">
        <f>F17*$H$11</f>
        <v>0</v>
      </c>
      <c r="I17" s="135">
        <v>675</v>
      </c>
      <c r="J17" s="123">
        <f>C17*I17</f>
        <v>5400</v>
      </c>
      <c r="K17" s="124">
        <f>SUM(H17,J17)</f>
        <v>5400</v>
      </c>
      <c r="L17" s="123">
        <f>K17/C17</f>
        <v>675</v>
      </c>
      <c r="M17" s="125">
        <f>C17*L17</f>
        <v>5400</v>
      </c>
      <c r="N17" s="381">
        <v>6250</v>
      </c>
      <c r="O17" s="118"/>
      <c r="P17" s="103"/>
      <c r="Q17" s="175">
        <f>M17*$Q$13</f>
        <v>5724</v>
      </c>
      <c r="R17" s="175">
        <f>Q17*$R$13</f>
        <v>6181.92</v>
      </c>
      <c r="S17" s="59">
        <v>6250</v>
      </c>
      <c r="U17" s="59">
        <v>5400</v>
      </c>
    </row>
    <row r="18" spans="1:21" s="70" customFormat="1" ht="14.25" x14ac:dyDescent="0.2">
      <c r="A18" s="60"/>
      <c r="B18" s="1"/>
      <c r="C18" s="113"/>
      <c r="D18" s="72"/>
      <c r="E18" s="122"/>
      <c r="F18" s="122"/>
      <c r="G18" s="122"/>
      <c r="H18" s="123"/>
      <c r="I18" s="135"/>
      <c r="J18" s="123"/>
      <c r="K18" s="124"/>
      <c r="L18" s="123"/>
      <c r="M18" s="125"/>
      <c r="N18" s="381"/>
      <c r="O18" s="118"/>
      <c r="P18" s="103"/>
      <c r="Q18" s="175"/>
      <c r="R18" s="175"/>
      <c r="S18" s="59"/>
      <c r="U18" s="59"/>
    </row>
    <row r="19" spans="1:21" s="70" customFormat="1" ht="14.25" x14ac:dyDescent="0.2">
      <c r="A19" s="60"/>
      <c r="B19" s="1" t="s">
        <v>149</v>
      </c>
      <c r="C19" s="152">
        <v>1</v>
      </c>
      <c r="D19" s="153" t="s">
        <v>59</v>
      </c>
      <c r="E19" s="122"/>
      <c r="F19" s="122">
        <f>C19*E19</f>
        <v>0</v>
      </c>
      <c r="G19" s="122">
        <f>$H$11*E19</f>
        <v>0</v>
      </c>
      <c r="H19" s="123">
        <f>F19*$H$11</f>
        <v>0</v>
      </c>
      <c r="I19" s="135">
        <v>920</v>
      </c>
      <c r="J19" s="123">
        <f>C19*I19</f>
        <v>920</v>
      </c>
      <c r="K19" s="124">
        <f>SUM(H19,J19)</f>
        <v>920</v>
      </c>
      <c r="L19" s="123">
        <f>K19/C19</f>
        <v>920</v>
      </c>
      <c r="M19" s="125">
        <f>C19*L19</f>
        <v>920</v>
      </c>
      <c r="N19" s="381">
        <v>1200</v>
      </c>
      <c r="O19" s="118"/>
      <c r="P19" s="103"/>
      <c r="Q19" s="175">
        <f>M19*$Q$13</f>
        <v>975.2</v>
      </c>
      <c r="R19" s="175">
        <f>Q19*$R$13</f>
        <v>1053.2160000000001</v>
      </c>
      <c r="S19" s="59">
        <v>1200</v>
      </c>
      <c r="U19" s="59">
        <v>750</v>
      </c>
    </row>
    <row r="20" spans="1:21" s="70" customFormat="1" ht="14.25" x14ac:dyDescent="0.2">
      <c r="A20" s="60"/>
      <c r="B20" s="1" t="s">
        <v>150</v>
      </c>
      <c r="C20" s="152">
        <v>1</v>
      </c>
      <c r="D20" s="153" t="s">
        <v>59</v>
      </c>
      <c r="E20" s="122"/>
      <c r="F20" s="122">
        <f>C20*E20</f>
        <v>0</v>
      </c>
      <c r="G20" s="122">
        <f>$H$11*E20</f>
        <v>0</v>
      </c>
      <c r="H20" s="123">
        <f>F20*$H$11</f>
        <v>0</v>
      </c>
      <c r="I20" s="135">
        <v>690</v>
      </c>
      <c r="J20" s="123">
        <f>C20*I20</f>
        <v>690</v>
      </c>
      <c r="K20" s="124">
        <f>SUM(H20,J20)</f>
        <v>690</v>
      </c>
      <c r="L20" s="123">
        <f>K20/C20</f>
        <v>690</v>
      </c>
      <c r="M20" s="125">
        <f>C20*L20</f>
        <v>690</v>
      </c>
      <c r="N20" s="381">
        <v>800</v>
      </c>
      <c r="O20" s="118"/>
      <c r="P20" s="103"/>
      <c r="Q20" s="175">
        <f>M20*$Q$13</f>
        <v>731.40000000000009</v>
      </c>
      <c r="R20" s="175">
        <f>Q20*$R$13</f>
        <v>789.91200000000015</v>
      </c>
      <c r="S20" s="59">
        <v>800</v>
      </c>
      <c r="U20" s="59">
        <v>690</v>
      </c>
    </row>
    <row r="21" spans="1:21" s="70" customFormat="1" ht="14.25" x14ac:dyDescent="0.2">
      <c r="A21" s="60"/>
      <c r="B21" s="1"/>
      <c r="C21" s="152"/>
      <c r="D21" s="153"/>
      <c r="E21" s="122"/>
      <c r="F21" s="122"/>
      <c r="G21" s="122"/>
      <c r="H21" s="123"/>
      <c r="I21" s="135"/>
      <c r="J21" s="123"/>
      <c r="K21" s="124"/>
      <c r="L21" s="123"/>
      <c r="M21" s="125"/>
      <c r="N21" s="131"/>
      <c r="O21" s="118"/>
      <c r="P21" s="103"/>
      <c r="Q21" s="103"/>
      <c r="R21" s="175"/>
      <c r="U21" s="59"/>
    </row>
    <row r="22" spans="1:21" ht="14.25" x14ac:dyDescent="0.2">
      <c r="A22" s="60"/>
      <c r="B22" s="120"/>
      <c r="C22" s="126"/>
      <c r="D22" s="130"/>
      <c r="E22" s="121"/>
      <c r="F22" s="122"/>
      <c r="G22" s="122"/>
      <c r="H22" s="123"/>
      <c r="I22" s="123"/>
      <c r="J22" s="123"/>
      <c r="K22" s="124"/>
      <c r="L22" s="123"/>
      <c r="M22" s="125"/>
      <c r="N22" s="119"/>
      <c r="O22" s="118"/>
      <c r="P22" s="17"/>
      <c r="Q22" s="17"/>
      <c r="R22" s="26">
        <f>SUM(R15:R20)</f>
        <v>11349.547200000001</v>
      </c>
      <c r="S22" s="26">
        <f>SUM(S15:S20)</f>
        <v>25000</v>
      </c>
      <c r="U22" s="58">
        <f>SUM(U16:U20)</f>
        <v>9790</v>
      </c>
    </row>
    <row r="23" spans="1:21" ht="24" customHeight="1" x14ac:dyDescent="0.2">
      <c r="A23" s="29"/>
      <c r="B23" s="30"/>
      <c r="C23" s="31"/>
      <c r="D23" s="32"/>
      <c r="E23" s="32"/>
      <c r="F23" s="32">
        <f>SUM(F13:F22)</f>
        <v>0</v>
      </c>
      <c r="G23" s="32"/>
      <c r="H23" s="83">
        <f>SUM(H13:H22)</f>
        <v>0</v>
      </c>
      <c r="I23" s="32"/>
      <c r="J23" s="75">
        <f>SUM(J13:J22)</f>
        <v>9914</v>
      </c>
      <c r="K23" s="32"/>
      <c r="L23" s="32"/>
      <c r="M23" s="66"/>
      <c r="N23" s="86"/>
      <c r="O23" s="96"/>
      <c r="P23" s="17"/>
      <c r="Q23" s="17"/>
    </row>
    <row r="24" spans="1:21" ht="15" customHeight="1" x14ac:dyDescent="0.2">
      <c r="A24" s="13"/>
      <c r="B24" s="27" t="s">
        <v>16</v>
      </c>
      <c r="C24" s="23"/>
      <c r="D24" s="24"/>
      <c r="E24" s="24"/>
      <c r="F24" s="24"/>
      <c r="G24" s="24"/>
      <c r="H24" s="24"/>
      <c r="I24" s="24"/>
      <c r="J24" s="24"/>
      <c r="K24" s="24"/>
      <c r="L24" s="24"/>
      <c r="M24" s="25">
        <f>SUM(M13:M22)</f>
        <v>9914</v>
      </c>
      <c r="N24" s="380">
        <f>SUM(N13:N22)</f>
        <v>11750</v>
      </c>
      <c r="O24" s="95"/>
      <c r="P24" s="17"/>
      <c r="Q24" s="17"/>
    </row>
    <row r="25" spans="1:21" x14ac:dyDescent="0.2">
      <c r="A25" s="11"/>
      <c r="B25" s="34" t="s">
        <v>12</v>
      </c>
      <c r="C25" s="23"/>
      <c r="D25" s="35"/>
      <c r="E25" s="35"/>
      <c r="F25" s="35"/>
      <c r="G25" s="35"/>
      <c r="H25" s="35"/>
      <c r="I25" s="35"/>
      <c r="J25" s="35"/>
      <c r="K25" s="35"/>
      <c r="L25" s="35"/>
      <c r="M25" s="25"/>
      <c r="N25" s="92"/>
      <c r="O25" s="95"/>
      <c r="P25" s="17"/>
      <c r="Q25" s="17"/>
    </row>
    <row r="26" spans="1:21" ht="12.75" customHeight="1" x14ac:dyDescent="0.2">
      <c r="A26" s="11"/>
      <c r="B26" s="36"/>
      <c r="C26" s="23"/>
      <c r="D26" s="35"/>
      <c r="E26" s="35"/>
      <c r="F26" s="35"/>
      <c r="G26" s="35"/>
      <c r="H26" s="35"/>
      <c r="I26" s="35"/>
      <c r="J26" s="35"/>
      <c r="K26" s="35"/>
      <c r="L26" s="35"/>
      <c r="M26" s="25"/>
      <c r="N26" s="92"/>
      <c r="O26" s="95"/>
      <c r="P26" s="17"/>
      <c r="Q26" s="17"/>
    </row>
    <row r="27" spans="1:21" ht="12.75" customHeight="1" x14ac:dyDescent="0.2">
      <c r="A27" s="13"/>
      <c r="B27" s="11" t="s">
        <v>8</v>
      </c>
      <c r="C27" s="23"/>
      <c r="D27" s="35" t="s">
        <v>5</v>
      </c>
      <c r="E27" s="35"/>
      <c r="F27" s="35"/>
      <c r="G27" s="35"/>
      <c r="H27" s="35"/>
      <c r="I27" s="35"/>
      <c r="J27" s="35"/>
      <c r="K27" s="35"/>
      <c r="L27" s="76">
        <v>0.06</v>
      </c>
      <c r="M27" s="81">
        <f>M24*L27</f>
        <v>594.84</v>
      </c>
      <c r="N27" s="156"/>
      <c r="O27" s="95"/>
    </row>
    <row r="28" spans="1:21" ht="12.75" customHeight="1" x14ac:dyDescent="0.2">
      <c r="A28" s="37"/>
      <c r="B28" s="11"/>
      <c r="C28" s="23"/>
      <c r="D28" s="35"/>
      <c r="E28" s="35"/>
      <c r="F28" s="35"/>
      <c r="G28" s="35"/>
      <c r="H28" s="35"/>
      <c r="I28" s="35"/>
      <c r="J28" s="35"/>
      <c r="K28" s="35"/>
      <c r="L28" s="35"/>
      <c r="M28" s="25"/>
      <c r="N28" s="92"/>
      <c r="O28" s="95"/>
    </row>
    <row r="29" spans="1:21" s="41" customFormat="1" x14ac:dyDescent="0.2">
      <c r="A29" s="13"/>
      <c r="B29" s="38" t="s">
        <v>9</v>
      </c>
      <c r="C29" s="39"/>
      <c r="D29" s="40" t="s">
        <v>5</v>
      </c>
      <c r="E29" s="40"/>
      <c r="F29" s="40"/>
      <c r="G29" s="40"/>
      <c r="H29" s="40"/>
      <c r="I29" s="40"/>
      <c r="J29" s="40"/>
      <c r="K29" s="40"/>
      <c r="L29" s="76">
        <v>0</v>
      </c>
      <c r="M29" s="33">
        <f>M24*L29</f>
        <v>0</v>
      </c>
      <c r="N29" s="92"/>
      <c r="O29" s="95"/>
    </row>
    <row r="30" spans="1:21" s="41" customFormat="1" x14ac:dyDescent="0.2">
      <c r="A30" s="13"/>
      <c r="B30" s="38"/>
      <c r="C30" s="39"/>
      <c r="D30" s="40"/>
      <c r="E30" s="40"/>
      <c r="F30" s="40"/>
      <c r="G30" s="40"/>
      <c r="H30" s="40"/>
      <c r="I30" s="40"/>
      <c r="J30" s="40"/>
      <c r="K30" s="40"/>
      <c r="L30" s="40"/>
      <c r="M30" s="33"/>
      <c r="N30" s="92"/>
      <c r="O30" s="95"/>
    </row>
    <row r="31" spans="1:21" s="41" customFormat="1" x14ac:dyDescent="0.2">
      <c r="A31" s="13"/>
      <c r="B31" s="38" t="s">
        <v>10</v>
      </c>
      <c r="C31" s="39"/>
      <c r="D31" s="40" t="s">
        <v>5</v>
      </c>
      <c r="E31" s="40"/>
      <c r="F31" s="40"/>
      <c r="G31" s="40"/>
      <c r="H31" s="40"/>
      <c r="I31" s="40"/>
      <c r="J31" s="40"/>
      <c r="K31" s="40"/>
      <c r="L31" s="76">
        <v>0</v>
      </c>
      <c r="M31" s="33">
        <f>M24*L31</f>
        <v>0</v>
      </c>
      <c r="N31" s="92"/>
      <c r="O31" s="95"/>
    </row>
    <row r="32" spans="1:21" s="41" customFormat="1" x14ac:dyDescent="0.2">
      <c r="A32" s="13"/>
      <c r="B32" s="77"/>
      <c r="C32" s="78"/>
      <c r="D32" s="79"/>
      <c r="E32" s="79"/>
      <c r="F32" s="79"/>
      <c r="G32" s="79"/>
      <c r="H32" s="79"/>
      <c r="I32" s="79"/>
      <c r="J32" s="79"/>
      <c r="K32" s="79"/>
      <c r="L32" s="79"/>
      <c r="M32" s="82"/>
      <c r="N32" s="92"/>
      <c r="O32" s="95"/>
    </row>
    <row r="33" spans="1:15" s="41" customFormat="1" x14ac:dyDescent="0.2">
      <c r="A33" s="28"/>
      <c r="B33" s="129" t="s">
        <v>41</v>
      </c>
      <c r="C33" s="78"/>
      <c r="D33" s="79" t="s">
        <v>5</v>
      </c>
      <c r="E33" s="79"/>
      <c r="F33" s="79"/>
      <c r="G33" s="79"/>
      <c r="H33" s="79"/>
      <c r="I33" s="79"/>
      <c r="J33" s="79"/>
      <c r="K33" s="79"/>
      <c r="L33" s="80"/>
      <c r="M33" s="82"/>
      <c r="N33" s="92"/>
      <c r="O33" s="95"/>
    </row>
    <row r="34" spans="1:15" s="41" customFormat="1" x14ac:dyDescent="0.2">
      <c r="A34" s="28"/>
      <c r="B34" s="77"/>
      <c r="C34" s="78"/>
      <c r="D34" s="79"/>
      <c r="E34" s="79"/>
      <c r="F34" s="79"/>
      <c r="G34" s="79"/>
      <c r="H34" s="79"/>
      <c r="I34" s="79"/>
      <c r="J34" s="79"/>
      <c r="K34" s="79"/>
      <c r="L34" s="79"/>
      <c r="M34" s="82"/>
      <c r="N34" s="92"/>
      <c r="O34" s="95"/>
    </row>
    <row r="35" spans="1:15" s="41" customFormat="1" x14ac:dyDescent="0.2">
      <c r="A35" s="28"/>
      <c r="B35" s="147" t="s">
        <v>151</v>
      </c>
      <c r="C35" s="78"/>
      <c r="D35" s="79" t="s">
        <v>5</v>
      </c>
      <c r="E35" s="79"/>
      <c r="F35" s="79"/>
      <c r="G35" s="79"/>
      <c r="H35" s="79"/>
      <c r="I35" s="79"/>
      <c r="J35" s="79"/>
      <c r="K35" s="79"/>
      <c r="L35" s="80">
        <v>0.05</v>
      </c>
      <c r="M35" s="148"/>
      <c r="N35" s="92"/>
      <c r="O35" s="95"/>
    </row>
    <row r="36" spans="1:15" s="41" customFormat="1" x14ac:dyDescent="0.2">
      <c r="A36" s="13"/>
      <c r="B36" s="77"/>
      <c r="C36" s="78"/>
      <c r="D36" s="79"/>
      <c r="E36" s="79"/>
      <c r="F36" s="79"/>
      <c r="G36" s="79"/>
      <c r="H36" s="79"/>
      <c r="I36" s="79"/>
      <c r="J36" s="79"/>
      <c r="K36" s="79"/>
      <c r="L36" s="79"/>
      <c r="M36" s="33"/>
      <c r="N36" s="92"/>
      <c r="O36" s="97"/>
    </row>
    <row r="37" spans="1:15" x14ac:dyDescent="0.2">
      <c r="A37" s="42"/>
      <c r="B37" s="43" t="s">
        <v>17</v>
      </c>
      <c r="C37" s="44"/>
      <c r="D37" s="45"/>
      <c r="E37" s="45"/>
      <c r="F37" s="45"/>
      <c r="G37" s="45"/>
      <c r="H37" s="45"/>
      <c r="I37" s="45"/>
      <c r="J37" s="45"/>
      <c r="K37" s="45"/>
      <c r="L37" s="45"/>
      <c r="M37" s="67">
        <f>SUM(M24:M36)</f>
        <v>10508.84</v>
      </c>
      <c r="N37" s="93"/>
      <c r="O37" s="98"/>
    </row>
    <row r="38" spans="1:15" x14ac:dyDescent="0.2">
      <c r="A38" s="13"/>
      <c r="B38" s="18"/>
      <c r="C38" s="23"/>
      <c r="D38" s="35"/>
      <c r="E38" s="35"/>
      <c r="F38" s="35"/>
      <c r="G38" s="35"/>
      <c r="H38" s="35"/>
      <c r="I38" s="35"/>
      <c r="J38" s="35"/>
      <c r="K38" s="35"/>
      <c r="L38" s="35"/>
      <c r="M38" s="25"/>
      <c r="N38" s="87"/>
      <c r="O38" s="99"/>
    </row>
    <row r="39" spans="1:15" x14ac:dyDescent="0.2">
      <c r="A39" s="13"/>
      <c r="B39" s="18" t="s">
        <v>11</v>
      </c>
      <c r="C39" s="23"/>
      <c r="D39" s="35"/>
      <c r="E39" s="35"/>
      <c r="F39" s="35"/>
      <c r="G39" s="35"/>
      <c r="H39" s="35"/>
      <c r="I39" s="35"/>
      <c r="J39" s="35"/>
      <c r="K39" s="35"/>
      <c r="L39" s="76">
        <v>0.08</v>
      </c>
      <c r="M39" s="25">
        <f>M37*L39</f>
        <v>840.70720000000006</v>
      </c>
      <c r="N39" s="87"/>
      <c r="O39" s="99"/>
    </row>
    <row r="40" spans="1:15" x14ac:dyDescent="0.2">
      <c r="A40" s="46"/>
      <c r="B40" s="47"/>
      <c r="C40" s="48"/>
      <c r="D40" s="48"/>
      <c r="E40" s="48"/>
      <c r="F40" s="48"/>
      <c r="G40" s="48"/>
      <c r="H40" s="48"/>
      <c r="I40" s="48"/>
      <c r="J40" s="48"/>
      <c r="K40" s="48"/>
      <c r="L40" s="48"/>
      <c r="M40" s="68"/>
      <c r="N40" s="87"/>
      <c r="O40" s="99"/>
    </row>
    <row r="41" spans="1:15" ht="24.75" customHeight="1" x14ac:dyDescent="0.2">
      <c r="A41" s="49"/>
      <c r="B41" s="55"/>
      <c r="C41" s="50"/>
      <c r="D41" s="51"/>
      <c r="E41" s="51"/>
      <c r="F41" s="51"/>
      <c r="G41" s="51"/>
      <c r="H41" s="51"/>
      <c r="I41" s="51"/>
      <c r="J41" s="51"/>
      <c r="K41" s="51"/>
      <c r="L41" s="51"/>
      <c r="M41" s="69">
        <f>ROUNDUP(SUM(M37:M40),0)</f>
        <v>11350</v>
      </c>
      <c r="N41" s="133"/>
      <c r="O41" s="102"/>
    </row>
    <row r="42" spans="1:15" x14ac:dyDescent="0.2">
      <c r="M42" s="312">
        <v>12000</v>
      </c>
      <c r="N42" s="88"/>
      <c r="O42" s="100"/>
    </row>
    <row r="43" spans="1:15" x14ac:dyDescent="0.2">
      <c r="F43" s="160">
        <f>F23/6.5</f>
        <v>0</v>
      </c>
      <c r="G43" s="160">
        <v>1.25</v>
      </c>
      <c r="H43" s="161">
        <f>F43*G43</f>
        <v>0</v>
      </c>
      <c r="I43" s="162">
        <f>H43*H11</f>
        <v>0</v>
      </c>
      <c r="M43" s="52"/>
      <c r="N43" s="88"/>
      <c r="O43" s="101"/>
    </row>
    <row r="44" spans="1:15" x14ac:dyDescent="0.2">
      <c r="F44" s="160"/>
      <c r="G44" s="160"/>
      <c r="H44" s="162"/>
      <c r="I44" s="162">
        <f>F43*140</f>
        <v>0</v>
      </c>
      <c r="M44" s="52"/>
      <c r="N44" s="88"/>
      <c r="O44" s="101"/>
    </row>
    <row r="45" spans="1:15" x14ac:dyDescent="0.2">
      <c r="H45" s="58"/>
      <c r="M45" s="52"/>
      <c r="N45" s="88"/>
      <c r="O45" s="101"/>
    </row>
    <row r="46" spans="1:15" ht="15" x14ac:dyDescent="0.25">
      <c r="B46" s="106" t="s">
        <v>29</v>
      </c>
      <c r="C46" s="107"/>
      <c r="D46" s="107"/>
      <c r="E46" s="107"/>
      <c r="F46" s="107"/>
      <c r="I46" s="106" t="s">
        <v>29</v>
      </c>
      <c r="J46" s="107"/>
      <c r="K46" s="107"/>
      <c r="L46" s="107"/>
      <c r="M46" s="107"/>
      <c r="O46" s="101"/>
    </row>
    <row r="47" spans="1:15" x14ac:dyDescent="0.2">
      <c r="B47" s="108" t="s">
        <v>42</v>
      </c>
      <c r="C47" s="109"/>
      <c r="D47" s="104"/>
      <c r="E47" s="104"/>
      <c r="F47" s="104"/>
      <c r="I47" s="108" t="s">
        <v>30</v>
      </c>
      <c r="J47" s="109"/>
      <c r="K47" s="104"/>
      <c r="L47" s="104"/>
      <c r="M47" s="104"/>
      <c r="O47" s="101"/>
    </row>
    <row r="48" spans="1:15" ht="15" x14ac:dyDescent="0.25">
      <c r="B48" s="108" t="s">
        <v>31</v>
      </c>
      <c r="C48" s="109" t="s">
        <v>32</v>
      </c>
      <c r="D48" s="104" t="s">
        <v>33</v>
      </c>
      <c r="E48" s="104" t="s">
        <v>34</v>
      </c>
      <c r="F48" s="107"/>
      <c r="I48" s="108" t="s">
        <v>31</v>
      </c>
      <c r="J48" s="109" t="s">
        <v>32</v>
      </c>
      <c r="K48" s="104" t="s">
        <v>33</v>
      </c>
      <c r="L48" s="104" t="s">
        <v>34</v>
      </c>
      <c r="M48" s="107"/>
      <c r="O48" s="101"/>
    </row>
    <row r="49" spans="2:15" x14ac:dyDescent="0.2">
      <c r="B49" s="110">
        <v>1</v>
      </c>
      <c r="C49" s="109">
        <v>55</v>
      </c>
      <c r="D49" s="104">
        <f>B49*C49</f>
        <v>55</v>
      </c>
      <c r="E49" s="104">
        <f>D49*F49</f>
        <v>110</v>
      </c>
      <c r="F49" s="111">
        <v>2</v>
      </c>
      <c r="I49" s="110">
        <v>4</v>
      </c>
      <c r="J49" s="109">
        <v>55</v>
      </c>
      <c r="K49" s="104">
        <f>I49*J49</f>
        <v>220</v>
      </c>
      <c r="L49" s="104">
        <f>K49*M49</f>
        <v>440</v>
      </c>
      <c r="M49" s="111">
        <v>2</v>
      </c>
      <c r="O49" s="101"/>
    </row>
    <row r="50" spans="2:15" x14ac:dyDescent="0.2">
      <c r="B50" s="108" t="s">
        <v>35</v>
      </c>
      <c r="C50" s="109"/>
      <c r="D50" s="104"/>
      <c r="E50" s="104" t="s">
        <v>36</v>
      </c>
      <c r="F50" s="104"/>
      <c r="I50" s="108" t="s">
        <v>35</v>
      </c>
      <c r="J50" s="109"/>
      <c r="K50" s="104"/>
      <c r="L50" s="104" t="s">
        <v>36</v>
      </c>
      <c r="M50" s="104"/>
      <c r="O50" s="101"/>
    </row>
    <row r="51" spans="2:15" ht="15" x14ac:dyDescent="0.25">
      <c r="B51" s="108">
        <v>0.7</v>
      </c>
      <c r="C51" s="112"/>
      <c r="D51" s="107"/>
      <c r="E51" s="104">
        <f>B51*C51</f>
        <v>0</v>
      </c>
      <c r="F51" s="104"/>
      <c r="I51" s="108">
        <v>0.7</v>
      </c>
      <c r="J51" s="112">
        <v>310</v>
      </c>
      <c r="K51" s="107"/>
      <c r="L51" s="104">
        <f>I51*J51</f>
        <v>217</v>
      </c>
      <c r="M51" s="104"/>
      <c r="O51" s="101"/>
    </row>
    <row r="52" spans="2:15" x14ac:dyDescent="0.2">
      <c r="B52" s="108" t="s">
        <v>37</v>
      </c>
      <c r="C52" s="109"/>
      <c r="D52" s="104"/>
      <c r="E52" s="104">
        <f>SUM(E49:E51)</f>
        <v>110</v>
      </c>
      <c r="F52" s="104"/>
      <c r="I52" s="108" t="s">
        <v>37</v>
      </c>
      <c r="J52" s="109"/>
      <c r="K52" s="104"/>
      <c r="L52" s="104">
        <f>SUM(L49:L51)</f>
        <v>657</v>
      </c>
      <c r="M52" s="104"/>
      <c r="O52" s="101"/>
    </row>
    <row r="53" spans="2:15" x14ac:dyDescent="0.2">
      <c r="B53" s="110">
        <v>2</v>
      </c>
      <c r="C53" s="109"/>
      <c r="D53" s="104"/>
      <c r="E53" s="104">
        <f>B53*E52</f>
        <v>220</v>
      </c>
      <c r="F53" s="104"/>
      <c r="I53" s="110">
        <v>1</v>
      </c>
      <c r="J53" s="109"/>
      <c r="K53" s="104"/>
      <c r="L53" s="104">
        <f>I53*L52</f>
        <v>657</v>
      </c>
      <c r="M53" s="104"/>
      <c r="O53" s="101"/>
    </row>
    <row r="54" spans="2:15" x14ac:dyDescent="0.2">
      <c r="B54" s="108" t="s">
        <v>38</v>
      </c>
      <c r="C54" s="109" t="s">
        <v>39</v>
      </c>
      <c r="D54" s="104"/>
      <c r="E54" s="104" t="s">
        <v>40</v>
      </c>
      <c r="F54" s="104"/>
      <c r="I54" s="108" t="s">
        <v>38</v>
      </c>
      <c r="J54" s="109" t="s">
        <v>39</v>
      </c>
      <c r="K54" s="104"/>
      <c r="L54" s="104" t="s">
        <v>40</v>
      </c>
      <c r="M54" s="104"/>
    </row>
    <row r="55" spans="2:15" x14ac:dyDescent="0.2">
      <c r="B55" s="110"/>
      <c r="C55" s="112"/>
      <c r="D55" s="104">
        <f>B55*C55</f>
        <v>0</v>
      </c>
      <c r="E55" s="104">
        <f>D55*F49</f>
        <v>0</v>
      </c>
      <c r="F55" s="104"/>
      <c r="I55" s="110">
        <v>125</v>
      </c>
      <c r="J55" s="112">
        <v>4</v>
      </c>
      <c r="K55" s="104">
        <f>I55*J55</f>
        <v>500</v>
      </c>
      <c r="L55" s="104">
        <f>K55*M49</f>
        <v>1000</v>
      </c>
      <c r="M55" s="104"/>
    </row>
    <row r="56" spans="2:15" x14ac:dyDescent="0.2">
      <c r="B56" s="108"/>
      <c r="C56" s="109"/>
      <c r="D56" s="104"/>
      <c r="E56" s="105">
        <f>SUM(E53:E55)</f>
        <v>220</v>
      </c>
      <c r="F56" s="104"/>
      <c r="I56" s="108"/>
      <c r="J56" s="109"/>
      <c r="K56" s="104"/>
      <c r="L56" s="105">
        <f>SUM(L53:L55)</f>
        <v>1657</v>
      </c>
      <c r="M56" s="104"/>
    </row>
  </sheetData>
  <pageMargins left="0.7" right="0.7" top="0.75" bottom="0.75" header="0.3" footer="0.3"/>
  <pageSetup paperSize="9"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6</vt:i4>
      </vt:variant>
    </vt:vector>
  </HeadingPairs>
  <TitlesOfParts>
    <vt:vector size="16" baseType="lpstr">
      <vt:lpstr>Summary</vt:lpstr>
      <vt:lpstr>Suspended Ceilings_25_8</vt:lpstr>
      <vt:lpstr>Workings_Ceilings</vt:lpstr>
      <vt:lpstr>Sheet1</vt:lpstr>
      <vt:lpstr>Steel Stud Partitions_25_8</vt:lpstr>
      <vt:lpstr>Workings_Partitions</vt:lpstr>
      <vt:lpstr>Gib Linings_25_8</vt:lpstr>
      <vt:lpstr>Stopping_25_8</vt:lpstr>
      <vt:lpstr>Skirting with Columns</vt:lpstr>
      <vt:lpstr>PROV SUM PS1 &amp; PS4 _25_8</vt:lpstr>
      <vt:lpstr>'Gib Linings_25_8'!Print_Area</vt:lpstr>
      <vt:lpstr>'PROV SUM PS1 &amp; PS4 _25_8'!Print_Area</vt:lpstr>
      <vt:lpstr>'Skirting with Columns'!Print_Area</vt:lpstr>
      <vt:lpstr>'Steel Stud Partitions_25_8'!Print_Area</vt:lpstr>
      <vt:lpstr>Stopping_25_8!Print_Area</vt:lpstr>
      <vt:lpstr>'Suspended Ceilings_25_8'!Print_Area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David Long</cp:lastModifiedBy>
  <cp:lastPrinted>2025-08-26T01:42:22Z</cp:lastPrinted>
  <dcterms:created xsi:type="dcterms:W3CDTF">2008-08-03T23:58:12Z</dcterms:created>
  <dcterms:modified xsi:type="dcterms:W3CDTF">2026-04-08T19:21:27Z</dcterms:modified>
</cp:coreProperties>
</file>